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Sheet1!$A$1:$AF$2580</definedName>
  </definedNames>
  <calcPr/>
</workbook>
</file>

<file path=xl/sharedStrings.xml><?xml version="1.0" encoding="utf-8"?>
<sst xmlns="http://schemas.openxmlformats.org/spreadsheetml/2006/main" count="23533" uniqueCount="7820">
  <si>
    <t>Folder Path</t>
  </si>
  <si>
    <t>File Name</t>
  </si>
  <si>
    <t>Type</t>
  </si>
  <si>
    <t>URL</t>
  </si>
  <si>
    <t>صاحب امتیاز</t>
  </si>
  <si>
    <t>مدیرمسئول</t>
  </si>
  <si>
    <t>سردبیر</t>
  </si>
  <si>
    <t>تاریخ</t>
  </si>
  <si>
    <t>روز</t>
  </si>
  <si>
    <t>هفته</t>
  </si>
  <si>
    <t>ماه</t>
  </si>
  <si>
    <t>فصل</t>
  </si>
  <si>
    <t>سال</t>
  </si>
  <si>
    <t>دوره</t>
  </si>
  <si>
    <t>شماره</t>
  </si>
  <si>
    <t>از</t>
  </si>
  <si>
    <t>تا</t>
  </si>
  <si>
    <t>میانگین تاریخ</t>
  </si>
  <si>
    <t>متن</t>
  </si>
  <si>
    <t>Root/انجمن‌های علمی و نشریات وابسته به دانشکده‌ها/دانشکده شیمی/آنتروپی</t>
  </si>
  <si>
    <t>1.دوهفته نامه آنتروپی شماره اول.pdf</t>
  </si>
  <si>
    <t>application/pdf</t>
  </si>
  <si>
    <t>https://drive.google.com/file/d/1OcZ_iybAN94_MrB3y83QY-mchwBeLuyl/view?usp=drivesdk</t>
  </si>
  <si>
    <t>محمد نوروزی</t>
  </si>
  <si>
    <t>مصطفی نجاتی</t>
  </si>
  <si>
    <t>سروش فدائی‌تهرانی</t>
  </si>
  <si>
    <t>x/7/1399</t>
  </si>
  <si>
    <t>15/7/1399</t>
  </si>
  <si>
    <t>2.دوهفته نامه آنتروپی-شماره دوم.pdf</t>
  </si>
  <si>
    <t>https://drive.google.com/file/d/1Xoxbt0vY8Q_8KScyWOkZOEhijx634gzT/view?usp=drivesdk</t>
  </si>
  <si>
    <t>3.دوهفته نامه آنتروپی-شماره سوم.pdf</t>
  </si>
  <si>
    <t>https://drive.google.com/file/d/1zifEH9LO2ahvfxP4uuU-CH8bJ420ZQ1T/view?usp=drivesdk</t>
  </si>
  <si>
    <t>x/8/1399</t>
  </si>
  <si>
    <t>15/8/1399</t>
  </si>
  <si>
    <t>4.دوهفته نامه آنتروپی-شماره چهارم .pdf</t>
  </si>
  <si>
    <t>https://drive.google.com/file/d/1kSZTgxyKoNqT8fSbbJRy8lo2KYOH8LbH/view?usp=drivesdk</t>
  </si>
  <si>
    <t>5.دوهفته‌نامه آنتروپی-شماره پنجم.pdf</t>
  </si>
  <si>
    <t>https://drive.google.com/file/d/1hzUmukEM58m-XK368qTCA3Amemb9WzeZ/view?usp=drivesdk</t>
  </si>
  <si>
    <t>x/9/1399</t>
  </si>
  <si>
    <t>15/9/1399</t>
  </si>
  <si>
    <t>6.دوهفته‌نامه آنتروپی-شماره ششم.pdf</t>
  </si>
  <si>
    <t>https://drive.google.com/file/d/1bALxEsPBJgYQ4IW_gO3xu4gmqTXabTpj/view?usp=drivesdk</t>
  </si>
  <si>
    <t>7.دوهفته‌نامه آنتروپی-شماره هفتم.pdf</t>
  </si>
  <si>
    <t>https://drive.google.com/file/d/17jaC96D217I4jNoJ0ENGoNhabrMMeTWh/view?usp=drivesdk</t>
  </si>
  <si>
    <t>x/10/1399</t>
  </si>
  <si>
    <t>15/10/1399</t>
  </si>
  <si>
    <t>8.0دوهفته نامه آنتروپی-شماره هشتم.pdf</t>
  </si>
  <si>
    <t>https://drive.google.com/file/d/1YL68QcrhOIyuKDCt6xYuePJBRwnSY4NL/view?usp=drivesdk</t>
  </si>
  <si>
    <t>x/12/1399</t>
  </si>
  <si>
    <t>15/12/1399</t>
  </si>
  <si>
    <t>8.1دوهفته‌نامه_آنتروپی_ویژه‌نامه_نوروز_۱۴۰۰.pdf</t>
  </si>
  <si>
    <t>https://drive.google.com/file/d/1j-WawGp9HnmA8dZlZJmyzOrxgPLhPFbO/view?usp=drivesdk</t>
  </si>
  <si>
    <t>x/1/1400</t>
  </si>
  <si>
    <t>ویژه‌نامه نوروز ۱۴۰۰</t>
  </si>
  <si>
    <t>15/1/1400</t>
  </si>
  <si>
    <t>🗓 نوروز ۱۴۰۰</t>
  </si>
  <si>
    <t>9.دوهفته نامه آنتروپی-شماره نهم.pdf</t>
  </si>
  <si>
    <t>https://drive.google.com/file/d/1qNgnh2mvb8et_uGVhPgRi8eiCyZO-Dyi/view?usp=drivesdk</t>
  </si>
  <si>
    <t>10.دوهفته نامه آنتروپی-شماره دهم.pdf</t>
  </si>
  <si>
    <t>https://drive.google.com/file/d/1Bw0ir7_xn-UwUNML0Ki5EQH4mWXIkgZ6/view?usp=drivesdk</t>
  </si>
  <si>
    <t>x/2/1400</t>
  </si>
  <si>
    <t>15/2/1400</t>
  </si>
  <si>
    <t>11.دوهفته نامه آنتروپی-شماره یازدهم.pdf</t>
  </si>
  <si>
    <t>https://drive.google.com/file/d/1fjbhy9rbJ0WAbPI9fl_k_Ux6D4Hsb1v8/view?usp=drivesdk</t>
  </si>
  <si>
    <t>12.دوهفته_نامه_آنتروپی_شماره_دوازدهم.pdf</t>
  </si>
  <si>
    <t>https://drive.google.com/file/d/1VrpN60upC1JV1dqVjo-ldn2sTTkJ3H-y/view?usp=drivesdk</t>
  </si>
  <si>
    <t>x/3/1400</t>
  </si>
  <si>
    <t>15/3/1400</t>
  </si>
  <si>
    <t>Root/انجمن‌های علمی و نشریات وابسته به دانشکده‌ها/دانشکده مهندسی کامپیوتر/ارغوان</t>
  </si>
  <si>
    <t>1.arghavan1.pdf</t>
  </si>
  <si>
    <t>https://drive.google.com/file/d/1W_A3lltarDGxsKtJCIUypkvYQPGWMdtC/view?usp=drivesdk</t>
  </si>
  <si>
    <t>?</t>
  </si>
  <si>
    <t>محسن حاجیلو</t>
  </si>
  <si>
    <t>محمد خباز</t>
  </si>
  <si>
    <t>x/4/1384</t>
  </si>
  <si>
    <t>15/4/1384</t>
  </si>
  <si>
    <t>2.arghavan2.pdf</t>
  </si>
  <si>
    <t>https://drive.google.com/file/d/1xN5h-aKnPBi-e_A6p1zeKUJYxokSlTw9/view?usp=drivesdk</t>
  </si>
  <si>
    <t>x/9/1384</t>
  </si>
  <si>
    <t>15/9/1384</t>
  </si>
  <si>
    <t>3.arghavan3.pdf</t>
  </si>
  <si>
    <t>https://drive.google.com/file/d/1qp9ToK3a-H0_A7r6zD4e7xH-cUKMb0ig/view?usp=drivesdk</t>
  </si>
  <si>
    <t>x/2/1385</t>
  </si>
  <si>
    <t>15/2/1385</t>
  </si>
  <si>
    <t>4.arghavan4.pdf</t>
  </si>
  <si>
    <t>https://drive.google.com/file/d/1dn2ItSJ38V-4bl_eu6Bl_2PZJy8reqI9/view?usp=drivesdk</t>
  </si>
  <si>
    <t>x/11/1385</t>
  </si>
  <si>
    <t>15/11/1385</t>
  </si>
  <si>
    <t>5.arghavan5.pdf</t>
  </si>
  <si>
    <t>https://drive.google.com/file/d/1YN5NjFXEFLRoLv2qwosBzXsEfaOOGeRh/view?usp=drivesdk</t>
  </si>
  <si>
    <t>احمد جودکی</t>
  </si>
  <si>
    <t>x/12/1386</t>
  </si>
  <si>
    <t>15/12/1386</t>
  </si>
  <si>
    <t>6.arghavan_special.pdf</t>
  </si>
  <si>
    <t>https://drive.google.com/file/d/1IHxNllGP7TWk99XJwcBKa1wG8yvEEw2l/view?usp=drivesdk</t>
  </si>
  <si>
    <t>علی اهری</t>
  </si>
  <si>
    <t>مهسا محمدی</t>
  </si>
  <si>
    <t>x/3/1389</t>
  </si>
  <si>
    <t>9/3/1389</t>
  </si>
  <si>
    <t>17/3/1389</t>
  </si>
  <si>
    <t>13/3/1389</t>
  </si>
  <si>
    <t>Root/انجمن‌های علمی و نشریات وابسته به دانشکده‌ها/دانشکده مدیریت و اقتصاد/اقتصاد شریف</t>
  </si>
  <si>
    <t>نشریه اقتصاد شریف، شماره اول.pdf</t>
  </si>
  <si>
    <t>https://drive.google.com/file/d/1w9RWQXI6NTUsRMmhZFFb1rfCwGdK76-m/view?usp=drivesdk</t>
  </si>
  <si>
    <t>انجمن علمی دانشجویی اقتصاد شریف</t>
  </si>
  <si>
    <t>رودابه امیران</t>
  </si>
  <si>
    <t>مجتبی مهدی‌پور</t>
  </si>
  <si>
    <t>x/x/1398</t>
  </si>
  <si>
    <t>1/7/1398</t>
  </si>
  <si>
    <t>Root/انجمن‌های علمی و نشریات وابسته به دانشکده‌ها/دانشکده شیمی/اکسیر</t>
  </si>
  <si>
    <t>1.Elixir99-1.pdf</t>
  </si>
  <si>
    <t>https://drive.google.com/file/d/1VJ70yS0FwRKCIBVyf3FYaYdnn515Dxdd/view?usp=drivesdk</t>
  </si>
  <si>
    <t>انجمن علمی دانشجویی کاوش</t>
  </si>
  <si>
    <t>شقایق گودرزی</t>
  </si>
  <si>
    <t>فربد بیات‌افشاری</t>
  </si>
  <si>
    <t>x/x/1399</t>
  </si>
  <si>
    <t>1/7/1399</t>
  </si>
  <si>
    <t>2.Elixir99-2.pdf</t>
  </si>
  <si>
    <t>https://drive.google.com/file/d/1zEQVzpx4cZS6lnMXNzK-U8JL1d2gtgH6/view?usp=drivesdk</t>
  </si>
  <si>
    <t>x/4/1399</t>
  </si>
  <si>
    <t>15/4/1399</t>
  </si>
  <si>
    <t>3.Elixir99-3.pdf</t>
  </si>
  <si>
    <t>https://drive.google.com/file/d/1mhc6XpLuponHB68C2U4_ZOSYCT2_iPuu/view?usp=drivesdk</t>
  </si>
  <si>
    <t>امیرحسین امینی</t>
  </si>
  <si>
    <t>4.نشریه_اکسیر_وِیژه_نامه_ورودی_compressed.pdf</t>
  </si>
  <si>
    <t>https://drive.google.com/file/d/1Z7eebrV38Re1z43kWqABVTWDmrAphOlE/view?usp=drivesdk</t>
  </si>
  <si>
    <t>فراز علاقمند</t>
  </si>
  <si>
    <t>5.Elixir99-5.pdf</t>
  </si>
  <si>
    <t>https://drive.google.com/file/d/1yalv6Vmt7U-vY-xlfjCfXXNtveH6zwTy/view?usp=drivesdk</t>
  </si>
  <si>
    <t>x/11/1399</t>
  </si>
  <si>
    <t>15/11/1399</t>
  </si>
  <si>
    <t>6.Elixir00-6.pdf</t>
  </si>
  <si>
    <t>https://drive.google.com/file/d/1nOX0w6zt4A3JxwBjy1KPStofSQ0NPN9f/view?usp=drivesdk</t>
  </si>
  <si>
    <t>x/5/1400</t>
  </si>
  <si>
    <t>15/5/1400</t>
  </si>
  <si>
    <t>7.Elixir00-7.pdf</t>
  </si>
  <si>
    <t>https://drive.google.com/file/d/1QcmQWvg0iYNaLAvtbqpR0wzgSIuz34FN/view?usp=drivesdk</t>
  </si>
  <si>
    <t>مهدیه حسن‌پور</t>
  </si>
  <si>
    <t>x/8/1400</t>
  </si>
  <si>
    <t>15/8/1400</t>
  </si>
  <si>
    <t>8.Elixir00-8.pdf</t>
  </si>
  <si>
    <t>https://drive.google.com/file/d/1Kab0h5n55GuqB7yr4HwhPvZb9ZteWr5Y/view?usp=drivesdk</t>
  </si>
  <si>
    <t>x/12/1400</t>
  </si>
  <si>
    <t>15/12/1400</t>
  </si>
  <si>
    <t>9.Exir01-9.pdf</t>
  </si>
  <si>
    <t>https://drive.google.com/file/d/1EcUrAALBBppNtdoUuC-k5QLh5urjggXj/view?usp=drivesdk</t>
  </si>
  <si>
    <t>x/5/1401</t>
  </si>
  <si>
    <t>15/5/1401</t>
  </si>
  <si>
    <t>10.Exir 01-10.pdf</t>
  </si>
  <si>
    <t>https://drive.google.com/file/d/1HB1ZaYv25qpyWgAR-O_vwGL96oEktVLL/view?usp=drivesdk</t>
  </si>
  <si>
    <t>محمدمهدی صدیقی</t>
  </si>
  <si>
    <t>x/8/1401</t>
  </si>
  <si>
    <t>15/8/1401</t>
  </si>
  <si>
    <t>11.Exir 401-11.pdf</t>
  </si>
  <si>
    <t>https://drive.google.com/file/d/1UBw5jTOaklHsdO1ahX-AL8_AaOMinTs1/view?usp=drivesdk</t>
  </si>
  <si>
    <t>x/12/1401</t>
  </si>
  <si>
    <t>15/12/1401</t>
  </si>
  <si>
    <t>12.Exir 402-12.pdf</t>
  </si>
  <si>
    <t>https://drive.google.com/file/d/1sPmFd9zuyEZtS69p1Ocar_Os0RD6A9r7/view?usp=drivesdk</t>
  </si>
  <si>
    <t>علی‌اصغر بهزادی</t>
  </si>
  <si>
    <t>x/5/1402</t>
  </si>
  <si>
    <t>15/5/1402</t>
  </si>
  <si>
    <t>13.Elixir 02-13.pdf</t>
  </si>
  <si>
    <t>https://drive.google.com/file/d/1li96Bj3nuA_QVIqQkKtWSGVkEz4Wpg4R/view?usp=drivesdk</t>
  </si>
  <si>
    <t>نرگس تورئی</t>
  </si>
  <si>
    <t>x/x/1402</t>
  </si>
  <si>
    <t>1/7/1402</t>
  </si>
  <si>
    <t>Root/انجمن‌های علمی و نشریات وابسته به دانشکده‌ها/دانشکده مهندسی انرژی/اگزرژی</t>
  </si>
  <si>
    <t>1.نشریه اگزرژی - شماره اول.pdf</t>
  </si>
  <si>
    <t>https://drive.google.com/file/d/1A9gNFnW6XVpTjcXdGVqWWJW0MzLJ5Jcz/view?usp=drivesdk</t>
  </si>
  <si>
    <t>انجمن علمی دانشکده مهندسی انرژی</t>
  </si>
  <si>
    <t>حامد محسنی پهلوان</t>
  </si>
  <si>
    <t>محمد علمی</t>
  </si>
  <si>
    <t>x/10/1397</t>
  </si>
  <si>
    <t>15/10/1397</t>
  </si>
  <si>
    <t>2.نشریه اگزرژی - شماره دوم.pdf</t>
  </si>
  <si>
    <t>https://drive.google.com/file/d/1kRg3AgRuNeTBQRm2C8zCXqOI0wNVyrr_/view?usp=drivesdk</t>
  </si>
  <si>
    <t>x/11/1397</t>
  </si>
  <si>
    <t>15/11/1397</t>
  </si>
  <si>
    <t>3.نشریه اگزرژی - شماره سوم.pdf</t>
  </si>
  <si>
    <t>https://drive.google.com/file/d/17FaOJ3NAbRIeCkdALQS715nFDSARP_Dv/view?usp=drivesdk</t>
  </si>
  <si>
    <t>x/12/1397</t>
  </si>
  <si>
    <t>15/12/1397</t>
  </si>
  <si>
    <t>4.نشریه اگزرژی - شماره چهارم.pdf</t>
  </si>
  <si>
    <t>https://drive.google.com/file/d/1YVAHhnV9KSwaejFKErWKK_YKWFV6FjHB/view?usp=drivesdk</t>
  </si>
  <si>
    <t>x/1/1398</t>
  </si>
  <si>
    <t>15/1/1398</t>
  </si>
  <si>
    <t>5.نشریه اگزرژی - شماره پنجم.pdf</t>
  </si>
  <si>
    <t>https://drive.google.com/file/d/1IAYauvJOo8jNSGHmaDxiCzSFqWwHJX8Q/view?usp=drivesdk</t>
  </si>
  <si>
    <t>x/3/1398</t>
  </si>
  <si>
    <t>15/3/1398</t>
  </si>
  <si>
    <t>6.نسخه الکترونیک ویژه نامه اگزرژی.pdf</t>
  </si>
  <si>
    <t>https://drive.google.com/file/d/1CR51Bap8tLO8uKW2a5IcUY47Mj4qYQev/view?usp=drivesdk</t>
  </si>
  <si>
    <t>نوید ممبینی</t>
  </si>
  <si>
    <t>علی اکبر رضازاده</t>
  </si>
  <si>
    <t>x/9/1398</t>
  </si>
  <si>
    <t>15/9/1398</t>
  </si>
  <si>
    <t>7.نشریه اگزرژی دانشکده انرژی شریف.pdf</t>
  </si>
  <si>
    <t>https://drive.google.com/file/d/1mvJIRSUcbyxUc1mpJAcaTK8Y9eimG_29/view?usp=drivesdk</t>
  </si>
  <si>
    <t>x/11/1398</t>
  </si>
  <si>
    <t>15/11/1398</t>
  </si>
  <si>
    <t>8.شماره هشتم نشریه اگزرژی.pdf</t>
  </si>
  <si>
    <t>https://drive.google.com/file/d/1u3rC9eZp4wRRmrGoKbhasG1rwNlCJ-mq/view?usp=drivesdk</t>
  </si>
  <si>
    <t>سعید میرزائی</t>
  </si>
  <si>
    <t>معین شعبان‌پور</t>
  </si>
  <si>
    <t>9.شماره نهم نشریه اگزرژی.pdf</t>
  </si>
  <si>
    <t>https://drive.google.com/file/d/1c1FAFUQKFZP76gLuLyIpJ_VlXT8jnvoV/view?usp=drivesdk</t>
  </si>
  <si>
    <t>دکتر معین معینی اقطاعی</t>
  </si>
  <si>
    <t>امیرحسین باقرزاده</t>
  </si>
  <si>
    <t>x/10/1401</t>
  </si>
  <si>
    <t>15/10/1401</t>
  </si>
  <si>
    <t>Root/انجمن‌های علمی و نشریات وابسته به دانشکده‌ها/انجمن‌های علمی و نشریات وابسته به دانشکده‌ها/طرشت ۲/نرگس</t>
  </si>
  <si>
    <t>نرگس-شماره ۱.pdf</t>
  </si>
  <si>
    <t>https://drive.google.com/file/d/1DxUQdkJKp_X1QtujUWVBE08dSR1lFf6P/view?usp=drivesdk</t>
  </si>
  <si>
    <t>هیئت منتظران موعود طرشت ۲</t>
  </si>
  <si>
    <t>سما آهنی آذر</t>
  </si>
  <si>
    <t>فائزه دادخواه</t>
  </si>
  <si>
    <t>x/12/1398</t>
  </si>
  <si>
    <t>15/12/1398</t>
  </si>
  <si>
    <t>Root/انجمن‌های علمی و نشریات وابسته به دانشکده‌ها/دانشکده مهندسی هوافضا/اوج</t>
  </si>
  <si>
    <t>Owj4.pdf</t>
  </si>
  <si>
    <t>https://drive.google.com/file/d/1SxrI5wQDqr1e-PZxg13Pz2BcDLR0MdjW/view?usp=drivesdk</t>
  </si>
  <si>
    <t>انجمن علمی مهندسی هوافضا</t>
  </si>
  <si>
    <t>بهزاد بالغی</t>
  </si>
  <si>
    <t>مرضیه آقایی</t>
  </si>
  <si>
    <t>x/7/1394</t>
  </si>
  <si>
    <t>15/7/1394</t>
  </si>
  <si>
    <t>Owj6.pdf</t>
  </si>
  <si>
    <t>https://drive.google.com/file/d/1vPSPOZwoBZJOq43RwybGGIMWDmFzJsay/view?usp=drivesdk</t>
  </si>
  <si>
    <t>x/9/1394</t>
  </si>
  <si>
    <t>15/9/1394</t>
  </si>
  <si>
    <t>Owj7.pdf</t>
  </si>
  <si>
    <t>https://drive.google.com/file/d/1BIW7sAbrkMigxu4Wnnvfj51Pql8qsi7d/view?usp=drivesdk</t>
  </si>
  <si>
    <t>x/12/1394</t>
  </si>
  <si>
    <t>15/12/1394</t>
  </si>
  <si>
    <t>Owj8.pdf</t>
  </si>
  <si>
    <t>https://drive.google.com/file/d/1j7ZNTEWdCEj5nOcnH27LYoTNjsGxVbQ8/view?usp=drivesdk</t>
  </si>
  <si>
    <t>x/2/1395</t>
  </si>
  <si>
    <t>15/2/1395</t>
  </si>
  <si>
    <t>Owj9.pdf</t>
  </si>
  <si>
    <t>https://drive.google.com/file/d/1RHN_Ic6X9luWJY5nsWYONe6D2KLM5E8h/view?usp=drivesdk</t>
  </si>
  <si>
    <t>هانیه شهریاری</t>
  </si>
  <si>
    <t>x/3/1395</t>
  </si>
  <si>
    <t>15/3/1395</t>
  </si>
  <si>
    <t>Owj10.pdf</t>
  </si>
  <si>
    <t>https://drive.google.com/file/d/1J8J9iMVbzgRz2Jb3THH8KGDmWd0wTlAP/view?usp=drivesdk</t>
  </si>
  <si>
    <t>x/4/1395</t>
  </si>
  <si>
    <t>15/4/1395</t>
  </si>
  <si>
    <t>Owj12.pdf</t>
  </si>
  <si>
    <t>https://drive.google.com/file/d/1SfweraEGdxk4dGAFk36tZSL_9Jv6BYU6/view?usp=drivesdk</t>
  </si>
  <si>
    <t>x/11/1395</t>
  </si>
  <si>
    <t>15/11/1395</t>
  </si>
  <si>
    <t>Owj14.pdf</t>
  </si>
  <si>
    <t>https://drive.google.com/file/d/1wxE6x3oascTIJAKv67VZdraXNehlMIhK/view?usp=drivesdk</t>
  </si>
  <si>
    <t>حانیه کرامتی</t>
  </si>
  <si>
    <t>ندا پیل‌افکن</t>
  </si>
  <si>
    <t>x/2/1396</t>
  </si>
  <si>
    <t>15/2/1396</t>
  </si>
  <si>
    <t>Owj15.pdf</t>
  </si>
  <si>
    <t>https://drive.google.com/file/d/1oKr04ws30FlNvwRobBWIUQa1NkvGk4N3/view?usp=drivesdk</t>
  </si>
  <si>
    <t>x/3/1396</t>
  </si>
  <si>
    <t>15/3/1396</t>
  </si>
  <si>
    <t>Owj16.pdf</t>
  </si>
  <si>
    <t>https://drive.google.com/file/d/1JKWoxpoHeLmZRIoIA6OpBuYJBSFKT-3D/view?usp=drivesdk</t>
  </si>
  <si>
    <t>x/5/1396</t>
  </si>
  <si>
    <t>15/5/1396</t>
  </si>
  <si>
    <t>Owj17.pdf</t>
  </si>
  <si>
    <t>https://drive.google.com/file/d/1tNZZZ3RmlgC7ah1WTB9xVxqD3Drx20x-/view?usp=drivesdk</t>
  </si>
  <si>
    <t>Owj18.pdf</t>
  </si>
  <si>
    <t>https://drive.google.com/file/d/1sEASaVVSk-6JT3oHmW8oif6-zMSxlwQE/view?usp=drivesdk</t>
  </si>
  <si>
    <t>x/7/1396</t>
  </si>
  <si>
    <t>15/7/1396</t>
  </si>
  <si>
    <t>Owj19.pdf</t>
  </si>
  <si>
    <t>https://drive.google.com/file/d/1ce0SvYokuwTU6nrqI9rU3yBdjqRKdWX3/view?usp=drivesdk</t>
  </si>
  <si>
    <t>x/8/1396</t>
  </si>
  <si>
    <t>15/8/1396</t>
  </si>
  <si>
    <t>Owj20.pdf</t>
  </si>
  <si>
    <t>https://drive.google.com/file/d/1Di0VnOwZ-yDVvFOQYQ9JSTcB3cb66phL/view?usp=drivesdk</t>
  </si>
  <si>
    <t>x/9/1396</t>
  </si>
  <si>
    <t>15/9/1396</t>
  </si>
  <si>
    <t>Owj21.pdf</t>
  </si>
  <si>
    <t>https://drive.google.com/file/d/1y6E99kz53EHEebZIA7B2nJqFIWKA0qkl/view?usp=drivesdk</t>
  </si>
  <si>
    <t>مهدی طارقی</t>
  </si>
  <si>
    <t>x/10/1396</t>
  </si>
  <si>
    <t>15/10/1396</t>
  </si>
  <si>
    <t>Owj22.pdf</t>
  </si>
  <si>
    <t>https://drive.google.com/file/d/1bfU3_hxcdHbgiChsHJDlrBGpp9ZiKQq0/view?usp=drivesdk</t>
  </si>
  <si>
    <t>x/12/1396</t>
  </si>
  <si>
    <t>15/12/1396</t>
  </si>
  <si>
    <t>Owj23.pdf</t>
  </si>
  <si>
    <t>https://drive.google.com/file/d/1yW6-s03tAKCbdkw12Dxth5wafIblZ9ta/view?usp=drivesdk</t>
  </si>
  <si>
    <t>x/x/x</t>
  </si>
  <si>
    <t>1/12/1396</t>
  </si>
  <si>
    <t>30/4/1397</t>
  </si>
  <si>
    <t>16/2/1397</t>
  </si>
  <si>
    <t>Owj24.pdf</t>
  </si>
  <si>
    <t>https://drive.google.com/file/d/1Ef_xOJT_Z4z73h3ikkoeHNNNalwdH0af/view?usp=drivesdk</t>
  </si>
  <si>
    <t>Owj25.pdf</t>
  </si>
  <si>
    <t>https://drive.google.com/file/d/1GltbCChzYsVxaYThmnKT-UG0RkL72BrP/view?usp=drivesdk</t>
  </si>
  <si>
    <t>مریم قیدی</t>
  </si>
  <si>
    <t>Owj26.pdf</t>
  </si>
  <si>
    <t>https://drive.google.com/file/d/1zc7rYdHHhSlrtbszS5HWu8Go1TzdB-Gu/view?usp=drivesdk</t>
  </si>
  <si>
    <t>x/4/1397</t>
  </si>
  <si>
    <t>15/4/1397</t>
  </si>
  <si>
    <t>Owj27.pdf</t>
  </si>
  <si>
    <t>https://drive.google.com/file/d/1j9iRKwBP8PbWD-EXi6oGNDSvOLApEx8c/view?usp=drivesdk</t>
  </si>
  <si>
    <t>Owj28.pdf</t>
  </si>
  <si>
    <t>https://drive.google.com/file/d/1cUld6Tlz0jhzcmWBL1m7CCBdXGsQw1xl/view?usp=drivesdk</t>
  </si>
  <si>
    <t>x/7/1397</t>
  </si>
  <si>
    <t>15/7/1397</t>
  </si>
  <si>
    <t>Owj29.pdf</t>
  </si>
  <si>
    <t>https://drive.google.com/file/d/1tP5mpMZQDsVRaccfi6GkAF9l2VZ4R4AQ/view?usp=drivesdk</t>
  </si>
  <si>
    <t>مطهره کریمی‌فرد</t>
  </si>
  <si>
    <t>x/8/1397</t>
  </si>
  <si>
    <t>15/8/1397</t>
  </si>
  <si>
    <t>Owj30.pdf</t>
  </si>
  <si>
    <t>https://drive.google.com/file/d/1JHrL4k8H0XnWqxQoITT5JP1jiOEFB173/view?usp=drivesdk</t>
  </si>
  <si>
    <t>x/9/1397</t>
  </si>
  <si>
    <t>15/9/1397</t>
  </si>
  <si>
    <t>Owj31.pdf</t>
  </si>
  <si>
    <t>https://drive.google.com/file/d/1THIWFamOTOYnUdmoT9ZVtghZW1zbs8NT/view?usp=drivesdk</t>
  </si>
  <si>
    <t>Owj32.pdf</t>
  </si>
  <si>
    <t>https://drive.google.com/file/d/1ydLry-mzDt8HtJSDfWs2CeZFJruJ2OPp/view?usp=drivesdk</t>
  </si>
  <si>
    <t>Owj33.pdf</t>
  </si>
  <si>
    <t>https://drive.google.com/file/d/1z2hiaPWDAqn4ICmPbPpg2yVRGIneJRH7/view?usp=drivesdk</t>
  </si>
  <si>
    <t>Owj34.pdf</t>
  </si>
  <si>
    <t>https://drive.google.com/file/d/1RXWsScXcZj56yAF0D24i7AfYicw7K9DE/view?usp=drivesdk</t>
  </si>
  <si>
    <t>Owj35.pdf</t>
  </si>
  <si>
    <t>https://drive.google.com/file/d/18ruexrwR8LkYI527Hb_Ysy1twGZ7SAxh/view?usp=drivesdk</t>
  </si>
  <si>
    <t>x/2/1398</t>
  </si>
  <si>
    <t>15/2/1398</t>
  </si>
  <si>
    <t>Owj36.pdf</t>
  </si>
  <si>
    <t>https://drive.google.com/file/d/1MZXfiYQ1gsx1vYIbVJwD8p9ENVzewyJ2/view?usp=drivesdk</t>
  </si>
  <si>
    <t>Owj37.pdf</t>
  </si>
  <si>
    <t>https://drive.google.com/file/d/1W1LjXdaB27D91tlMIkk89dIO9I5jgwqn/view?usp=drivesdk</t>
  </si>
  <si>
    <t>x/4/1398</t>
  </si>
  <si>
    <t>15/4/1398</t>
  </si>
  <si>
    <t>Owj38.pdf</t>
  </si>
  <si>
    <t>https://drive.google.com/file/d/1zShQi0LSWpllUkthCUjGzxYD4nxG_LPa/view?usp=drivesdk</t>
  </si>
  <si>
    <t>x/5/1398</t>
  </si>
  <si>
    <t>15/5/1398</t>
  </si>
  <si>
    <t>Owj39.pdf</t>
  </si>
  <si>
    <t>https://drive.google.com/file/d/1WuAz2nt2o4fDKc1u38JF1QeX4bDbLhhG/view?usp=drivesdk</t>
  </si>
  <si>
    <t>x/6/1397</t>
  </si>
  <si>
    <t>15/6/1397</t>
  </si>
  <si>
    <t>Owj40.pdf</t>
  </si>
  <si>
    <t>https://drive.google.com/file/d/18k__oIDAjcWyXCE8dI-H24kXf4iCyKdN/view?usp=drivesdk</t>
  </si>
  <si>
    <t>x/7/1398</t>
  </si>
  <si>
    <t>15/7/1398</t>
  </si>
  <si>
    <t>Owj41.pdf</t>
  </si>
  <si>
    <t>https://drive.google.com/file/d/1K_vQ1U6jSgFPobpkXesIlo5zzdDPbcf8/view?usp=drivesdk</t>
  </si>
  <si>
    <t>x/8/1398</t>
  </si>
  <si>
    <t>15/8/1398</t>
  </si>
  <si>
    <t>Owj42.pdf</t>
  </si>
  <si>
    <t>https://drive.google.com/file/d/1hLuhAtiAWIMnc7h81kXyhQiHv-g1dOtO/view?usp=drivesdk</t>
  </si>
  <si>
    <t>Owj43.pdf</t>
  </si>
  <si>
    <t>https://drive.google.com/file/d/1eG12qX-GLR3GxIT7rHXaEEiW0SLAj3SQ/view?usp=drivesdk</t>
  </si>
  <si>
    <t>x/10/1398</t>
  </si>
  <si>
    <t>15/10/1398</t>
  </si>
  <si>
    <t>Owj44.pdf</t>
  </si>
  <si>
    <t>https://drive.google.com/file/d/1Q--k1I1NG9XvR4iUPAhxQIbPjixdij0Z/view?usp=drivesdk</t>
  </si>
  <si>
    <t>Owj45.pdf</t>
  </si>
  <si>
    <t>https://drive.google.com/file/d/1YWqyu4fEof2gazfiNk73tHkCsi5ooEDN/view?usp=drivesdk</t>
  </si>
  <si>
    <t>Owj46.pdf</t>
  </si>
  <si>
    <t>https://drive.google.com/file/d/1A_SmvKmDfOl8l4fBpBvzPLsjHgK1qGU1/view?usp=drivesdk</t>
  </si>
  <si>
    <t>محمدحسین ترابی</t>
  </si>
  <si>
    <t>میلاد بهاری</t>
  </si>
  <si>
    <t>x/1/1399</t>
  </si>
  <si>
    <t>15/1/1399</t>
  </si>
  <si>
    <t>Owj47.pdf</t>
  </si>
  <si>
    <t>https://drive.google.com/file/d/1JVeKZZedTVBXOY9oxXoYTarOKDRYFQcS/view?usp=drivesdk</t>
  </si>
  <si>
    <t>x/2/1399</t>
  </si>
  <si>
    <t>15/2/1399</t>
  </si>
  <si>
    <t>Owj48.pdf</t>
  </si>
  <si>
    <t>https://drive.google.com/file/d/1MryL-cMOQKioabtce5E3piPvQYDviVAx/view?usp=drivesdk</t>
  </si>
  <si>
    <t>x/3/1399</t>
  </si>
  <si>
    <t>15/3/1399</t>
  </si>
  <si>
    <t>Owj49.pdf</t>
  </si>
  <si>
    <t>https://drive.google.com/file/d/1yOkmYyXkWKeVkL8T8T7VC2XhgxZifhFa/view?usp=drivesdk</t>
  </si>
  <si>
    <t>x/5/1399</t>
  </si>
  <si>
    <t>15/5/1399</t>
  </si>
  <si>
    <t>Owj50.pdf</t>
  </si>
  <si>
    <t>https://drive.google.com/file/d/1KuyX4bEEV8PfETBLX5kysK-XsyhNNPDl/view?usp=drivesdk</t>
  </si>
  <si>
    <t>x/6/1399</t>
  </si>
  <si>
    <t>15/6/1399</t>
  </si>
  <si>
    <t>Owj51.pdf</t>
  </si>
  <si>
    <t>https://drive.google.com/file/d/1jKoII1zUY-phlkLX4WGMmI94VCr-wyeS/view?usp=drivesdk</t>
  </si>
  <si>
    <t>Owj52.pdf</t>
  </si>
  <si>
    <t>https://drive.google.com/file/d/18k51OsIiKGK-83B_Dpc21DVDUPlUJusT/view?usp=drivesdk</t>
  </si>
  <si>
    <t>Owj53.pdf</t>
  </si>
  <si>
    <t>https://drive.google.com/file/d/1R8AluAH-hQFb7XThFVglThHMWb1uTDvw/view?usp=drivesdk</t>
  </si>
  <si>
    <t>Owj54.pdf</t>
  </si>
  <si>
    <t>https://drive.google.com/file/d/1nXQzACWVafiPXsKE9TIUgOnc46t6fyoV/view?usp=drivesdk</t>
  </si>
  <si>
    <t>Owj55.pdf</t>
  </si>
  <si>
    <t>https://drive.google.com/file/d/1YpQPVelmfkRortpBBN-AMCZ-QfwGn-kE/view?usp=drivesdk</t>
  </si>
  <si>
    <t>Owj56.pdf</t>
  </si>
  <si>
    <t>https://drive.google.com/file/d/1heNv_usigEMOM6B5MNYwgrmuQ1SZCfrz/view?usp=drivesdk</t>
  </si>
  <si>
    <t>Owj57.pdf</t>
  </si>
  <si>
    <t>https://drive.google.com/file/d/1gCJiBJBuKq8zs78ylCazL-NwG2bTij4n/view?usp=drivesdk</t>
  </si>
  <si>
    <t>عرفان استقامت</t>
  </si>
  <si>
    <t>Owj58.pdf</t>
  </si>
  <si>
    <t>https://drive.google.com/file/d/1F8XLHTOUbZFKZStLoNSte9hBemjvPy9F/view?usp=drivesdk</t>
  </si>
  <si>
    <t>x/4/1400</t>
  </si>
  <si>
    <t>15/4/1400</t>
  </si>
  <si>
    <t>Owj59.pdf</t>
  </si>
  <si>
    <t>https://drive.google.com/file/d/1kpjxC51-_w4TztDzJtyEIzk_7XXLeWil/view?usp=drivesdk</t>
  </si>
  <si>
    <t>Owj60.pdf</t>
  </si>
  <si>
    <t>https://drive.google.com/file/d/1tYpsTIRoDHBTBeyV1R0tqM8ZMldrXtPn/view?usp=drivesdk</t>
  </si>
  <si>
    <t>x/7/1400</t>
  </si>
  <si>
    <t>15/7/1400</t>
  </si>
  <si>
    <t>Owj61.pdf</t>
  </si>
  <si>
    <t>https://drive.google.com/file/d/1DGxcdpttghIAi46q4udh3Et_EcDF7m4d/view?usp=drivesdk</t>
  </si>
  <si>
    <t>Owj62.pdf</t>
  </si>
  <si>
    <t>https://drive.google.com/file/d/1mW80-n8y_aYuQTInfO0UYxtqd4msPJo2/view?usp=drivesdk</t>
  </si>
  <si>
    <t>x/9/1400</t>
  </si>
  <si>
    <t>15/9/1400</t>
  </si>
  <si>
    <t>Owj63.pdf</t>
  </si>
  <si>
    <t>https://drive.google.com/file/d/1nlg5_9NXgVMIwxMikxLVN8taEP5Zvrw9/view?usp=drivesdk</t>
  </si>
  <si>
    <t>x/11/1400</t>
  </si>
  <si>
    <t>15/11/1400</t>
  </si>
  <si>
    <t>Owj64.pdf</t>
  </si>
  <si>
    <t>https://drive.google.com/file/d/1dj_md34MLEWEVYrb7JyFNIvvOHOZpvFX/view?usp=drivesdk</t>
  </si>
  <si>
    <t>Owj65.pdf</t>
  </si>
  <si>
    <t>https://drive.google.com/file/d/181Y1qrVeeAFG5qsO5w6Rc6TllichHOCa/view?usp=drivesdk</t>
  </si>
  <si>
    <t>x/2/1401</t>
  </si>
  <si>
    <t>15/2/1401</t>
  </si>
  <si>
    <t>Owj66.pdf</t>
  </si>
  <si>
    <t>https://drive.google.com/file/d/1IKCSNsIxR7no3QSD3v7pvi5ly6jxlFCl/view?usp=drivesdk</t>
  </si>
  <si>
    <t>علی‌رضا نجاتی شندی</t>
  </si>
  <si>
    <t>x/4/1401</t>
  </si>
  <si>
    <t>15/4/1401</t>
  </si>
  <si>
    <t>Owj67.pdf</t>
  </si>
  <si>
    <t>https://drive.google.com/file/d/1BGyVMU7M_2FD5s-UF-avkkZLro6IG1bh/view?usp=drivesdk</t>
  </si>
  <si>
    <t>x/6/1401</t>
  </si>
  <si>
    <t>15/6/1401</t>
  </si>
  <si>
    <t>Owj68.pdf</t>
  </si>
  <si>
    <t>https://drive.google.com/file/d/15_uD6gKzss9m9oKupgC9ZLD-5zAx4I1J/view?usp=drivesdk</t>
  </si>
  <si>
    <t>x/7/1401</t>
  </si>
  <si>
    <t>15/7/1401</t>
  </si>
  <si>
    <t>Owj69.pdf</t>
  </si>
  <si>
    <t>https://drive.google.com/file/d/1yMQlUxE6htjvR9cMeNQmLXQsUXltjcIu/view?usp=drivesdk</t>
  </si>
  <si>
    <t>Owj70.pdf</t>
  </si>
  <si>
    <t>https://drive.google.com/file/d/1MRUIJ2rgwaucO2pu_JYUyMNc10ZBIgYQ/view?usp=drivesdk</t>
  </si>
  <si>
    <t>x/11/1401</t>
  </si>
  <si>
    <t>15/11/1401</t>
  </si>
  <si>
    <t>Owj71.pdf</t>
  </si>
  <si>
    <t>https://drive.google.com/file/d/1S_-Ssn9h6mOM45xnr4Hoa7YY1CDWTyIw/view?usp=drivesdk</t>
  </si>
  <si>
    <t>x/1/1402</t>
  </si>
  <si>
    <t>15/1/1402</t>
  </si>
  <si>
    <t>Owj72.pdf</t>
  </si>
  <si>
    <t>https://drive.google.com/file/d/1o1-ou1Epbx3UpvCpelSXBCWPzZUwxJYy/view?usp=drivesdk</t>
  </si>
  <si>
    <t>x/4/1402</t>
  </si>
  <si>
    <t>15/4/1402</t>
  </si>
  <si>
    <t>Owj73.pdf</t>
  </si>
  <si>
    <t>https://drive.google.com/file/d/1wLaaXF50CDuaGMx3AxbCGI9OiAootFU-/view?usp=drivesdk</t>
  </si>
  <si>
    <t>سیدامیرحسین شفاعی</t>
  </si>
  <si>
    <t>Owj74.pdf</t>
  </si>
  <si>
    <t>https://drive.google.com/file/d/1JOQvrZ8f1gIw6USdXeyglFwWheSXIpkQ/view?usp=drivesdk</t>
  </si>
  <si>
    <t>x/7/1402</t>
  </si>
  <si>
    <t>15/7/1402</t>
  </si>
  <si>
    <t>Owj75.pdf</t>
  </si>
  <si>
    <t>https://drive.google.com/file/d/1Nq9TE61D7OD3tV-_Ztptsn0mN9paPS4r/view?usp=drivesdk</t>
  </si>
  <si>
    <t>x/8/1402</t>
  </si>
  <si>
    <t>15/8/1402</t>
  </si>
  <si>
    <t>Owj76.pdf</t>
  </si>
  <si>
    <t>https://drive.google.com/file/d/1MtUquAnerEm5HnvqQPreKrKhowa2fyxb/view?usp=drivesdk</t>
  </si>
  <si>
    <t>x/9/1402</t>
  </si>
  <si>
    <t>15/9/1402</t>
  </si>
  <si>
    <t>Owj77.pdf</t>
  </si>
  <si>
    <t>https://drive.google.com/file/d/14HiKo7VirGP2AadR2qetSRhEOOfekTHc/view?usp=drivesdk</t>
  </si>
  <si>
    <t>سمانه بخشنده</t>
  </si>
  <si>
    <t>x/3/1403</t>
  </si>
  <si>
    <t>15/3/1403</t>
  </si>
  <si>
    <t>Owj78.pdf</t>
  </si>
  <si>
    <t>https://drive.google.com/file/d/1P3hWwRdKrR5N-uxRlYXU1ZI0-6tWAfYU/view?usp=drivesdk</t>
  </si>
  <si>
    <t>x/6/1403</t>
  </si>
  <si>
    <t>15/6/1403</t>
  </si>
  <si>
    <t>Owj79.pdf</t>
  </si>
  <si>
    <t>https://drive.google.com/file/d/1oc5egDGN8452sGPTkNBDy6nva4mn_qmN/view?usp=drivesdk</t>
  </si>
  <si>
    <t>x/11/1403</t>
  </si>
  <si>
    <t>15/11/1403</t>
  </si>
  <si>
    <t>Root/انجمن‌های علمی و نشریات وابسته به دانشکده‌ها/دانشکده مهندسی عمران/ایستا و مجله عمران</t>
  </si>
  <si>
    <t>31.1.نشریه ایستا_ شماره اول.pdf</t>
  </si>
  <si>
    <t>https://drive.google.com/file/d/1uvXv_WQIC2HrSnieAhVhC8Mt8bSEvPCH/view?usp=drivesdk</t>
  </si>
  <si>
    <t>انجمن علمی عمران شریف</t>
  </si>
  <si>
    <t>دکتر وهب توفیق</t>
  </si>
  <si>
    <t>متینه محمودی</t>
  </si>
  <si>
    <t>31.2شماره دوم(1).pdf</t>
  </si>
  <si>
    <t>https://drive.google.com/file/d/1Qqykso9ICNesOXRzCvfBRWyO5HcIxpka/view?usp=drivesdk</t>
  </si>
  <si>
    <t>31.3شماره سوم(1).pdf</t>
  </si>
  <si>
    <t>https://drive.google.com/file/d/14KFYpdhId9RDr2u9Ka7twyoKlUCh85tE/view?usp=drivesdk</t>
  </si>
  <si>
    <t>31.4شماره چهارم(1).pdf</t>
  </si>
  <si>
    <t>https://drive.google.com/file/d/1COY1hD2D0PdRFApeQoWD7ylmxP9g3bp0/view?usp=drivesdk</t>
  </si>
  <si>
    <t>32.1نسخه الکترونیک مجله عمران شماره 1.pdf</t>
  </si>
  <si>
    <t>https://drive.google.com/file/d/1AW92BaFdzUpzJ3_wsb64mTg0dnkTl3mx/view?usp=drivesdk</t>
  </si>
  <si>
    <t>علی بختیاری</t>
  </si>
  <si>
    <t>32.2_⁨نشریه نوروزی عمران شریف⁩.pdf</t>
  </si>
  <si>
    <t>https://drive.google.com/file/d/1s8Hi7ED4NCL6BlgwmKNZr9VWqoexMPC7/view?usp=drivesdk</t>
  </si>
  <si>
    <t>x/9,10/1398</t>
  </si>
  <si>
    <t>32.3مجله عمران شماره 3.pdf</t>
  </si>
  <si>
    <t>https://drive.google.com/file/d/1n-pJGkgx-qGueHCKzMjPwWwuCWLHQFoK/view?usp=drivesdk</t>
  </si>
  <si>
    <t>32.4مجله عمران شماره ۴.pdf</t>
  </si>
  <si>
    <t>https://drive.google.com/file/d/1EgfeIX2bbDQoKNBYzZI_x0tEWA8nbAlX/view?usp=drivesdk</t>
  </si>
  <si>
    <t>32.5مجله عمران شماره ۵.pdf</t>
  </si>
  <si>
    <t>https://drive.google.com/file/d/1sFiMIg-7Ypor805VzGrzqRf9hQrQb-Hb/view?usp=drivesdk</t>
  </si>
  <si>
    <t>x/4,5/1399</t>
  </si>
  <si>
    <t>32.6مجله عمران ۶.pdf</t>
  </si>
  <si>
    <t>https://drive.google.com/file/d/1UeYgEPG6CQLy7Uk98Px8qSv8PqtM3r9L/view?usp=drivesdk</t>
  </si>
  <si>
    <t>32.7مجله عمران ۷.pdf</t>
  </si>
  <si>
    <t>https://drive.google.com/file/d/1_c8KWUDRFGy7_AyhWzxKIKAujY-FWJoD/view?usp=drivesdk</t>
  </si>
  <si>
    <t>هدیه گلی</t>
  </si>
  <si>
    <t>32.8مجله عمران ۸.pdf</t>
  </si>
  <si>
    <t>https://drive.google.com/file/d/1pNZGnC1coVMmzSOlT1McNCepjfaT71QB/view?usp=drivesdk</t>
  </si>
  <si>
    <t>32.9مجله عمران ۹.pdf</t>
  </si>
  <si>
    <t>https://drive.google.com/file/d/14a0FFzgWwnwBGOP3uHd2nqQFsKvZjZFe/view?usp=drivesdk</t>
  </si>
  <si>
    <t>33.0ویژه_نامه_جام_جهانی_نشریه_عمران_شریف.pdf</t>
  </si>
  <si>
    <t>https://drive.google.com/file/d/1EugiuOxJSI7KewW0r3V6qQv9YmJayLXM/view?usp=drivesdk</t>
  </si>
  <si>
    <t>امیرحسین حدادی</t>
  </si>
  <si>
    <t>33.1SharifCivilMag-No16.pdf</t>
  </si>
  <si>
    <t>https://drive.google.com/file/d/18AyU_kND4tX7mcYygqrLsfbxcyVfCuMV/view?usp=drivesdk</t>
  </si>
  <si>
    <t>x/x/1401</t>
  </si>
  <si>
    <t>1/7/1401</t>
  </si>
  <si>
    <t>33.2SharifCivilMag-No17.pdf</t>
  </si>
  <si>
    <t>https://drive.google.com/file/d/1huJEDxVTL4Ab0ZWV4l0ta2gb-KZ-rSoj/view?usp=drivesdk</t>
  </si>
  <si>
    <t>33.3SharifCivilMag-No18 (1).pdf</t>
  </si>
  <si>
    <t>https://drive.google.com/file/d/1iW2_ywj0gUPWvr8fbpkUURiSezjbvyyG/view?usp=drivesdk</t>
  </si>
  <si>
    <t>34.1.نشریه عمران شریف بهمن 1402.pdf</t>
  </si>
  <si>
    <t>https://drive.google.com/file/d/1jpvYT3_Q_ZI97uiFowV2SuLzKsSLDQCD/view?usp=drivesdk</t>
  </si>
  <si>
    <t>ثریا طباطبایی</t>
  </si>
  <si>
    <t>x/11/1402</t>
  </si>
  <si>
    <t>15/11/1402</t>
  </si>
  <si>
    <t>32.2شماره دوم نشریه عمران.pdf</t>
  </si>
  <si>
    <t>https://drive.google.com/file/d/1MgHXAR0MOxVWZjuDGBZoYLmGWKx9aSAV/view?usp=drivesdk</t>
  </si>
  <si>
    <t>سید رضی شیخ‌الاسلامی</t>
  </si>
  <si>
    <t>x/1/1403</t>
  </si>
  <si>
    <t>15/1/1403</t>
  </si>
  <si>
    <t>34.3_⁨نشریه_عمران_شریف_خرداد_1403_بخش_اول⁩.pdf</t>
  </si>
  <si>
    <t>https://drive.google.com/file/d/1UZqI_amvpa3_ehbbe6hIsIURguE-CYjg/view?usp=drivesdk</t>
  </si>
  <si>
    <t>34.4نشریه عمران شریف تیر 1403 بخش دوم.pdf</t>
  </si>
  <si>
    <t>https://drive.google.com/file/d/14oq84pzC198KPLy68TitKMW29AjD8PaZ/view?usp=drivesdk</t>
  </si>
  <si>
    <t>x/4/1403</t>
  </si>
  <si>
    <t>15/4/1403</t>
  </si>
  <si>
    <t>35.1مجله شماره یک،ViBa.pdf</t>
  </si>
  <si>
    <t>https://drive.google.com/file/d/1oCAxMm9hTsLGne4B7SMGuYzeYJfhnbg7/view?usp=drivesdk</t>
  </si>
  <si>
    <t>رضا رشوند</t>
  </si>
  <si>
    <t>5/8/1403</t>
  </si>
  <si>
    <t>35.2ویژه نامه ورودی های۱۴۰۳-شماره دو.pdf</t>
  </si>
  <si>
    <t>https://drive.google.com/file/d/16Fgmxwjrb5xPmGrPha555NFeSvNKXoFu/view?usp=drivesdk</t>
  </si>
  <si>
    <t>x/7/1403</t>
  </si>
  <si>
    <t>15/7/1403</t>
  </si>
  <si>
    <t>35.3مجله عمران-عمران نوین۳.pdf</t>
  </si>
  <si>
    <t>https://drive.google.com/file/d/1eWHzPkVoHemLEu7OfISjecpvXrpMmRgu/view?usp=drivesdk</t>
  </si>
  <si>
    <t>22/11/1403</t>
  </si>
  <si>
    <t>Root/انجمن‌های علمی و نشریات وابسته به دانشکده‌ها/دانشکده مهندسی برق/بارقه</t>
  </si>
  <si>
    <t>2.Bareghe02.pdf</t>
  </si>
  <si>
    <t>https://drive.google.com/file/d/1VuwRAVVZRKB0y1VP8rGzqGh1RO8hnz0L/view?usp=drivesdk</t>
  </si>
  <si>
    <t>امیر توفیقی</t>
  </si>
  <si>
    <t>نیوشا نویدی</t>
  </si>
  <si>
    <t>رضا خالوندی</t>
  </si>
  <si>
    <t>x/3/1391</t>
  </si>
  <si>
    <t>15/3/1391</t>
  </si>
  <si>
    <t>3.0.Bareghe03.pdf</t>
  </si>
  <si>
    <t>https://drive.google.com/file/d/1PvdLON6_6c65g54Umeu_bDJIgEyscQEE/view?usp=drivesdk</t>
  </si>
  <si>
    <t>سبا محمدی</t>
  </si>
  <si>
    <t>علی‌اصغر عبدالکریمی</t>
  </si>
  <si>
    <t>1/3/1391</t>
  </si>
  <si>
    <t>30/3/1393</t>
  </si>
  <si>
    <t>15/3/1392</t>
  </si>
  <si>
    <t>3.1.Moarefe92.pdf</t>
  </si>
  <si>
    <t>https://drive.google.com/file/d/1Kj_lzJ91-5ZYT_0B2AnXfIcSVZ40xzIP/view?usp=drivesdk</t>
  </si>
  <si>
    <t>ویژه‌نامه جشن ورودی ۱۳۹۲</t>
  </si>
  <si>
    <t>4.Bareghe04.pdf</t>
  </si>
  <si>
    <t>https://drive.google.com/file/d/1cMtunokbc4eGrf2q6OQJUTmK0yNbD0x8/view?usp=drivesdk</t>
  </si>
  <si>
    <t>5.Bareghe05.pdf</t>
  </si>
  <si>
    <t>https://drive.google.com/file/d/1irDY5oFap8QDiTU3IAA0Nubt31gAq6GZ/view?usp=drivesdk</t>
  </si>
  <si>
    <t>ساناز محمدجعفری</t>
  </si>
  <si>
    <t>کیمیا چاووشی</t>
  </si>
  <si>
    <t>6.Bareghe06.pdf</t>
  </si>
  <si>
    <t>https://drive.google.com/file/d/1vbKK1yJOkSCqp45SZTEkoLELWO5QQLl8/view?usp=drivesdk</t>
  </si>
  <si>
    <t>x/3/1393</t>
  </si>
  <si>
    <t>15/3/1393</t>
  </si>
  <si>
    <t>7.Bareghe07.pdf</t>
  </si>
  <si>
    <t>https://drive.google.com/file/d/1FR5W0IdHub_Rf3dy6K6kkZHJn7YVvSqz/view?usp=drivesdk</t>
  </si>
  <si>
    <t>1/3/1393</t>
  </si>
  <si>
    <t>30/2/1394</t>
  </si>
  <si>
    <t>28/8/1393</t>
  </si>
  <si>
    <t>8.Bareghe08.pdf</t>
  </si>
  <si>
    <t>https://drive.google.com/file/d/1tnSCo9Ttuea4H87Ym8oK3rhHnbBsLl4R/view?usp=drivesdk</t>
  </si>
  <si>
    <t>شایان عزیزنژاد</t>
  </si>
  <si>
    <t>9.Bareghe09.pdf</t>
  </si>
  <si>
    <t>https://drive.google.com/file/d/1qlFZvhTOl9Xt5--rJdW7KjAMhdhDrz8S/view?usp=drivesdk</t>
  </si>
  <si>
    <t>x/2/1394</t>
  </si>
  <si>
    <t>15/2/1394</t>
  </si>
  <si>
    <t>10.Bareghe10.pdf</t>
  </si>
  <si>
    <t>https://drive.google.com/file/d/12XP12YMzVqS4Ln78YmxCX6zzi2oixKyT/view?usp=drivesdk</t>
  </si>
  <si>
    <t>امیرعلی عرب محقی</t>
  </si>
  <si>
    <t>محمد محسن مهدیزاده</t>
  </si>
  <si>
    <t>1/2/1394</t>
  </si>
  <si>
    <t>30/7/1396</t>
  </si>
  <si>
    <t>31/4/1395</t>
  </si>
  <si>
    <t>19.Bareghe19.pdf</t>
  </si>
  <si>
    <t>https://drive.google.com/file/d/1HU5Vs66zIrnF6S2ZFdL-s4JcPiAux4_u/view?usp=drivesdk</t>
  </si>
  <si>
    <t>انجمن علمی-فرهنگی رسانا</t>
  </si>
  <si>
    <t>مائده آشفته برابادی</t>
  </si>
  <si>
    <t>20.Bareghe20.pdf</t>
  </si>
  <si>
    <t>https://drive.google.com/file/d/1e2r6yi4ND6RGWpkYzfxzxbb3vf9WbEI6/view?usp=drivesdk</t>
  </si>
  <si>
    <t>21.Bareghe21.pdf</t>
  </si>
  <si>
    <t>https://drive.google.com/file/d/1imG05vic-SctXZz4hbgv2oz1gAvhKrxp/view?usp=drivesdk</t>
  </si>
  <si>
    <t>x/11/1396</t>
  </si>
  <si>
    <t>15/11/1396</t>
  </si>
  <si>
    <t>22.Bareghe22.pdf</t>
  </si>
  <si>
    <t>https://drive.google.com/file/d/1L0bfyK6pDtzLSK07N4tFHc6GzTA08aP7/view?usp=drivesdk</t>
  </si>
  <si>
    <t>محمد صادقی</t>
  </si>
  <si>
    <t>سارا محمدی</t>
  </si>
  <si>
    <t>23.Bareghe23.pdf</t>
  </si>
  <si>
    <t>https://drive.google.com/file/d/1c5z6GM5XCkdBOhX0mcAC45xYNzSa_WcQ/view?usp=drivesdk</t>
  </si>
  <si>
    <t>24.Bareghe24.pdf</t>
  </si>
  <si>
    <t>https://drive.google.com/file/d/1XZzgN2CbJ0HwiQWr7P3SeEfX63vomxIo/view?usp=drivesdk</t>
  </si>
  <si>
    <t>25.Bareghe25.pdf</t>
  </si>
  <si>
    <t>https://drive.google.com/file/d/1ILBSonvE8sEdf6F1k2HEb7zSs2QZA_K5/view?usp=drivesdk</t>
  </si>
  <si>
    <t>26.Bareghe26.pdf</t>
  </si>
  <si>
    <t>https://drive.google.com/file/d/1cB08RcGqayVdeh9hV4WnQSfd7_1HTTZC/view?usp=drivesdk</t>
  </si>
  <si>
    <t>علی حیدری</t>
  </si>
  <si>
    <t>27.Bareghe27.pdf</t>
  </si>
  <si>
    <t>https://drive.google.com/file/d/1eEZovCHqzbRoxgERa2FlEGGW9ME_sFEB/view?usp=drivesdk</t>
  </si>
  <si>
    <t>28.Bareghe28.pdf</t>
  </si>
  <si>
    <t>https://drive.google.com/file/d/1MQ_vJO9Rk0aQcHjmFi9ujOXVccZvlUZJ/view?usp=drivesdk</t>
  </si>
  <si>
    <t>29.Bareghe29.pdf</t>
  </si>
  <si>
    <t>https://drive.google.com/file/d/1_Y2DNbGUUEm1Ynr5_GZTvudOqboVAu2-/view?usp=drivesdk</t>
  </si>
  <si>
    <t>محمدمهدی قاسملو</t>
  </si>
  <si>
    <t>30.Bareghe30.pdf</t>
  </si>
  <si>
    <t>https://drive.google.com/file/d/1gltUSGktSIVuldA7t2MNrRANtcbEf9lr/view?usp=drivesdk</t>
  </si>
  <si>
    <t>31.Bareghe31.pdf</t>
  </si>
  <si>
    <t>https://drive.google.com/file/d/1-bqeDI3RdYU4dwcsKNocrF-OTkmHXpHx/view?usp=drivesdk</t>
  </si>
  <si>
    <t>32.Bareghe32.pdf</t>
  </si>
  <si>
    <t>https://drive.google.com/file/d/1gQbvzslo1X5l1dI7op7hP4MzvHZOWbeQ/view?usp=drivesdk</t>
  </si>
  <si>
    <t>33.Bareghe33.pdf</t>
  </si>
  <si>
    <t>https://drive.google.com/file/d/1hkf-3TXc6vmXFxR-xIRCYGkgY2fJ-RCo/view?usp=drivesdk</t>
  </si>
  <si>
    <t>34.Bareghe34.pdf</t>
  </si>
  <si>
    <t>https://drive.google.com/file/d/15nfOC3EsnmlwohungF-93i9abvhQj_Z2/view?usp=drivesdk</t>
  </si>
  <si>
    <t>علی آخوندی</t>
  </si>
  <si>
    <t>35.Bareghe35.pdf</t>
  </si>
  <si>
    <t>https://drive.google.com/file/d/1PrDX-AJriBYagRfn2vP3_MMBO8D99neP/view?usp=drivesdk</t>
  </si>
  <si>
    <t>36.Bareghe36.pdf</t>
  </si>
  <si>
    <t>https://drive.google.com/file/d/17lv_dDBqS8tlBBTfpMwIEpN_60LyNXLh/view?usp=drivesdk</t>
  </si>
  <si>
    <t>فربد یداللهی</t>
  </si>
  <si>
    <t>37.Bareghe37.pdf</t>
  </si>
  <si>
    <t>https://drive.google.com/file/d/1ubSNjwyvuG6scLsy28-E0SnvTdInrDIK/view?usp=drivesdk</t>
  </si>
  <si>
    <t>38.Bareghe38.pdf</t>
  </si>
  <si>
    <t>https://drive.google.com/file/d/1JKOphFo1PzUA897Mi8_wg9K0PgNitVbR/view?usp=drivesdk</t>
  </si>
  <si>
    <t>سید معین‌الدین مکیان</t>
  </si>
  <si>
    <t>محمدجواد مهماندوست</t>
  </si>
  <si>
    <t>39.Bareghe39.pdf</t>
  </si>
  <si>
    <t>https://drive.google.com/file/d/1w9Y7_C-yvOZ0SoQn6Vll3H3oWGAdgcD4/view?usp=drivesdk</t>
  </si>
  <si>
    <t>40.Bareghe40.pdf</t>
  </si>
  <si>
    <t>https://drive.google.com/file/d/1L7BkjS-tqqZZd-FKp3gJw0IdOzhKHIvv/view?usp=drivesdk</t>
  </si>
  <si>
    <t>41.Bareghe41.pdf</t>
  </si>
  <si>
    <t>https://drive.google.com/file/d/1edLQM5QQUExvg45SPsnAtc1pKTe4pZ6v/view?usp=drivesdk</t>
  </si>
  <si>
    <t>42.Bareghe42.pdf</t>
  </si>
  <si>
    <t>https://drive.google.com/file/d/1tjSyeeKKomB6b5WtZmK0mVTCGRnZ5gEC/view?usp=drivesdk</t>
  </si>
  <si>
    <t>علی سلطانی</t>
  </si>
  <si>
    <t>43.bareghe43.pdf</t>
  </si>
  <si>
    <t>https://drive.google.com/file/d/1UV-GTUSDJkFjHvUA-3GPlhApIFE-Qzs1/view?usp=drivesdk</t>
  </si>
  <si>
    <t>x/10/1402</t>
  </si>
  <si>
    <t>15/10/1402</t>
  </si>
  <si>
    <t>44.Bareghe44.pdf</t>
  </si>
  <si>
    <t>https://drive.google.com/file/d/19NdGvM3NDgNx6SWHyh3Ph0ZFT8w9HxN2/view?usp=drivesdk</t>
  </si>
  <si>
    <t>محمّد مختاری</t>
  </si>
  <si>
    <t>ساناز مزرعه</t>
  </si>
  <si>
    <t>45.Bareghe45.pdf</t>
  </si>
  <si>
    <t>https://drive.google.com/file/d/1Fr9F7p5PS2eLcICr7WwyJmyFIl-_aFMk/view?usp=drivesdk</t>
  </si>
  <si>
    <t>x/9/1403</t>
  </si>
  <si>
    <t>15/9/1403</t>
  </si>
  <si>
    <t>46.Bareghe46.pdf</t>
  </si>
  <si>
    <t>https://drive.google.com/file/d/1PyJiQgqQhRebIYr3AVk-5zc1NGjKayou/view?usp=drivesdk</t>
  </si>
  <si>
    <t>x/10/1403</t>
  </si>
  <si>
    <t>15/10/1403</t>
  </si>
  <si>
    <t>47.Bareghe47.pdf</t>
  </si>
  <si>
    <t>https://drive.google.com/file/d/1qA-gqIfidxiZBvscYP8Fz1aQlY8Ww_8H/view?usp=drivesdk</t>
  </si>
  <si>
    <t>زهرا شاه‌حسینی</t>
  </si>
  <si>
    <t>48.Bareghe48.pdf</t>
  </si>
  <si>
    <t>https://drive.google.com/file/d/1EYpbYCVhhLUfoP3-CbzmJmM7YTZumesK/view?usp=drivesdk</t>
  </si>
  <si>
    <t>x/1/1404</t>
  </si>
  <si>
    <t>15/1/1404</t>
  </si>
  <si>
    <t>49.Bareghe49.pdf</t>
  </si>
  <si>
    <t>https://drive.google.com/file/d/12RaZZWlHjr_lSXdFpN-5TUJI5jqakWkZ/view?usp=drivesdk</t>
  </si>
  <si>
    <t>x/4/1404</t>
  </si>
  <si>
    <t>15/4/1404</t>
  </si>
  <si>
    <t>Root/انجمن‌های علمی و نشریات وابسته به دانشکده‌ها/طرشت ۳/باغ کاج</t>
  </si>
  <si>
    <t>1.0.نسخه1.pdf</t>
  </si>
  <si>
    <t>https://drive.google.com/file/d/17Lwo7eiwrhjkV1FnsL2eUUJSd4YxHhPc/view?usp=drivesdk</t>
  </si>
  <si>
    <t>هیئت ۱۴ معصوم (ع)</t>
  </si>
  <si>
    <t>علی ولی زاده</t>
  </si>
  <si>
    <t>امیرحسین غلامی</t>
  </si>
  <si>
    <t>31/6/1397</t>
  </si>
  <si>
    <t>1.1.ویژه نامه.pdf</t>
  </si>
  <si>
    <t>https://drive.google.com/file/d/1cPGrF8W6lhkv6mp4HpL01q79CvpF8scU/view?usp=drivesdk</t>
  </si>
  <si>
    <t>8/7/1397</t>
  </si>
  <si>
    <t>ویژه‌نامه</t>
  </si>
  <si>
    <t>2.نسخه2 چاپ2.pdf</t>
  </si>
  <si>
    <t>https://drive.google.com/file/d/1f4PNvJg_0z3xThbx8HImT9Q95zAXLvxa/view?usp=drivesdk</t>
  </si>
  <si>
    <t>5/8/1397</t>
  </si>
  <si>
    <t>3.شماره سوم.pdf</t>
  </si>
  <si>
    <t>https://drive.google.com/file/d/1FulzpaTcOJZTECRRWDeWV-2QecJ_iiip/view?usp=drivesdk</t>
  </si>
  <si>
    <t>6/9/1397</t>
  </si>
  <si>
    <t>4.ویژه نامه (2).pdf</t>
  </si>
  <si>
    <t>https://drive.google.com/file/d/1tOBTNOYor8kkigM9F391FISKuC0rnzAD/view?usp=drivesdk</t>
  </si>
  <si>
    <t>5.نشریه باغ کاج شماره پنجم.pdf</t>
  </si>
  <si>
    <t>https://drive.google.com/file/d/1njhqFU5KP0SsBXYKvVTwwXE3vsaX2ILB/view?usp=drivesdk</t>
  </si>
  <si>
    <t>16/9/1398</t>
  </si>
  <si>
    <t>6.باغ کاج - شماره ششم.pdf</t>
  </si>
  <si>
    <t>https://drive.google.com/file/d/1vwxWZPHupE8x3LJc1bqURwXtUI5cznB7/view?usp=drivesdk</t>
  </si>
  <si>
    <t>x/10/1400</t>
  </si>
  <si>
    <t>15/10/1400</t>
  </si>
  <si>
    <t>7.شماره هفتم - برای احساس آرامش.pdf</t>
  </si>
  <si>
    <t>https://drive.google.com/file/d/1FFDQ5tMp_flRF5Jlwxx5Et83Cpfb6X67/view?usp=drivesdk</t>
  </si>
  <si>
    <t>سیدسعید تقوی</t>
  </si>
  <si>
    <t>محمدحسین شعرا</t>
  </si>
  <si>
    <t>Root/انجمن‌های علمی و نشریات وابسته به دانشکده‌ها/دانشکده مهندسی مواد و متالورژی/بلور</t>
  </si>
  <si>
    <t>Blur 1.1.pdf</t>
  </si>
  <si>
    <t>https://drive.google.com/file/d/1YUWgMxtU96g5_t6Par2gW9wO91mr3hDi/view?usp=drivesdk</t>
  </si>
  <si>
    <t>انجمن علمی دانشکده مهندسی و علم مواد</t>
  </si>
  <si>
    <t>آیناز ابراهیم‌زاده</t>
  </si>
  <si>
    <t>Blur 2.pdf</t>
  </si>
  <si>
    <t>https://drive.google.com/file/d/1oxybY88TXUXeJA4XSrHd0gl1j3PhTiw6/view?usp=drivesdk</t>
  </si>
  <si>
    <t>Blur 3.pdf</t>
  </si>
  <si>
    <t>https://drive.google.com/file/d/1d_2m4W3Rl_sWL_jpmle_hqcT1uUPtAmd/view?usp=drivesdk</t>
  </si>
  <si>
    <t>پویا شکربیکی</t>
  </si>
  <si>
    <t>x/8/1403</t>
  </si>
  <si>
    <t>15/8/1403</t>
  </si>
  <si>
    <t>Root/انجمن‌های علمی و نشریات وابسته به دانشکده‌ها/دانشکده مهندسی مواد و متالورژی/پراش</t>
  </si>
  <si>
    <t>1.پراش-1.pdf</t>
  </si>
  <si>
    <t>https://drive.google.com/file/d/1e78Ahj4fwFxhmbiw-VsGdSIRffkOhNkz/view?usp=drivesdk</t>
  </si>
  <si>
    <t>هومن محمدی</t>
  </si>
  <si>
    <t>سید محمود طباطبایی</t>
  </si>
  <si>
    <t>محمد حسین طالبی</t>
  </si>
  <si>
    <t>2.PARASH-2 (2).pdf</t>
  </si>
  <si>
    <t>https://drive.google.com/file/d/1sG-5_5zbMD4EWNndkcf7kH6ei7HsWnHq/view?usp=drivesdk</t>
  </si>
  <si>
    <t>3.0.PARASH-3 (2).pdf</t>
  </si>
  <si>
    <t>https://drive.google.com/file/d/1zmIO1WkiCvR9FJjWVzPQQVOWum1K-IMa/view?usp=drivesdk</t>
  </si>
  <si>
    <t>3.1.PARASH-1400 (2).pdf</t>
  </si>
  <si>
    <t>https://drive.google.com/file/d/1Y6mN52RweqlrrbLue_OdVwrcpUA-MmoR/view?usp=drivesdk</t>
  </si>
  <si>
    <t>x/x/1400</t>
  </si>
  <si>
    <t>ویژه‌نامه ورودی ۱۴۰۰</t>
  </si>
  <si>
    <t>1/7/1400</t>
  </si>
  <si>
    <t>4.Parash-4 (2).pdf</t>
  </si>
  <si>
    <t>https://drive.google.com/file/d/1W3Q0hZpoVufqDhH6Rm5YbQipMDJxEycc/view?usp=drivesdk</t>
  </si>
  <si>
    <t>Root/تشکل‌های اسلامی و سیاسی/انجمن اسلامی دانشجویان/ترنج</t>
  </si>
  <si>
    <t>1.نشریه ترنج.pdf</t>
  </si>
  <si>
    <t>https://drive.google.com/file/d/13sgNn21D0tDzUdaHlZsuRKKhY4cIUokm/view?usp=drivesdk</t>
  </si>
  <si>
    <t>انجمن اسلامی</t>
  </si>
  <si>
    <t>مفرحانه جلیلیا</t>
  </si>
  <si>
    <t>شورای سردبیری</t>
  </si>
  <si>
    <t>x/12/1395</t>
  </si>
  <si>
    <t>15/12/1395</t>
  </si>
  <si>
    <t>2.ترنج ۲.pdf</t>
  </si>
  <si>
    <t>https://drive.google.com/file/d/1cbMrlcvIM60K8cgvOEnuv14eC4thM28q/view?usp=drivesdk</t>
  </si>
  <si>
    <t>3.ترنج_۳.pdf</t>
  </si>
  <si>
    <t>https://drive.google.com/file/d/1-SQgMCpY1rkjn0grqBxCZFgY4Whvn0wA/view?usp=drivesdk</t>
  </si>
  <si>
    <t>x/1/1396</t>
  </si>
  <si>
    <t>15/1/1396</t>
  </si>
  <si>
    <t>4.شماره ی چهارم نشریه ترنج.pdf</t>
  </si>
  <si>
    <t>https://drive.google.com/file/d/1LqnXznT5C-dkn44Oa4ZjgkXnpSlpFlLX/view?usp=drivesdk</t>
  </si>
  <si>
    <t>5.ترنج ۵.pdf</t>
  </si>
  <si>
    <t>https://drive.google.com/file/d/1s9gu_AK5XRcPs0GQtbapXZJlPjRXgQFO/view?usp=drivesdk</t>
  </si>
  <si>
    <t>6.Toranj_06.Aban 96.pdf</t>
  </si>
  <si>
    <t>https://drive.google.com/file/d/1tUrQCFMX7Tv4f_Ndz9Y3B7FskX22dl9l/view?usp=drivesdk</t>
  </si>
  <si>
    <t>7.نشریه ترنج _ شماره 7.pdf</t>
  </si>
  <si>
    <t>https://drive.google.com/file/d/1PukHeXuMDIRS3SAuqWRxYyf0-Q-D-Zot/view?usp=drivesdk</t>
  </si>
  <si>
    <t>8.نشریه‌ی ترنج شماره‌ی 8.pdf</t>
  </si>
  <si>
    <t>https://drive.google.com/file/d/1dR5ObHkhWAmBahN-loeGd3Kq4bZdYDq6/view?usp=drivesdk</t>
  </si>
  <si>
    <t>امیرحسین حاجی‌علی‌بیگی</t>
  </si>
  <si>
    <t>کیمیا جورابچی</t>
  </si>
  <si>
    <t>6/12/1396</t>
  </si>
  <si>
    <t>9.ترنج شماره 9.pdf</t>
  </si>
  <si>
    <t>https://drive.google.com/file/d/16w0YtFESjiYo-UUpHCsU7oPVvCSXRbiy/view?usp=drivesdk</t>
  </si>
  <si>
    <t>19/1/1398</t>
  </si>
  <si>
    <t>10.ترنج شماره ۱۰ .pdf</t>
  </si>
  <si>
    <t>https://drive.google.com/file/d/1LWAhpvt9l_zODlInwviKV9EoWjX4LpvI/view?usp=drivesdk</t>
  </si>
  <si>
    <t>9/2/1398</t>
  </si>
  <si>
    <t>11.نشریه ترنج شماره ۱۱.pdf</t>
  </si>
  <si>
    <t>https://drive.google.com/file/d/100lAMVXpj7ilL3CMEiKelM0q-AATGrEC/view?usp=drivesdk</t>
  </si>
  <si>
    <t>7/3/1398</t>
  </si>
  <si>
    <t>12.Toranj12.pdf</t>
  </si>
  <si>
    <t>https://drive.google.com/file/d/12Ge-E04E4LsC0U7xnZ4H1s5gRcIkS9Qw/view?usp=drivesdk</t>
  </si>
  <si>
    <t>13/7/1398</t>
  </si>
  <si>
    <t>13.شماره ۱۳ نشریه ترنج.pdf</t>
  </si>
  <si>
    <t>https://drive.google.com/file/d/1zHUCd3GK0QqLAPsxV3x64mhye1etloQL/view?usp=drivesdk</t>
  </si>
  <si>
    <t>8/10/1398</t>
  </si>
  <si>
    <t>14.ترنج ۱۴.pdf</t>
  </si>
  <si>
    <t>https://drive.google.com/file/d/1K_lLc_y2M5cxNs3zhUW4ucLfeAEnWtTA/view?usp=drivesdk</t>
  </si>
  <si>
    <t>سید محمدحسین قاسمی</t>
  </si>
  <si>
    <t>امیرمهدی اصلاح‌چی</t>
  </si>
  <si>
    <t>28/11/1398</t>
  </si>
  <si>
    <t>15.0ترنج ۱۵.pdf</t>
  </si>
  <si>
    <t>https://drive.google.com/file/d/1OIieR1R3L38xbQiPep8dJVliry5fLER3/view?usp=drivesdk</t>
  </si>
  <si>
    <t>28/12/1398</t>
  </si>
  <si>
    <t>15.1ترنج ۱۵ - ضمیمه.pdf</t>
  </si>
  <si>
    <t>https://drive.google.com/file/d/1kMa4vDvBSetXEmWYUP6ylujqdLQR9W9s/view?usp=drivesdk</t>
  </si>
  <si>
    <t>17/1/1399</t>
  </si>
  <si>
    <t>ضمیمه شماره ۱۵</t>
  </si>
  <si>
    <t>16.ترنج ۱۶.pdf</t>
  </si>
  <si>
    <t>https://drive.google.com/file/d/1Wmni6sy7LBQ7MfXqZDR_dvEFbUSpJDBJ/view?usp=drivesdk</t>
  </si>
  <si>
    <t>5/3/1399</t>
  </si>
  <si>
    <t>17.ترنج ۱۷.pdf</t>
  </si>
  <si>
    <t>https://drive.google.com/file/d/1Up9JLgQ1mFRWIELSfNhxOscs0Q5oPBdl/view?usp=drivesdk</t>
  </si>
  <si>
    <t>9/4/1399</t>
  </si>
  <si>
    <t>18.ترنج ۱۸.pdf</t>
  </si>
  <si>
    <t>https://drive.google.com/file/d/1oOX62R6qHsClMhdYxfGQj8vihachdmWV/view?usp=drivesdk</t>
  </si>
  <si>
    <t>19.نشریه ترنج شماره ۱۹.pdf</t>
  </si>
  <si>
    <t>https://drive.google.com/file/d/1ikTSA8kjD1nOUm8O3lGs6dI8Hll005AY/view?usp=drivesdk</t>
  </si>
  <si>
    <t>1/8/1399</t>
  </si>
  <si>
    <t>29/12/1401</t>
  </si>
  <si>
    <t>14/10/1400</t>
  </si>
  <si>
    <t>20.نشریه‌ی_ترنج_شماره‌ی_بیستم_اسفند۱۴۰۱.pdf</t>
  </si>
  <si>
    <t>https://drive.google.com/file/d/1DY4mxXihhFQFHNqoKgRtCGxUkV0pbpj2/view?usp=drivesdk</t>
  </si>
  <si>
    <t>اسما شهنازی</t>
  </si>
  <si>
    <t>مبینا صباغی</t>
  </si>
  <si>
    <t>21.نشریه‌ی_ترنج_شماره‌ی_بیست‌ویکم_اسفند۱۴۰۱.pdf</t>
  </si>
  <si>
    <t>https://drive.google.com/file/d/1St23BUGwR0vf3MKlpt5VnsMnJ7AD4mj9/view?usp=drivesdk</t>
  </si>
  <si>
    <t>22.نشریه_ترنج-شماره۲۲.pdf</t>
  </si>
  <si>
    <t>https://drive.google.com/file/d/12T4wXgBd15azRBKkYDxMLzSi0tkzHVHc/view?usp=drivesdk</t>
  </si>
  <si>
    <t>امیرارسلان احمدی</t>
  </si>
  <si>
    <t>حسین الله‌وردی</t>
  </si>
  <si>
    <t>23.ترنج شماره 23 - اسطوره.pdf</t>
  </si>
  <si>
    <t>https://drive.google.com/file/d/1NkewJ6mTL-EtjPSHWi-n63VhSTHXCZyx/view?usp=drivesdk</t>
  </si>
  <si>
    <t>24.نشریه ترنج شماره 24.pdf</t>
  </si>
  <si>
    <t>https://drive.google.com/file/d/1Ck53tsuMj69ESG7TiSTgGUtlX9VBmLB8/view?usp=drivesdk</t>
  </si>
  <si>
    <t>شایان مرادی</t>
  </si>
  <si>
    <t>محمدرضا مهدوی</t>
  </si>
  <si>
    <t>26/12/1403</t>
  </si>
  <si>
    <t>Root/تشکل‌های اسلامی و سیاسی/انجمن اسلامی دانشجویان/خبرنامه</t>
  </si>
  <si>
    <t>20.pdf</t>
  </si>
  <si>
    <t>https://drive.google.com/file/d/1Tjg200hrqh-Qd8YY0aovkd3e8ZbedKdt/view?usp=drivesdk</t>
  </si>
  <si>
    <t>x/10/1381</t>
  </si>
  <si>
    <t>15/10/1381</t>
  </si>
  <si>
    <t>22.pdf</t>
  </si>
  <si>
    <t>https://drive.google.com/file/d/1AnGMVIejVNzD4jkxk_2XBk2cLE2sNyfy/view?usp=drivesdk</t>
  </si>
  <si>
    <t>x/1/1382</t>
  </si>
  <si>
    <t>15/1/1382</t>
  </si>
  <si>
    <t>24.pdf</t>
  </si>
  <si>
    <t>https://drive.google.com/file/d/1z2Ng9DLmusZX_b_si2RwPAoZ-5vJP379/view?usp=drivesdk</t>
  </si>
  <si>
    <t>علیرضا قجری</t>
  </si>
  <si>
    <t>x/7/1382</t>
  </si>
  <si>
    <t>15/7/1382</t>
  </si>
  <si>
    <t>25.pdf</t>
  </si>
  <si>
    <t>https://drive.google.com/file/d/1uTtuWHSL-QsZMuiGyfTvcnTqyvBdLPrq/view?usp=drivesdk</t>
  </si>
  <si>
    <t>x/2/1382</t>
  </si>
  <si>
    <t>15/2/1382</t>
  </si>
  <si>
    <t>نیمه اول آبان ۱۳۸۲</t>
  </si>
  <si>
    <t>26.pdf</t>
  </si>
  <si>
    <t>https://drive.google.com/file/d/1hC-fmbuuhVHq7ELfllCrt6rilDB-VVOS/view?usp=drivesdk</t>
  </si>
  <si>
    <t>x/10/1382</t>
  </si>
  <si>
    <t>15/10/1382</t>
  </si>
  <si>
    <t>27.pdf</t>
  </si>
  <si>
    <t>https://drive.google.com/file/d/1KvDe3f4OYd5op0BNuE4Rq7Fna6ti9M6m/view?usp=drivesdk</t>
  </si>
  <si>
    <t>x/2/1383</t>
  </si>
  <si>
    <t>15/2/1383</t>
  </si>
  <si>
    <t>28.pdf</t>
  </si>
  <si>
    <t>https://drive.google.com/file/d/1ee6fBbmzSnCHi98fZ4M34DXgZBO0IRnC/view?usp=drivesdk</t>
  </si>
  <si>
    <t>x/9/1383</t>
  </si>
  <si>
    <t>15/9/1383</t>
  </si>
  <si>
    <t>31.pdf</t>
  </si>
  <si>
    <t>https://drive.google.com/file/d/1Ykc50WX9MGyBX2TMZCKWuYezBkQe-AZz/view?usp=drivesdk</t>
  </si>
  <si>
    <t>عارف قزاخانی</t>
  </si>
  <si>
    <t>32.pdf</t>
  </si>
  <si>
    <t>https://drive.google.com/file/d/1x395U0dPOqlbX7maiCL0GMbuyRReTRVd/view?usp=drivesdk</t>
  </si>
  <si>
    <t>33.pdf</t>
  </si>
  <si>
    <t>https://drive.google.com/file/d/1N6-j5olrS9qd-KIYk0-c5F7cSvCiq0cK/view?usp=drivesdk</t>
  </si>
  <si>
    <t>34.1.pdf</t>
  </si>
  <si>
    <t>https://drive.google.com/file/d/1-MzeH834w6kVDXr9O7cVT52GMWINEkdi/view?usp=drivesdk</t>
  </si>
  <si>
    <t>3/10/1384</t>
  </si>
  <si>
    <t>34.2.pdf</t>
  </si>
  <si>
    <t>https://drive.google.com/file/d/17yQVDYkh_MI7VamUcgpSbKYTE2o2dS2i/view?usp=drivesdk</t>
  </si>
  <si>
    <t>x/10/1384</t>
  </si>
  <si>
    <t>ویژه‌نامه اعتصاب</t>
  </si>
  <si>
    <t>15/10/1384</t>
  </si>
  <si>
    <t>35.pdf</t>
  </si>
  <si>
    <t>https://drive.google.com/file/d/1I5W0ojyIajIttugrOtUOvB5jIMSVzrsu/view?usp=drivesdk</t>
  </si>
  <si>
    <t>36.0khabar.pdf</t>
  </si>
  <si>
    <t>https://drive.google.com/file/d/1NsP8eIznrL5lCYYJq4K94JBaPr2KYb-9/view?usp=drivesdk</t>
  </si>
  <si>
    <t>26/10/1384</t>
  </si>
  <si>
    <t>ویژه‌نامه کوروش</t>
  </si>
  <si>
    <t>36.pdf</t>
  </si>
  <si>
    <t>https://drive.google.com/file/d/1MFJh9LWUyzzKeTrP9S71TgxkgwHTR_I9/view?usp=drivesdk</t>
  </si>
  <si>
    <t>25/11/1384</t>
  </si>
  <si>
    <t>37.pdf</t>
  </si>
  <si>
    <t>https://drive.google.com/file/d/1dFYdo5Ip-NB0WGExe7wCvQhwRpC4uddg/view?usp=drivesdk</t>
  </si>
  <si>
    <t>30/11/1384</t>
  </si>
  <si>
    <t>38.1.pdf</t>
  </si>
  <si>
    <t>https://drive.google.com/file/d/12GdxMkUACurOpMSFu33IlJOxmMi-jKPG/view?usp=drivesdk</t>
  </si>
  <si>
    <t>8/12/1384</t>
  </si>
  <si>
    <t>38.2vijenameh14esfand.pdf</t>
  </si>
  <si>
    <t>https://drive.google.com/file/d/1cZfQmvVwboGZKNRYj7jaDGoZht7Qor6-/view?usp=drivesdk</t>
  </si>
  <si>
    <t>14/12/1384</t>
  </si>
  <si>
    <t>ویژه‌نامه ۱۴ اسفند</t>
  </si>
  <si>
    <t>38.3bus.pdf</t>
  </si>
  <si>
    <t>https://drive.google.com/file/d/1m2OTRZlYq7mTE83Wy9tkGtJn2l0ZCL1t/view?usp=drivesdk</t>
  </si>
  <si>
    <t>x/12/1384</t>
  </si>
  <si>
    <t>15/12/1384</t>
  </si>
  <si>
    <t>39.pdf</t>
  </si>
  <si>
    <t>https://drive.google.com/file/d/17kX_LG93STXVmt0rHrpeP94NZLDHakYZ/view?usp=drivesdk</t>
  </si>
  <si>
    <t>40.1.pdf</t>
  </si>
  <si>
    <t>https://drive.google.com/file/d/1W62z4W6Kb7WeqkQZLlDiXzr6Z4ur-AkZ/view?usp=drivesdk</t>
  </si>
  <si>
    <t>40.2.pdf</t>
  </si>
  <si>
    <t>https://drive.google.com/file/d/1FY5rLe2mCHXmg5Ev96trBnvVofMc2Qix/view?usp=drivesdk</t>
  </si>
  <si>
    <t>x/x/1384</t>
  </si>
  <si>
    <t>ویژه‌نامه پیش از دفن شهدا</t>
  </si>
  <si>
    <t>18/11/1384</t>
  </si>
  <si>
    <t>21/12/1384</t>
  </si>
  <si>
    <t>4/12/1384</t>
  </si>
  <si>
    <t>40.3.22esfand.pdf</t>
  </si>
  <si>
    <t>https://drive.google.com/file/d/1t4sJdc1_DWgQoSbtrkxTHPXF80_58xg5/view?usp=drivesdk</t>
  </si>
  <si>
    <t>x/1/1385</t>
  </si>
  <si>
    <t>ویژه‌نامه دفن شهدا</t>
  </si>
  <si>
    <t>15/1/1385</t>
  </si>
  <si>
    <t>40.4.pdf</t>
  </si>
  <si>
    <t>https://drive.google.com/file/d/1W4gS3vFkRxHKVR6RHlLAQiwHAs0I6mWZ/view?usp=drivesdk</t>
  </si>
  <si>
    <t>29/1/1385</t>
  </si>
  <si>
    <t>ویژه‌نامه دفن شهدا ۲</t>
  </si>
  <si>
    <t>41.pdf</t>
  </si>
  <si>
    <t>https://drive.google.com/file/d/1TvuEVTuAANfb3I7egLcf_QjyQ-FPz-9j/view?usp=drivesdk</t>
  </si>
  <si>
    <t>علی وفقی</t>
  </si>
  <si>
    <t>42.pdf</t>
  </si>
  <si>
    <t>https://drive.google.com/file/d/1-8cP6LDR473qoy5EtgV106cbNDUR5Ed9/view?usp=drivesdk</t>
  </si>
  <si>
    <t>10/2/1385</t>
  </si>
  <si>
    <t>43.pdf</t>
  </si>
  <si>
    <t>https://drive.google.com/file/d/1MhVjrxjbzu4BZdXD6XGEbMu-_eP-7_Ny/view?usp=drivesdk</t>
  </si>
  <si>
    <t>44.pdf</t>
  </si>
  <si>
    <t>https://drive.google.com/file/d/1iJVzyNI0Ysy8jErYKSfpNirK5Le6XWei/view?usp=drivesdk</t>
  </si>
  <si>
    <t>31/2/1385</t>
  </si>
  <si>
    <t>45.pdf</t>
  </si>
  <si>
    <t>https://drive.google.com/file/d/18qLfJvC5xGQUBwOUuQN8nsjVHFya11ve/view?usp=drivesdk</t>
  </si>
  <si>
    <t>6/3/1385</t>
  </si>
  <si>
    <t>46.pdf</t>
  </si>
  <si>
    <t>https://drive.google.com/file/d/1xa4Y2Dr7eSDb8yziPIKyx08aN-xqioSt/view?usp=drivesdk</t>
  </si>
  <si>
    <t>9/7/1385</t>
  </si>
  <si>
    <t>47_prototype.pdf</t>
  </si>
  <si>
    <t>https://drive.google.com/file/d/10DRHcj_Hu4G4s6b6aWh-e9WAPrcL-j0J/view?usp=drivesdk</t>
  </si>
  <si>
    <t>آرش رشیدیان</t>
  </si>
  <si>
    <t>16/7/1385</t>
  </si>
  <si>
    <t>48.pdf</t>
  </si>
  <si>
    <t>https://drive.google.com/file/d/1H0PP8zB8L5c8RuiDcD1E6_F1yh4Ktx2e/view?usp=drivesdk</t>
  </si>
  <si>
    <t>25/7/1385</t>
  </si>
  <si>
    <t>49.pdf</t>
  </si>
  <si>
    <t>https://drive.google.com/file/d/1EEIq7YpWrWfYTnR8yuR70e3ua7-ey9U-/view?usp=drivesdk</t>
  </si>
  <si>
    <t>1/8/1385</t>
  </si>
  <si>
    <t>50.pdf</t>
  </si>
  <si>
    <t>https://drive.google.com/file/d/1D6s24jeMcxMT7WyT5auyWuEATVjotvxv/view?usp=drivesdk</t>
  </si>
  <si>
    <t>7/8/1385</t>
  </si>
  <si>
    <t>51.pdf</t>
  </si>
  <si>
    <t>https://drive.google.com/file/d/1MuYvWsUpZaf_xocgDVb-iVor0ptji82G/view?usp=drivesdk</t>
  </si>
  <si>
    <t>22/8/1385</t>
  </si>
  <si>
    <t>52.pdf</t>
  </si>
  <si>
    <t>https://drive.google.com/file/d/1wXdupEua2vvBNEH2X7l1dv8OsA6gvLpf/view?usp=drivesdk</t>
  </si>
  <si>
    <t>1/9/1385</t>
  </si>
  <si>
    <t>53.pdf</t>
  </si>
  <si>
    <t>https://drive.google.com/file/d/1VwNd6ElNabHiqZIEK1ucop5yMa3McIti/view?usp=drivesdk</t>
  </si>
  <si>
    <t>6/9/1385</t>
  </si>
  <si>
    <t>54.pdf</t>
  </si>
  <si>
    <t>https://drive.google.com/file/d/1MwOk_GXSxiydrWEgxzEa5PS1Pbnyci87/view?usp=drivesdk</t>
  </si>
  <si>
    <t>14/9/1385</t>
  </si>
  <si>
    <t>55.pdf</t>
  </si>
  <si>
    <t>https://drive.google.com/file/d/1xT2WDsUvcdNfbmB7lnB6ns1MsXGU6PLI/view?usp=drivesdk</t>
  </si>
  <si>
    <t>20/9/1385</t>
  </si>
  <si>
    <t>56.pdf</t>
  </si>
  <si>
    <t>https://drive.google.com/file/d/15oKCf7nLwaDUItqVdB0WIAUelmBE4sGA/view?usp=drivesdk</t>
  </si>
  <si>
    <t>27/9/1385</t>
  </si>
  <si>
    <t>57.pdf</t>
  </si>
  <si>
    <t>https://drive.google.com/file/d/1CnRP3OsEM2Vv5I24FInuMa8C9NcqyJuI/view?usp=drivesdk</t>
  </si>
  <si>
    <t>4/10/1385</t>
  </si>
  <si>
    <t>59.pdf</t>
  </si>
  <si>
    <t>https://drive.google.com/file/d/1BvM1wtPKr4zvubxWMmKJtmk1pbdi9Hqu/view?usp=drivesdk</t>
  </si>
  <si>
    <t>29/11/1385</t>
  </si>
  <si>
    <t>62.0.pdf</t>
  </si>
  <si>
    <t>https://drive.google.com/file/d/1-GYa9hqn8A5isW9NwgxgP5P-6AmFNADt/view?usp=drivesdk</t>
  </si>
  <si>
    <t>27/1/1385</t>
  </si>
  <si>
    <t>62.1.pdf</t>
  </si>
  <si>
    <t>https://drive.google.com/file/d/1FrTiSkVmTzGnjmMTPgbkldzXpEk9PWkQ/view?usp=drivesdk</t>
  </si>
  <si>
    <t>x/2/1386</t>
  </si>
  <si>
    <t>ویژه‌نامه حجاب</t>
  </si>
  <si>
    <t>15/2/1386</t>
  </si>
  <si>
    <t>63.pdf</t>
  </si>
  <si>
    <t>https://drive.google.com/file/d/1P_ja2hfAH8CObryhVHbpgWE8Q9Kxxo3h/view?usp=drivesdk</t>
  </si>
  <si>
    <t>64.pdf</t>
  </si>
  <si>
    <t>https://drive.google.com/file/d/1g_nzTyxXnpBfFRlxatjcH9Ib_c2KUbNJ/view?usp=drivesdk</t>
  </si>
  <si>
    <t>9/2/1386</t>
  </si>
  <si>
    <t>65.pdf</t>
  </si>
  <si>
    <t>https://drive.google.com/file/d/1XqtlU6aPjmBFAoVzvRW2k4VnzAnPSysS/view?usp=drivesdk</t>
  </si>
  <si>
    <t>29/2/1386</t>
  </si>
  <si>
    <t>66.1.pdf</t>
  </si>
  <si>
    <t>https://drive.google.com/file/d/1pjTx5F7w3F92APME93Pp3jJAu_NoecYb/view?usp=drivesdk</t>
  </si>
  <si>
    <t>7/9/1386</t>
  </si>
  <si>
    <t>66.2vije.pdf</t>
  </si>
  <si>
    <t>https://drive.google.com/file/d/1nqo8mbp6uiIwTnBmLEMGCYyJiFGM_328/view?usp=drivesdk</t>
  </si>
  <si>
    <t>30/7/1388</t>
  </si>
  <si>
    <t>ویژه‌نامه دانشجویان در بند پلی‌تکنیک</t>
  </si>
  <si>
    <t>68.pdf</t>
  </si>
  <si>
    <t>https://drive.google.com/file/d/1SYLPmgMp4QuX95qS1r0abJEmbhfW_Bqb/view?usp=drivesdk</t>
  </si>
  <si>
    <t>آرش رییسی نژاد</t>
  </si>
  <si>
    <t>24/7/1386</t>
  </si>
  <si>
    <t>69.pdf</t>
  </si>
  <si>
    <t>https://drive.google.com/file/d/1Dkk3eG4H8U2dnHlK2sBJYWrdWmf4JzEj/view?usp=drivesdk</t>
  </si>
  <si>
    <t>2/8/1386</t>
  </si>
  <si>
    <t>72.pdf</t>
  </si>
  <si>
    <t>https://drive.google.com/file/d/1NuoplWmpnpe5sqKsTbU627sgDrdzn2gm/view?usp=drivesdk</t>
  </si>
  <si>
    <t>x/9/1386</t>
  </si>
  <si>
    <t>15/9/1386</t>
  </si>
  <si>
    <t>73.pdf</t>
  </si>
  <si>
    <t>https://drive.google.com/file/d/15zzaLuymkzx3UTdCdXSI9zzdhqjosv8l/view?usp=drivesdk</t>
  </si>
  <si>
    <t>73.3.pdf</t>
  </si>
  <si>
    <t>https://drive.google.com/file/d/1_iVAfxmXGTR8hnnkq6ZvamL0Iz7PQrJH/view?usp=drivesdk</t>
  </si>
  <si>
    <t>74.1.pdf</t>
  </si>
  <si>
    <t>https://drive.google.com/file/d/1Ogj6v-uvWaYsZ1BQUV1MCc7Iu2U2Ybit/view?usp=drivesdk</t>
  </si>
  <si>
    <t>74.2.pdf</t>
  </si>
  <si>
    <t>https://drive.google.com/file/d/1ko-gY7_vQcQF_6tbtr_8ClMSLnNA0FZj/view?usp=drivesdk</t>
  </si>
  <si>
    <t>ویژه‌نامه دانشجویان زندانی</t>
  </si>
  <si>
    <t>77.0mostaghel.pdf</t>
  </si>
  <si>
    <t>https://drive.google.com/file/d/12aVk5z0qt20NZuluiLR3SHeELSbQQmdS/view?usp=drivesdk</t>
  </si>
  <si>
    <t>تارا سپهری فر</t>
  </si>
  <si>
    <t>x/2/1387</t>
  </si>
  <si>
    <t>ویژه‌نامه سالروز «انقلاب فرهنگی»</t>
  </si>
  <si>
    <t>15/2/1387</t>
  </si>
  <si>
    <t>77.pdf</t>
  </si>
  <si>
    <t>https://drive.google.com/file/d/1PtgWJHuSdjPeJJGJFtoLGJc6LafENe3d/view?usp=drivesdk</t>
  </si>
  <si>
    <t>77.01mostaghel.pdf</t>
  </si>
  <si>
    <t>https://drive.google.com/file/d/1VB1blncZd9BNAbcQVZFbfmz3XtirMp88/view?usp=drivesdk</t>
  </si>
  <si>
    <t>9/9/1387</t>
  </si>
  <si>
    <t>ویژه‌نامه مربوط به انجمن اسلامی مستقل</t>
  </si>
  <si>
    <t>78.pdf</t>
  </si>
  <si>
    <t>https://drive.google.com/file/d/1fdPMhBwpNbpnV79rntOOw7GEoVdnD3XX/view?usp=drivesdk</t>
  </si>
  <si>
    <t>x/7/1387</t>
  </si>
  <si>
    <t>15/7/1387</t>
  </si>
  <si>
    <t>79.pdf</t>
  </si>
  <si>
    <t>https://drive.google.com/file/d/1_RY_5RbN9-3G7zpAymtIq5WnefxoVJj0/view?usp=drivesdk</t>
  </si>
  <si>
    <t>80.pdf</t>
  </si>
  <si>
    <t>https://drive.google.com/file/d/1N0A7zdK1KSgAudkIKsf7r_1DOEJRPwBp/view?usp=drivesdk</t>
  </si>
  <si>
    <t>81.pdf</t>
  </si>
  <si>
    <t>https://drive.google.com/file/d/1rss-z8XX9kY9ak0Gm-TXgfVnx3szeKhc/view?usp=drivesdk</t>
  </si>
  <si>
    <t>82.pdf</t>
  </si>
  <si>
    <t>https://drive.google.com/file/d/16RNOxEsSMfve2HQyXmqbCLTSA-71Kkt-/view?usp=drivesdk</t>
  </si>
  <si>
    <t>x/8/1387</t>
  </si>
  <si>
    <t>15/8/1387</t>
  </si>
  <si>
    <t>84.pdf</t>
  </si>
  <si>
    <t>https://drive.google.com/file/d/1CSmTi_XmEIERo7WcRCa83CryAFSxxNeC/view?usp=drivesdk</t>
  </si>
  <si>
    <t>85.pdf</t>
  </si>
  <si>
    <t>https://drive.google.com/file/d/1FPBwD62cT7DWib_q-cKrwnuX5OL1xBVg/view?usp=drivesdk</t>
  </si>
  <si>
    <t>x/9/1387</t>
  </si>
  <si>
    <t>15/9/1387</t>
  </si>
  <si>
    <t>86.pdf</t>
  </si>
  <si>
    <t>https://drive.google.com/file/d/1AzJlg-uWQ9hsecPd14JEnx190TvOXquN/view?usp=drivesdk</t>
  </si>
  <si>
    <t>87.pdf</t>
  </si>
  <si>
    <t>https://drive.google.com/file/d/1HKpLPoM-7Q0wbnO53vpqcvI825rqPAr9/view?usp=drivesdk</t>
  </si>
  <si>
    <t>88.pdf</t>
  </si>
  <si>
    <t>https://drive.google.com/file/d/1wYQ_V1zMIftphs1RhNuf20Lnen1XCBR9/view?usp=drivesdk</t>
  </si>
  <si>
    <t>20/11/1387</t>
  </si>
  <si>
    <t>90.pdf</t>
  </si>
  <si>
    <t>https://drive.google.com/file/d/1ONJm2zfLHKud_qB9f_CYyIb-3G0Gco9I/view?usp=drivesdk</t>
  </si>
  <si>
    <t>لی اکبر محمدزاده</t>
  </si>
  <si>
    <t>12/12/1387</t>
  </si>
  <si>
    <t>91.pdf</t>
  </si>
  <si>
    <t>https://drive.google.com/file/d/1bxcMp5oVeymqU1woRWnEAnWRlpo6AMGq/view?usp=drivesdk</t>
  </si>
  <si>
    <t>20/12/1387</t>
  </si>
  <si>
    <t>92.pdf</t>
  </si>
  <si>
    <t>https://drive.google.com/file/d/1IfNSS1avSVBvWKmlEsjsmPMpxZIwqSFG/view?usp=drivesdk</t>
  </si>
  <si>
    <t>24/1/1388</t>
  </si>
  <si>
    <t>93.pdf</t>
  </si>
  <si>
    <t>https://drive.google.com/file/d/16KoMMqsB_NOtbni1F087wwrC7mIktZ5q/view?usp=drivesdk</t>
  </si>
  <si>
    <t>1/2/1388</t>
  </si>
  <si>
    <t>94.pdf</t>
  </si>
  <si>
    <t>https://drive.google.com/file/d/1QdaKAYvMi7Umlw9p7aQIc5-u949R1gnC/view?usp=drivesdk</t>
  </si>
  <si>
    <t>20/2/1388</t>
  </si>
  <si>
    <t>95.1.pdf</t>
  </si>
  <si>
    <t>https://drive.google.com/file/d/1n4EdfETu1GOPhK3YCz-PnmnVJ0kzRZ_1/view?usp=drivesdk</t>
  </si>
  <si>
    <t>4/3/1388</t>
  </si>
  <si>
    <t>95.2vijenameed.pdf</t>
  </si>
  <si>
    <t>https://drive.google.com/file/d/1MaYJbV_TK6ypMeDVp0ipTWzRD2oR8aWf/view?usp=drivesdk</t>
  </si>
  <si>
    <t>x/7/1388</t>
  </si>
  <si>
    <t>ویژه‌نامه ورودی‌های ۱۳۸۸</t>
  </si>
  <si>
    <t>15/7/1388</t>
  </si>
  <si>
    <t>96.0.pdf</t>
  </si>
  <si>
    <t>https://drive.google.com/file/d/1SIIHHuPFoAttN8i3zWWX5LrFRfqC_4sp/view?usp=drivesdk</t>
  </si>
  <si>
    <t>20/8/1388</t>
  </si>
  <si>
    <t>96.1.pdf</t>
  </si>
  <si>
    <t>https://drive.google.com/file/d/1CUVyIET4yaFeAcTvgtBjWpbfERHUM5i8/view?usp=drivesdk</t>
  </si>
  <si>
    <t>20/7/1388</t>
  </si>
  <si>
    <t>ویژه‌نامه احکام سنگین کمیته انضباطی</t>
  </si>
  <si>
    <t>96.2.خبرنامه_دومین_ویژه_نامه_احکام_سنگین_کمیته_انضباطی.pdf</t>
  </si>
  <si>
    <t>https://drive.google.com/file/d/1tnQR1x_oqvs-OE4LNuzYdATa9cVTxsC6/view?usp=drivesdk</t>
  </si>
  <si>
    <t>9/8/1388</t>
  </si>
  <si>
    <t>دومین ویژه‌نامه احکام سنگین کمیته انضباطی</t>
  </si>
  <si>
    <t>97.1.pdf</t>
  </si>
  <si>
    <t>https://drive.google.com/file/d/1qMELq4MgoeszO4visFmxAMQgyIuWhA2r/view?usp=drivesdk</t>
  </si>
  <si>
    <t>9/9/1388</t>
  </si>
  <si>
    <t>97.2bazdasht.pdf</t>
  </si>
  <si>
    <t>https://drive.google.com/file/d/1C48SyObInniogccRGhED-AL1oI8xy0bb/view?usp=drivesdk</t>
  </si>
  <si>
    <t>24/9/1388</t>
  </si>
  <si>
    <t>ویژه‌نامه بازداشت دانشجویان دانشگاه صنعتی شریف</t>
  </si>
  <si>
    <t>98.1.pdf</t>
  </si>
  <si>
    <t>https://drive.google.com/file/d/1w_qmi6AvudQX9z3XEVMuaEb9ePy5iAgd/view?usp=drivesdk</t>
  </si>
  <si>
    <t>19/11/1388</t>
  </si>
  <si>
    <t>98.2khbrnm.pdf</t>
  </si>
  <si>
    <t>https://drive.google.com/file/d/1vsPGB_j3l9gkUvuxpVNPvyaYbhdficlU/view?usp=drivesdk</t>
  </si>
  <si>
    <t>21/9/1388</t>
  </si>
  <si>
    <t>99.pdf</t>
  </si>
  <si>
    <t>https://drive.google.com/file/d/1Zh7qVi5FCjLw0iKOV3SPCPjf1gfvhvah/view?usp=drivesdk</t>
  </si>
  <si>
    <t>3/12/1388</t>
  </si>
  <si>
    <t>100.pdf</t>
  </si>
  <si>
    <t>https://drive.google.com/file/d/1hGgHQ7-BFV0RNyI-nBmxIvYf7zRvSN5i/view?usp=drivesdk</t>
  </si>
  <si>
    <t>17/12/1388</t>
  </si>
  <si>
    <t>101.pdf</t>
  </si>
  <si>
    <t>https://drive.google.com/file/d/1fRtFGB0tcwO_Ipa612ryCMhxvcByLslk/view?usp=drivesdk</t>
  </si>
  <si>
    <t>6/2/1389</t>
  </si>
  <si>
    <t>102.pdf</t>
  </si>
  <si>
    <t>https://drive.google.com/file/d/1K_9wN4fF7Y1j0FJAFQ9A54bc-EjpDD4I/view?usp=drivesdk</t>
  </si>
  <si>
    <t>13/2/1389</t>
  </si>
  <si>
    <t>103.pdf</t>
  </si>
  <si>
    <t>https://drive.google.com/file/d/1aDdZN1coO_zcA8ZMaEb1LDgBdOvbLgkO/view?usp=drivesdk</t>
  </si>
  <si>
    <t>3/3/1389</t>
  </si>
  <si>
    <t>104.pdf</t>
  </si>
  <si>
    <t>https://drive.google.com/file/d/1O7M-og0XwOOkT6ATlLapgs1ftc9XNybg/view?usp=drivesdk</t>
  </si>
  <si>
    <t>10/3/1389</t>
  </si>
  <si>
    <t>105.pdf</t>
  </si>
  <si>
    <t>https://drive.google.com/file/d/1X0vbLgifYmIawNjmL9akvDjwgCQyIUal/view?usp=drivesdk</t>
  </si>
  <si>
    <t>17/8/1389</t>
  </si>
  <si>
    <t>106.pdf</t>
  </si>
  <si>
    <t>https://drive.google.com/file/d/1hgi382mv0OgJ21dtDCQaIQU0vgyBRfEQ/view?usp=drivesdk</t>
  </si>
  <si>
    <t>25/8/1389</t>
  </si>
  <si>
    <t>107.pdf</t>
  </si>
  <si>
    <t>https://drive.google.com/file/d/1jga7grhc8JlGtOY5hIdr46Oo5MZbDPBB/view?usp=drivesdk</t>
  </si>
  <si>
    <t>2/9/1389</t>
  </si>
  <si>
    <t>108.pdf</t>
  </si>
  <si>
    <t>https://drive.google.com/file/d/1W1rJCIDowWm9gJcgxe_aCRZjPLBs7-Fv/view?usp=drivesdk</t>
  </si>
  <si>
    <t>22/9/1389</t>
  </si>
  <si>
    <t>113.pdf</t>
  </si>
  <si>
    <t>https://drive.google.com/file/d/1sWJl-AhWOtsljURCfGZbIBfKDDmB7x41/view?usp=drivesdk</t>
  </si>
  <si>
    <t>30/11/1389</t>
  </si>
  <si>
    <t>115.pdf</t>
  </si>
  <si>
    <t>https://drive.google.com/file/d/1x34cah_wQNI8KcN5huL6rf_WTy6DkaeS/view?usp=drivesdk</t>
  </si>
  <si>
    <t>بابک بهادری</t>
  </si>
  <si>
    <t>محمدعلی صدر قائنی</t>
  </si>
  <si>
    <t>19/11/1393</t>
  </si>
  <si>
    <t>116.pdf</t>
  </si>
  <si>
    <t>https://drive.google.com/file/d/1G8EdZo4gWilnurjAMKm0m0DQRSzCbHa7/view?usp=drivesdk</t>
  </si>
  <si>
    <t>26/11/1393</t>
  </si>
  <si>
    <t>117.pdf</t>
  </si>
  <si>
    <t>https://drive.google.com/file/d/1UF4vJdoXa9ocTX_HoVWyogdh0BS_hYtN/view?usp=drivesdk</t>
  </si>
  <si>
    <t>4/12/1393</t>
  </si>
  <si>
    <t>118.pdf</t>
  </si>
  <si>
    <t>https://drive.google.com/file/d/1rJ44HgCbd_B7Isi06ehtY0ojxVNPbBVm/view?usp=drivesdk</t>
  </si>
  <si>
    <t>11/12/1393</t>
  </si>
  <si>
    <t>119.pdf</t>
  </si>
  <si>
    <t>https://drive.google.com/file/d/1Ux8i6YX4zlpqQlGK9OwjHzQJlG52wbnz/view?usp=drivesdk</t>
  </si>
  <si>
    <t>18/12/1393</t>
  </si>
  <si>
    <t>120.pdf</t>
  </si>
  <si>
    <t>https://drive.google.com/file/d/1i67OcZ-jtq0EDKgjR388R2U449ISboUv/view?usp=drivesdk</t>
  </si>
  <si>
    <t>6/2/1394</t>
  </si>
  <si>
    <t>121.خبرنامه عمودی.jpg</t>
  </si>
  <si>
    <t>image/jpeg</t>
  </si>
  <si>
    <t>https://drive.google.com/file/d/1FTdF_BWtlnNzjmmo0GTF2vddeY0qcrTV/view?usp=drivesdk</t>
  </si>
  <si>
    <t>20/7/1394</t>
  </si>
  <si>
    <t>123.pdf</t>
  </si>
  <si>
    <t>https://drive.google.com/file/d/1H7Wo_fdcOhM4GMwwPEgczGe2QU6pJ2Fy/view?usp=drivesdk</t>
  </si>
  <si>
    <t>125.pdf</t>
  </si>
  <si>
    <t>https://drive.google.com/file/d/1dD3W5lJJ6ad5fLxr_Xft_ZNT2OVmxHdW/view?usp=drivesdk</t>
  </si>
  <si>
    <t>10/8/1394</t>
  </si>
  <si>
    <t>127.pdf</t>
  </si>
  <si>
    <t>https://drive.google.com/file/d/1JgUnoZQjSOnRTvjUqngjEaKm5oNH3b7Z/view?usp=drivesdk</t>
  </si>
  <si>
    <t>9/9/1394</t>
  </si>
  <si>
    <t>128.pdf</t>
  </si>
  <si>
    <t>https://drive.google.com/file/d/1hIH1rhSaDai8xV0JXFp8AroR33IEoRtI/view?usp=drivesdk</t>
  </si>
  <si>
    <t>132.pdf</t>
  </si>
  <si>
    <t>https://drive.google.com/file/d/1zn5-hwIiIydIJH20Wmc-WT-7mKgxrjUo/view?usp=drivesdk</t>
  </si>
  <si>
    <t>3/12/1394</t>
  </si>
  <si>
    <t>135.pdf</t>
  </si>
  <si>
    <t>https://drive.google.com/file/d/1I-px4H0LYV1oxlEtkZBa3TBqXMJxvVfd/view?usp=drivesdk</t>
  </si>
  <si>
    <t>5/2/1395</t>
  </si>
  <si>
    <t>136.pdf</t>
  </si>
  <si>
    <t>https://drive.google.com/file/d/13fFd9EEqytgqgCqGrOkWZbF2hpFvfEVL/view?usp=drivesdk</t>
  </si>
  <si>
    <t>9/2/1395</t>
  </si>
  <si>
    <t>140.pdf</t>
  </si>
  <si>
    <t>https://drive.google.com/file/d/1rHg-7uimBCJiCfnwF6uMK9JKkllsPXtz/view?usp=drivesdk</t>
  </si>
  <si>
    <t>خشایار پورطاهری</t>
  </si>
  <si>
    <t>سروش افخمی</t>
  </si>
  <si>
    <t>15/6/1395</t>
  </si>
  <si>
    <t>141.jpg</t>
  </si>
  <si>
    <t>https://drive.google.com/file/d/1wUQwL4G1r0jTZ69jm3sF9q0p2MOIGimv/view?usp=drivesdk</t>
  </si>
  <si>
    <t>5/7/1395</t>
  </si>
  <si>
    <t>143.pdf</t>
  </si>
  <si>
    <t>https://drive.google.com/file/d/19K1sUO-g2WQIn_G01xIBF4OpZPbRIklM/view?usp=drivesdk</t>
  </si>
  <si>
    <t>10/8/1395</t>
  </si>
  <si>
    <t>144.pdf</t>
  </si>
  <si>
    <t>https://drive.google.com/file/d/19D8AriGpGTQEH1j_bPxRA0xPe5lgx8ZM/view?usp=drivesdk</t>
  </si>
  <si>
    <t>16/9/1395</t>
  </si>
  <si>
    <t>145.pdf</t>
  </si>
  <si>
    <t>https://drive.google.com/file/d/1Ur6ThuO2GsTbuxfL1e6m1br5dx19wj0J/view?usp=drivesdk</t>
  </si>
  <si>
    <t>18/11/1395</t>
  </si>
  <si>
    <t>146.pdf</t>
  </si>
  <si>
    <t>https://drive.google.com/file/d/1Z_QLpF79JSZy8-nr4gTRHFHbZgFqszbD/view?usp=drivesdk</t>
  </si>
  <si>
    <t>مجتبی انصاری</t>
  </si>
  <si>
    <t>2/12/1395</t>
  </si>
  <si>
    <t>147.pdf</t>
  </si>
  <si>
    <t>https://drive.google.com/file/d/1eiMQWExzFN8w_fdfoWs9XdOhcHHH6Nfw/view?usp=drivesdk</t>
  </si>
  <si>
    <t>9/12/1395</t>
  </si>
  <si>
    <t>148.pdf</t>
  </si>
  <si>
    <t>https://drive.google.com/file/d/1TvmBf4yumJDY8GFoSy9NleAphLx6TmOO/view?usp=drivesdk</t>
  </si>
  <si>
    <t>14/12/1395</t>
  </si>
  <si>
    <t>149.pdf</t>
  </si>
  <si>
    <t>https://drive.google.com/file/d/1KiW3v3UDrIJgH4hf0MaK-oCvJOM8HRNi/view?usp=drivesdk</t>
  </si>
  <si>
    <t>22/12/1395</t>
  </si>
  <si>
    <t>150.pdf</t>
  </si>
  <si>
    <t>https://drive.google.com/file/d/17KhMCUIEB4wICX0ufosoqgxyevdeIZjq/view?usp=drivesdk</t>
  </si>
  <si>
    <t>26/1/1396</t>
  </si>
  <si>
    <t>151.pdf</t>
  </si>
  <si>
    <t>https://drive.google.com/file/d/1CvmrFFKMZWtDyADehCN5mfU3DOnFyRjh/view?usp=drivesdk</t>
  </si>
  <si>
    <t>11/2/1396</t>
  </si>
  <si>
    <t>153.pdf</t>
  </si>
  <si>
    <t>https://drive.google.com/file/d/1aZqFULCUfPxRpWWcIX-7WT7g56QFMam1/view?usp=drivesdk</t>
  </si>
  <si>
    <t>3/7/1396</t>
  </si>
  <si>
    <t>154.pdf</t>
  </si>
  <si>
    <t>https://drive.google.com/file/d/1saEeS9S73BNy9R-gAXq1SkGP_Hvcloys/view?usp=drivesdk</t>
  </si>
  <si>
    <t>16/7/1396</t>
  </si>
  <si>
    <t>155.pdf</t>
  </si>
  <si>
    <t>https://drive.google.com/file/d/1gRsWzDLqb0B46yqgJ47oy8V5WZHsXjLI/view?usp=drivesdk</t>
  </si>
  <si>
    <t>22/7/1396</t>
  </si>
  <si>
    <t>156.pdf</t>
  </si>
  <si>
    <t>https://drive.google.com/file/d/1QDiC7lL0TQbHQOwRtpX-pP2z4KU7AfWq/view?usp=drivesdk</t>
  </si>
  <si>
    <t>29/7/1396</t>
  </si>
  <si>
    <t>157.pdf</t>
  </si>
  <si>
    <t>https://drive.google.com/file/d/1ru83i1SHE2ZRWrmwoX6BtWnAPTtdqPkM/view?usp=drivesdk</t>
  </si>
  <si>
    <t>6/8/1396</t>
  </si>
  <si>
    <t>158.pdf</t>
  </si>
  <si>
    <t>https://drive.google.com/file/d/1JqyM3pPZ8xhS6Jp4bQQ8BvLOkAPVRrz4/view?usp=drivesdk</t>
  </si>
  <si>
    <t>159.pdf</t>
  </si>
  <si>
    <t>https://drive.google.com/file/d/1IMj1XYpLF11Tp6GEhQ4VWHThSibghfdT/view?usp=drivesdk</t>
  </si>
  <si>
    <t>22/8/1396</t>
  </si>
  <si>
    <t>160.pdf</t>
  </si>
  <si>
    <t>https://drive.google.com/file/d/17VN8OtaSdxSs3saxO4XM9Zg9oKXEBTzL/view?usp=drivesdk</t>
  </si>
  <si>
    <t>29/8/1396</t>
  </si>
  <si>
    <t>162.pdf</t>
  </si>
  <si>
    <t>https://drive.google.com/file/d/1AnS_I8G66Gxd6_IIW50q0dqnhpR4NTkE/view?usp=drivesdk</t>
  </si>
  <si>
    <t>20/9/1396</t>
  </si>
  <si>
    <t>163.pdf</t>
  </si>
  <si>
    <t>https://drive.google.com/file/d/1QIZflu0Rn35vgtudoVESPYwJwO2wxiN3/view?usp=drivesdk</t>
  </si>
  <si>
    <t>26/9/1396</t>
  </si>
  <si>
    <t>164.pdf</t>
  </si>
  <si>
    <t>https://drive.google.com/file/d/1sH9Hvf1Fo-rhoGdk9Ga5dgSgQNICa7GY/view?usp=drivesdk</t>
  </si>
  <si>
    <t>معین امینی</t>
  </si>
  <si>
    <t>2/10/1396</t>
  </si>
  <si>
    <t>165.pdf</t>
  </si>
  <si>
    <t>https://drive.google.com/file/d/151bO35XpdFXVEFbyBYJoILPlLgOEmVLk/view?usp=drivesdk</t>
  </si>
  <si>
    <t>23/11/1396</t>
  </si>
  <si>
    <t>166.pdf</t>
  </si>
  <si>
    <t>https://drive.google.com/file/d/1Sb49UrHFO1h7lmZxwKqf2ezlSMdOYctS/view?usp=drivesdk</t>
  </si>
  <si>
    <t>30/11/1396</t>
  </si>
  <si>
    <t>167.pdf</t>
  </si>
  <si>
    <t>https://drive.google.com/file/d/1I16mYJu0fcdWhrUZC3qYIcqmkk4nbdfS/view?usp=drivesdk</t>
  </si>
  <si>
    <t>14/12/1396</t>
  </si>
  <si>
    <t>168.pdf</t>
  </si>
  <si>
    <t>https://drive.google.com/file/d/1pZ0s1I-sgbDtUTnm540U6dlzPvnX0xmN/view?usp=drivesdk</t>
  </si>
  <si>
    <t>21/12/1396</t>
  </si>
  <si>
    <t>169.pdf</t>
  </si>
  <si>
    <t>https://drive.google.com/file/d/1SyoTwlyoWFVP75ttBz2HH-llyqims492/view?usp=drivesdk</t>
  </si>
  <si>
    <t>3/2/1397</t>
  </si>
  <si>
    <t>170.pdf</t>
  </si>
  <si>
    <t>https://drive.google.com/file/d/1JCGE-h2mPzsT7G-_XqzpdjtD7wGkEHWm/view?usp=drivesdk</t>
  </si>
  <si>
    <t>حنیف حضرتی</t>
  </si>
  <si>
    <t>171.pdf</t>
  </si>
  <si>
    <t>https://drive.google.com/file/d/1OXvDXwrqjyoyCPM1M2bETKKbqCb8KbI7/view?usp=drivesdk</t>
  </si>
  <si>
    <t>23/2/1397</t>
  </si>
  <si>
    <t>172.pdf</t>
  </si>
  <si>
    <t>https://drive.google.com/file/d/1fRBe0TvqbJKr1dePeDeW8UGD6lRMtHM3/view?usp=drivesdk</t>
  </si>
  <si>
    <t>30/2/1397</t>
  </si>
  <si>
    <t>174.pdf</t>
  </si>
  <si>
    <t>https://drive.google.com/file/d/1GkLASa3onuyI_C7PABSUOIs5T-OgKo7i/view?usp=drivesdk</t>
  </si>
  <si>
    <t>کیان گلباغی</t>
  </si>
  <si>
    <t>6/8/1397</t>
  </si>
  <si>
    <t>175.pdf</t>
  </si>
  <si>
    <t>https://drive.google.com/file/d/1xSVIGewlaEMJXGTK6czrrxnri3TmYqiC/view?usp=drivesdk</t>
  </si>
  <si>
    <t>13/8/1397</t>
  </si>
  <si>
    <t>176.pdf</t>
  </si>
  <si>
    <t>https://drive.google.com/file/d/1dYUzJIFQEVEhCwxqzCB2Odc0VfqH2UXE/view?usp=drivesdk</t>
  </si>
  <si>
    <t>22/8/1397</t>
  </si>
  <si>
    <t>177.pdf</t>
  </si>
  <si>
    <t>https://drive.google.com/file/d/1FaoSoO67CuM655NCqhivTrVOqr-qSla-/view?usp=drivesdk</t>
  </si>
  <si>
    <t>178.pdf</t>
  </si>
  <si>
    <t>https://drive.google.com/file/d/1L_o7yAxZTJ_KcsxmhWMxXWPGKijhYYeL/view?usp=drivesdk</t>
  </si>
  <si>
    <t>17/9/1397</t>
  </si>
  <si>
    <t>179.pdf</t>
  </si>
  <si>
    <t>https://drive.google.com/file/d/1NNGt5gIcQVU04NNmLOMt0sO1VZG8afoJ/view?usp=drivesdk</t>
  </si>
  <si>
    <t>26/9/1397</t>
  </si>
  <si>
    <t>180.pdf</t>
  </si>
  <si>
    <t>https://drive.google.com/file/d/1tGrzHCgN8nX5UQoN48OcOM97Wjh1WR4B/view?usp=drivesdk</t>
  </si>
  <si>
    <t>یوسف سلطانیان</t>
  </si>
  <si>
    <t>عارف روشن</t>
  </si>
  <si>
    <t>181.pdf</t>
  </si>
  <si>
    <t>https://drive.google.com/file/d/1sdAT54BuIUP7o4LSEUHLnxFiDE_iTMH3/view?usp=drivesdk</t>
  </si>
  <si>
    <t>30/11/1397</t>
  </si>
  <si>
    <t>182.pdf</t>
  </si>
  <si>
    <t>https://drive.google.com/file/d/1Q81otWr6jiJvEn8pjLi-ZYk9tP87L9T_/view?usp=drivesdk</t>
  </si>
  <si>
    <t>21/12/1397</t>
  </si>
  <si>
    <t>183.pdf</t>
  </si>
  <si>
    <t>https://drive.google.com/file/d/1k8ZyvwGpyhMMOnkt5RvGsdebzzZ7_iVJ/view?usp=drivesdk</t>
  </si>
  <si>
    <t>26/1/1398</t>
  </si>
  <si>
    <t>184.pdf</t>
  </si>
  <si>
    <t>https://drive.google.com/file/d/1PFnUAKLp5xIYBfcNWkfJ3Kb4Zg_K5i7h/view?usp=drivesdk</t>
  </si>
  <si>
    <t>30/2/1398</t>
  </si>
  <si>
    <t>185.pdf</t>
  </si>
  <si>
    <t>https://drive.google.com/file/d/1tUW_in1Qfp7kijwKMdeFbRL-hRPE5XmY/view?usp=drivesdk</t>
  </si>
  <si>
    <t>18/4/1398</t>
  </si>
  <si>
    <t>186.pdf</t>
  </si>
  <si>
    <t>https://drive.google.com/file/d/1-d99SIVmvtRKZy1ppOX71VaaaLNKleCk/view?usp=drivesdk</t>
  </si>
  <si>
    <t>8/7/1398</t>
  </si>
  <si>
    <t>187.pdf</t>
  </si>
  <si>
    <t>https://drive.google.com/file/d/1_H-SudD65xJlrU1bXUpWP7wtn7Pcxw1L/view?usp=drivesdk</t>
  </si>
  <si>
    <t>14/8/1398</t>
  </si>
  <si>
    <t>188.pdf</t>
  </si>
  <si>
    <t>https://drive.google.com/file/d/1AlJn2Ch9NonXtKoyvrQXThWjsonONIKR/view?usp=drivesdk</t>
  </si>
  <si>
    <t>12/9/1398</t>
  </si>
  <si>
    <t>189.pdf</t>
  </si>
  <si>
    <t>https://drive.google.com/file/d/1n1ALzQW3X84B0zge-Tao13ojluJXvh50/view?usp=drivesdk</t>
  </si>
  <si>
    <t>190.pdf</t>
  </si>
  <si>
    <t>https://drive.google.com/file/d/1NopywPw9i2fsiuXx2-UZTACDthJsJwW0/view?usp=drivesdk</t>
  </si>
  <si>
    <t>13/3/1399</t>
  </si>
  <si>
    <t>191.pdf</t>
  </si>
  <si>
    <t>https://drive.google.com/file/d/14dHAFsRAqFrBUasNz01MzJTDNgcr-O5L/view?usp=drivesdk</t>
  </si>
  <si>
    <t>امیرحسین حاجی علی‌بیگی</t>
  </si>
  <si>
    <t>محمدحسن بیات</t>
  </si>
  <si>
    <t>192.pdf</t>
  </si>
  <si>
    <t>https://drive.google.com/file/d/1bhIG7Y-hvB64lIoSQ5a-DEfM_jn6Y71x/view?usp=drivesdk</t>
  </si>
  <si>
    <t>193.pdf</t>
  </si>
  <si>
    <t>https://drive.google.com/file/d/1CYFjc1jbPFEb2WbR7TzAJtjbNhEYhTqw/view?usp=drivesdk</t>
  </si>
  <si>
    <t>18/9/1399</t>
  </si>
  <si>
    <t>194.pdf</t>
  </si>
  <si>
    <t>https://drive.google.com/file/d/1iu1fuFM19vatSYZmBqiPED6UrbAsDbrb/view?usp=drivesdk</t>
  </si>
  <si>
    <t>22/10/1399</t>
  </si>
  <si>
    <t>195.pdf</t>
  </si>
  <si>
    <t>https://drive.google.com/file/d/1O-_nXKqOqqAtvf61oNvND1IZZXBcbkem/view?usp=drivesdk</t>
  </si>
  <si>
    <t>محمدرضا بهران‌وند</t>
  </si>
  <si>
    <t>196.pdf</t>
  </si>
  <si>
    <t>https://drive.google.com/file/d/1GGSMEqCxHfc46cjxPUV2qJfQ97gFmjsd/view?usp=drivesdk</t>
  </si>
  <si>
    <t>197.pdf</t>
  </si>
  <si>
    <t>https://drive.google.com/file/d/182rO2eeSC024bpAR0ZdzZKIpzbtlsUQ1/view?usp=drivesdk</t>
  </si>
  <si>
    <t>198.pdf</t>
  </si>
  <si>
    <t>https://drive.google.com/file/d/1WL_2fGmlX3Gb5_k0sWq-R_bQUGayl2K1/view?usp=drivesdk</t>
  </si>
  <si>
    <t>حسین سیار</t>
  </si>
  <si>
    <t>199.pdf</t>
  </si>
  <si>
    <t>https://drive.google.com/file/d/1DxTtZk02v4kcT8dowRAZHNr9FWN3Xyf5/view?usp=drivesdk</t>
  </si>
  <si>
    <t>200.pdf</t>
  </si>
  <si>
    <t>https://drive.google.com/file/d/1IYnf6GHhii6_XORVave_dAxlLEvHFMaB/view?usp=drivesdk</t>
  </si>
  <si>
    <t>یاسمین مسکرا</t>
  </si>
  <si>
    <t>10/7/1402</t>
  </si>
  <si>
    <t>201.pdf</t>
  </si>
  <si>
    <t>https://drive.google.com/file/d/1CZNh1Ihk7W6W8j1BenEBeOjvJSeekdDC/view?usp=drivesdk</t>
  </si>
  <si>
    <t>202.pdf</t>
  </si>
  <si>
    <t>https://drive.google.com/file/d/1BqHJrZLkVE76ugdIZhWt1-MobwawUrid/view?usp=drivesdk</t>
  </si>
  <si>
    <t>203.pdf</t>
  </si>
  <si>
    <t>https://drive.google.com/file/d/1aWjlOzth6LzNAMKPcQmZAeGwZlcb_gc9/view?usp=drivesdk</t>
  </si>
  <si>
    <t>امیرحسین دباغی</t>
  </si>
  <si>
    <t>204.pdf</t>
  </si>
  <si>
    <t>https://drive.google.com/file/d/1blsTY1ieipiqeIco0a-VMZQZJ6ZTAtEC/view?usp=drivesdk</t>
  </si>
  <si>
    <t>205.pdf</t>
  </si>
  <si>
    <t>https://drive.google.com/file/d/1ZxgtB_MfHxcUSBYY-8eUX8ja0OedlFbR/view?usp=drivesdk</t>
  </si>
  <si>
    <t>سارا صادقی‌ژاله</t>
  </si>
  <si>
    <t>x/5/1403</t>
  </si>
  <si>
    <t>15/5/1403</t>
  </si>
  <si>
    <t>206.pdf</t>
  </si>
  <si>
    <t>https://drive.google.com/file/d/1Y0H4mdIFNxTGy-wMsiGKlBKMhevw_0iM/view?usp=drivesdk</t>
  </si>
  <si>
    <t>علی کریمی</t>
  </si>
  <si>
    <t>کیان حسن‌زاده</t>
  </si>
  <si>
    <t>x/2/1404</t>
  </si>
  <si>
    <t>15/2/1404</t>
  </si>
  <si>
    <t>207.pdf</t>
  </si>
  <si>
    <t>https://drive.google.com/file/d/1TPN1_EWb4j35lg2x1rpAh2minYobbUHZ/view?usp=drivesdk</t>
  </si>
  <si>
    <t>208.pdf</t>
  </si>
  <si>
    <t>https://drive.google.com/file/d/1wTMjXALUpU7K1X0ujVHIXeip6mmbL4xO/view?usp=drivesdk</t>
  </si>
  <si>
    <t>22/2/1404</t>
  </si>
  <si>
    <t>209.pdf</t>
  </si>
  <si>
    <t>https://drive.google.com/file/d/1t0pAUw_R2wyqN_4aIEG44z8unMzfIk0Y/view?usp=drivesdk</t>
  </si>
  <si>
    <t>4/3/1404</t>
  </si>
  <si>
    <t>Root/تشکل‌های اسلامی و سیاسی/انجمن اسلامی دانشجویان/دانشجو</t>
  </si>
  <si>
    <t>0.0.pdf</t>
  </si>
  <si>
    <t>https://drive.google.com/file/d/1WynRzHMFqob2ap7SJvom_OPtM2uVBzJU/view?usp=drivesdk</t>
  </si>
  <si>
    <t>آریا کهیاریان</t>
  </si>
  <si>
    <t>میثم تقی‌خین</t>
  </si>
  <si>
    <t>پیش شماره</t>
  </si>
  <si>
    <t>1/1/1386</t>
  </si>
  <si>
    <t>29/12/1390</t>
  </si>
  <si>
    <t>27/6/1388</t>
  </si>
  <si>
    <t>0.3.0.daneshjoo.pdf</t>
  </si>
  <si>
    <t>https://drive.google.com/file/d/1ZlKk95_CQdN8x3s3PD63avuyB_8VpsAH/view?usp=drivesdk</t>
  </si>
  <si>
    <t>0.3.1.page 1,8,2,7,4,5,3,6.pdf</t>
  </si>
  <si>
    <t>https://drive.google.com/file/d/1eMPqvlrx5QHTXI8jrh_lKzRebGhcXT7w/view?usp=drivesdk</t>
  </si>
  <si>
    <t>4/7/1389</t>
  </si>
  <si>
    <t>ویژه‌نامه ورودی‌های ۱۳۸۹</t>
  </si>
  <si>
    <t>1.0نشریه دانشجو.pdf</t>
  </si>
  <si>
    <t>https://drive.google.com/file/d/1jvcsMZ5T4hC-f2AjU91WtX4YUKuTgxjL/view?usp=drivesdk</t>
  </si>
  <si>
    <t>مهدی سیلاوی</t>
  </si>
  <si>
    <t>14/4/1395</t>
  </si>
  <si>
    <t>2.1نشریهٔ دانشجو-1.pdf</t>
  </si>
  <si>
    <t>https://drive.google.com/file/d/1SvC_u5xxHpzJOjPUTWKSpm9_CddfM8mh/view?usp=drivesdk</t>
  </si>
  <si>
    <t>امیرحسین پویا</t>
  </si>
  <si>
    <t>3.1دانشجو _ شماره‌ی اول _ دوره‌ی سوم.pdf</t>
  </si>
  <si>
    <t>https://drive.google.com/file/d/1OR4zQ3yZ_UDzhyJYxfB5rbGSshQRTm3W/view?usp=drivesdk</t>
  </si>
  <si>
    <t>محمدابراهیم واعظی</t>
  </si>
  <si>
    <t>4/10/1396</t>
  </si>
  <si>
    <t>3.3از شفافیت بگو، دانشجو شماره ۳.pdf</t>
  </si>
  <si>
    <t>https://drive.google.com/file/d/1LEh63btjQNd-NC61qXUxvjT0AR8EmA00/view?usp=drivesdk</t>
  </si>
  <si>
    <t>3.4شماره چهارم دانشجو ، اسفند۹۷.pdf</t>
  </si>
  <si>
    <t>https://drive.google.com/file/d/11FQlqvRKN6_63TPuxgEKwUMbwtbYSdzi/view?usp=drivesdk</t>
  </si>
  <si>
    <t>امیرحسین ذوالفقاری</t>
  </si>
  <si>
    <t>3.5نشریه دانشجو شماره۵ اردیبهشت ۹۸.pdf</t>
  </si>
  <si>
    <t>https://drive.google.com/file/d/1lcrI6Wf1AFP7D675mcRsfD37aTxzo_cT/view?usp=drivesdk</t>
  </si>
  <si>
    <t>3.6شماره ششم دانشجو.pdf</t>
  </si>
  <si>
    <t>https://drive.google.com/file/d/1PUm8voP1pMOLYJG-aKQT1yIyU4m5eSNp/view?usp=drivesdk</t>
  </si>
  <si>
    <t>پارسا دولتی</t>
  </si>
  <si>
    <t>3.7شماره هفتم نشریه دانشجو.pdf</t>
  </si>
  <si>
    <t>https://drive.google.com/file/d/1ZfJzN6Jw5WKxg1zBHrJln-k8Id12QeKu/view?usp=drivesdk</t>
  </si>
  <si>
    <t>3.8شماره هشتم نشریه دانشجو.pdf.pdf</t>
  </si>
  <si>
    <t>https://drive.google.com/file/d/1qS4CcYSTpZY8bE7jgK40eAI7CnutFKIX/view?usp=drivesdk</t>
  </si>
  <si>
    <t>مهسا دستمالچیان</t>
  </si>
  <si>
    <t>3.9شماره نهم نشریه دانشجو.pdf</t>
  </si>
  <si>
    <t>https://drive.google.com/file/d/1b-Ut4-vB3129IcAlgZBJrwm25kYIQaCs/view?usp=drivesdk</t>
  </si>
  <si>
    <t>3.10شماره دهم نشریه دانشجو.pdf</t>
  </si>
  <si>
    <t>https://drive.google.com/file/d/1f0URok101-gvkWNA-K-Lbpj6oGoqfTXI/view?usp=drivesdk</t>
  </si>
  <si>
    <t>3.11دانشجو آذر 99 شماره یازدهم.pdf</t>
  </si>
  <si>
    <t>https://drive.google.com/file/d/1nrtc_AaI3aorFQemYuUcUAvSqzlED82W/view?usp=drivesdk</t>
  </si>
  <si>
    <t>3.12ویژه‌نامه_مشترک_خبرنامه_و_دانشجو.pdf</t>
  </si>
  <si>
    <t>https://drive.google.com/file/d/1iQGe5bgGlx0a_iytTKAkqfs8b5QC6gzU/view?usp=drivesdk</t>
  </si>
  <si>
    <t>3.13شماره سیزدهم نشریه دانشجو.pdf</t>
  </si>
  <si>
    <t>https://drive.google.com/file/d/1yj0nc6p8Tk8E9QsI0q6MM7mm0ZRfd10B/view?usp=drivesdk</t>
  </si>
  <si>
    <t>3.14شماره چهاردهم نشریه دانشجو.pdf</t>
  </si>
  <si>
    <t>https://drive.google.com/file/d/1YOMfVlzFawWjqr_OC55V6l3Nz7ltnjEE/view?usp=drivesdk</t>
  </si>
  <si>
    <t>اسرا رضافدایی</t>
  </si>
  <si>
    <t>محمدرضا شیخ‌ها</t>
  </si>
  <si>
    <t>x/6/1400</t>
  </si>
  <si>
    <t>15/6/1400</t>
  </si>
  <si>
    <t>3.15Daneshjo15.pdf</t>
  </si>
  <si>
    <t>https://drive.google.com/file/d/1OtZSDJSZEzoBXf9d_0TtPJm8X5OdvfE6/view?usp=drivesdk</t>
  </si>
  <si>
    <t>محدثه رفیعی</t>
  </si>
  <si>
    <t>عرفان نداف‌زاده</t>
  </si>
  <si>
    <t>3.16Daneshju 16.pdf</t>
  </si>
  <si>
    <t>https://drive.google.com/file/d/169LGbcXm9E428bj64yCRAhBFW3z3Glzg/view?usp=drivesdk</t>
  </si>
  <si>
    <t>کیارش خسروی</t>
  </si>
  <si>
    <t>Root/تشکل‌های اسلامی و سیاسی/انجمن اسلامی دانشجویان/دانشگاه ما</t>
  </si>
  <si>
    <t>1.0دانشگاه_ما_پیش_شماره_۵_اردیبهشت_۱۳۷۹.pdf</t>
  </si>
  <si>
    <t>https://drive.google.com/file/d/1hWYOSxDF6dvYhca4VCgBxzL5JQO1iK5u/view?usp=drivesdk</t>
  </si>
  <si>
    <t>انجمن اسلامی دانشجویان</t>
  </si>
  <si>
    <t>رضا کرمی محمدی</t>
  </si>
  <si>
    <t>5/2/1379</t>
  </si>
  <si>
    <t>1.1دانشگاه ما ۱ - ۱۹ اردیبهشت ۱۳۷۹.pdf</t>
  </si>
  <si>
    <t>https://drive.google.com/file/d/1KzNekbV-UthPTlmzkKKgprQpddFZkilh/view?usp=drivesdk</t>
  </si>
  <si>
    <t>19/2/1379</t>
  </si>
  <si>
    <t>1.2دانشگاه ما ۲ - ۹ خرداد ۱۳۷۹.pdf</t>
  </si>
  <si>
    <t>https://drive.google.com/file/d/1TZPax06PEMihzgtJSZf7Yv9rYz9vsUt6/view?usp=drivesdk</t>
  </si>
  <si>
    <t>9/3/1379</t>
  </si>
  <si>
    <t>1.5دانشگاه ما ۵ - ۱۸ مهر ۱۳۷۹.pdf</t>
  </si>
  <si>
    <t>https://drive.google.com/file/d/1XjgLtnWTuBhMZFm5OohM1VzijLF_k7Em/view?usp=drivesdk</t>
  </si>
  <si>
    <t>18/7/1379</t>
  </si>
  <si>
    <t>1.7دانشگاه ما ۷ - ۲۳ آبان ۱۳۷۹.pdf</t>
  </si>
  <si>
    <t>https://drive.google.com/file/d/15n9X7S0jxmwR-0OVUG_PH6v7W91Aaql6/view?usp=drivesdk</t>
  </si>
  <si>
    <t>23/8/1379</t>
  </si>
  <si>
    <t>1.10دانشگاه ما ۱۰ - ۱۳ دی ۱۳۷۹.pdf</t>
  </si>
  <si>
    <t>https://drive.google.com/file/d/1cAClWaPx1XZxGm9pKZtreyniCb2KTlQy/view?usp=drivesdk</t>
  </si>
  <si>
    <t>13/10/1379</t>
  </si>
  <si>
    <t>1.10.1ضمیمه دانشگاه ما ۱۰ - - ۱۲ دی ۱۳۷۹.pdf</t>
  </si>
  <si>
    <t>https://drive.google.com/file/d/1l5OAoCUuX2Pt-IhfFAjw-16CWWp0NDPt/view?usp=drivesdk</t>
  </si>
  <si>
    <t>12/10/1379</t>
  </si>
  <si>
    <t>ضمیمه شماره ۱۰</t>
  </si>
  <si>
    <t>2.1دانشگاه_ما_جدید_۱_ناقص_۲۶_آبان_۱۳۸۲.pdf</t>
  </si>
  <si>
    <t>https://drive.google.com/file/d/1kEpv_NEeSZEa1SXqCUS1gK4jgmEBQql2/view?usp=drivesdk</t>
  </si>
  <si>
    <t>مسعود حیات داودی</t>
  </si>
  <si>
    <t>26/8/1382</t>
  </si>
  <si>
    <t>2.2دانشگاه ما جدید ۲ - ۸ دی ۱۳۸۲.pdf</t>
  </si>
  <si>
    <t>https://drive.google.com/file/d/1iesujYSoZj9jOvK2cprEXud2v4JFJeP7/view?usp=drivesdk</t>
  </si>
  <si>
    <t>8/10/1382</t>
  </si>
  <si>
    <t>Root/تشکل‌های اسلامی و سیاسی/انجمن اسلامی دانشجویان/فروغ</t>
  </si>
  <si>
    <t>1,نشریه فروغ_شماره اول.pdf</t>
  </si>
  <si>
    <t>https://drive.google.com/file/d/1NpZI-K_U7NyJcgIAmluz4Pp3xwtjNNTz/view?usp=drivesdk</t>
  </si>
  <si>
    <t>دلارآم بیات</t>
  </si>
  <si>
    <t>2.Forugh2final.pdf</t>
  </si>
  <si>
    <t>https://drive.google.com/file/d/1lPqP633R6gglVf4ve4n9kjNUfX2L6VQw/view?usp=drivesdk</t>
  </si>
  <si>
    <t>3.شماره3ام نشریه فروغ.pdf</t>
  </si>
  <si>
    <t>https://drive.google.com/file/d/1enFWIvT20ESCEPlUq4K-1deTEaQlCkaY/view?usp=drivesdk</t>
  </si>
  <si>
    <t>4.Forugh_4.pdf</t>
  </si>
  <si>
    <t>https://drive.google.com/file/d/1EoOFZOLfaLs4vmusItWc5LFwiFwPQSIJ/view?usp=drivesdk</t>
  </si>
  <si>
    <t>5.فروغ شماره 5.pdf</t>
  </si>
  <si>
    <t>https://drive.google.com/file/d/1VUL1FeMA9IjXLErxZR_1cjinQENMRGRi/view?usp=drivesdk</t>
  </si>
  <si>
    <t>مینا فتحی</t>
  </si>
  <si>
    <t>سوگند شایان‌فرد</t>
  </si>
  <si>
    <t>6.نشریه فروغ شمارهٔ ۶.pdf</t>
  </si>
  <si>
    <t>https://drive.google.com/file/d/1DEuT784OlPAuilY-39GO239ihqJPhqMQ/view?usp=drivesdk</t>
  </si>
  <si>
    <t>7.شماره 7 فروغ.pdf</t>
  </si>
  <si>
    <t>https://drive.google.com/file/d/1fZQ5sd6EibSgNTRmt3jUocf8_N87k-w8/view?usp=drivesdk</t>
  </si>
  <si>
    <t>8.فروغ شماره 8.pdf</t>
  </si>
  <si>
    <t>https://drive.google.com/file/d/15-t71V_X_UVUcRVNyPTYb6krXrBNZNV4/view?usp=drivesdk</t>
  </si>
  <si>
    <t>8/2/1398</t>
  </si>
  <si>
    <t>9.فروغ شماره ۹.pdf</t>
  </si>
  <si>
    <t>https://drive.google.com/file/d/1s9u1ZTctd9dHGQK7WpRa93AmFhzP8Fm1/view?usp=drivesdk</t>
  </si>
  <si>
    <t>4/3/1398</t>
  </si>
  <si>
    <t>10.10فروغ.pdf</t>
  </si>
  <si>
    <t>https://drive.google.com/file/d/1w8KmCgKnF8C9apJ1-lMEwR6p3yMSXw9J/view?usp=drivesdk</t>
  </si>
  <si>
    <t>21/7/1398</t>
  </si>
  <si>
    <t>11.11فروغ.pdf</t>
  </si>
  <si>
    <t>https://drive.google.com/file/d/1Am4aoh6lTqx6h0Li2cCuJOMdOVRscwk1/view?usp=drivesdk</t>
  </si>
  <si>
    <t>30/9/1398</t>
  </si>
  <si>
    <t>12.شماره ۱۲ نشریه فروغ.pdf</t>
  </si>
  <si>
    <t>https://drive.google.com/file/d/15GNZbLY2BwF1fejHyfJp8YRNVHgGD_tG/view?usp=drivesdk</t>
  </si>
  <si>
    <t>27/11/1398</t>
  </si>
  <si>
    <t>13.فروغ 13 ، ویژه نامه.pdf</t>
  </si>
  <si>
    <t>https://drive.google.com/file/d/16eOrO7_b2GkSZRa8Cn53trBg-3wc1XFT/view?usp=drivesdk</t>
  </si>
  <si>
    <t>18/12/1398</t>
  </si>
  <si>
    <t>14.فروغ - شماره 14.pdf</t>
  </si>
  <si>
    <t>https://drive.google.com/file/d/1MJ5jdtxl9EDy7MZKF0Glwdl9pVTYTFf4/view?usp=drivesdk</t>
  </si>
  <si>
    <t>15.فروغ شماره ۱۵ 3.pdf</t>
  </si>
  <si>
    <t>https://drive.google.com/file/d/1wmlZkgkZmFbE4nWRKut47gTleP6hYOj9/view?usp=drivesdk</t>
  </si>
  <si>
    <t>16.فروغ شماره ۱۶.pdf</t>
  </si>
  <si>
    <t>https://drive.google.com/file/d/1u4W2YYp6aZsmppxaUT1vmgSW--BXfzD8/view?usp=drivesdk</t>
  </si>
  <si>
    <t>سورین ثابتی</t>
  </si>
  <si>
    <t>17.فروغ ۱۷- مردان و برابری.pdf</t>
  </si>
  <si>
    <t>https://drive.google.com/file/d/1luDEF8N2CrvPywDfcGGKtbwe1_bAGWrO/view?usp=drivesdk</t>
  </si>
  <si>
    <t>کیانوش بابایان</t>
  </si>
  <si>
    <t>18.Forough 18.pdf</t>
  </si>
  <si>
    <t>https://drive.google.com/file/d/1YSsnTTVjHU8ZzhJu86UTOPuB1FlqXNUd/view?usp=drivesdk</t>
  </si>
  <si>
    <t>مهدی رجبی</t>
  </si>
  <si>
    <t>x/2/1402</t>
  </si>
  <si>
    <t>15/2/1402</t>
  </si>
  <si>
    <t>19.Forough 19.pdf</t>
  </si>
  <si>
    <t>https://drive.google.com/file/d/18T1ZzhapMtj8ONX2sjQydNgX7_Jc2e1V/view?usp=drivesdk</t>
  </si>
  <si>
    <t>مائده آغاز</t>
  </si>
  <si>
    <t>x/6/1402</t>
  </si>
  <si>
    <t>15/6/1402</t>
  </si>
  <si>
    <t>Root/تشکل‌های اسلامی و سیاسی/انجمن اسلامی دانشجویان/کاغذ اخبار</t>
  </si>
  <si>
    <t>1.pdf</t>
  </si>
  <si>
    <t>https://drive.google.com/file/d/1Nj9af8EahFyXcMPq0bwQQs_RmN89G4T7/view?usp=drivesdk</t>
  </si>
  <si>
    <t>نشریه غیررسمی</t>
  </si>
  <si>
    <t>30/7/1387</t>
  </si>
  <si>
    <t>2.pdf</t>
  </si>
  <si>
    <t>https://drive.google.com/file/d/1mtC_qIoSqOoXAQS_AvPH0LSx8efvhcnH/view?usp=drivesdk</t>
  </si>
  <si>
    <t>7/8/1387</t>
  </si>
  <si>
    <t>3.pdf</t>
  </si>
  <si>
    <t>https://drive.google.com/file/d/1csXKwdScNXTabdibfD8JQD2XR9ULPG_i/view?usp=drivesdk</t>
  </si>
  <si>
    <t>14/8/1387</t>
  </si>
  <si>
    <t>4.pdf</t>
  </si>
  <si>
    <t>https://drive.google.com/file/d/18hGAoc3H9OWvYwcYqfdk_jnbH6_WD5Ss/view?usp=drivesdk</t>
  </si>
  <si>
    <t>25/8/1387</t>
  </si>
  <si>
    <t>5.pdf</t>
  </si>
  <si>
    <t>https://drive.google.com/file/d/1iGzhKSAzyoJ8sghcU4WRT0QWW0FxghHo/view?usp=drivesdk</t>
  </si>
  <si>
    <t>16/9/1387</t>
  </si>
  <si>
    <t>6.pdf</t>
  </si>
  <si>
    <t>https://drive.google.com/file/d/1ZjivMB7VAfFD6l7ulnhBFx-KbRPOCYeE/view?usp=drivesdk</t>
  </si>
  <si>
    <t>25/9/1387</t>
  </si>
  <si>
    <t>7.pdf</t>
  </si>
  <si>
    <t>https://drive.google.com/file/d/1emLjEmGquqDH47z9VBaTcYzmSvatvwVt/view?usp=drivesdk</t>
  </si>
  <si>
    <t>12/11/1387</t>
  </si>
  <si>
    <t>Root/تشکل‌های اسلامی و سیاسی/انجمن اسلامی دانشجویان/مجال</t>
  </si>
  <si>
    <t>majal2.pdf</t>
  </si>
  <si>
    <t>https://drive.google.com/file/d/1EknGWbo3vRDycNS6QMmhMTcyQ1tfMDrE/view?usp=drivesdk</t>
  </si>
  <si>
    <t>نعمت‌الله فرهادی محله</t>
  </si>
  <si>
    <t>ابوالفضل فخری</t>
  </si>
  <si>
    <t>22/9/1394</t>
  </si>
  <si>
    <t>majal3.pdf</t>
  </si>
  <si>
    <t>https://drive.google.com/file/d/1koHKFbNuRVKl9fPvBwQwQYCQOaTJhHFI/view?usp=drivesdk</t>
  </si>
  <si>
    <t>محسن دژکام</t>
  </si>
  <si>
    <t>3/12/1395</t>
  </si>
  <si>
    <t>majal4.pdf</t>
  </si>
  <si>
    <t>https://drive.google.com/file/d/1epfkrH4aSqGbpaHHOU269UmrAwX5FfPC/view?usp=drivesdk</t>
  </si>
  <si>
    <t>10/2/1396</t>
  </si>
  <si>
    <t>majal5.pdf</t>
  </si>
  <si>
    <t>https://drive.google.com/file/d/1yyVXIFpxn0QmbSG8dW1lSP11jp1tOvMd/view?usp=drivesdk</t>
  </si>
  <si>
    <t>محمد امیدی</t>
  </si>
  <si>
    <t>20/8/1396</t>
  </si>
  <si>
    <t>majal6.pdf</t>
  </si>
  <si>
    <t>https://drive.google.com/file/d/1rNjeFOTbG5pSemmru-5oiEWl2lbQPMk5/view?usp=drivesdk</t>
  </si>
  <si>
    <t>22/11/1396</t>
  </si>
  <si>
    <t>majal7.pdf</t>
  </si>
  <si>
    <t>https://drive.google.com/file/d/14WZ8XP8H1F0UYsvQBTNmIs4HAWzkUIXn/view?usp=drivesdk</t>
  </si>
  <si>
    <t>احمد حاجی‌محمدخانی</t>
  </si>
  <si>
    <t>11/12/1396</t>
  </si>
  <si>
    <t>majal8.pdf</t>
  </si>
  <si>
    <t>https://drive.google.com/file/d/1rOOn9flXeSkMEa7rDmoCtTxWKy26DEYP/view?usp=drivesdk</t>
  </si>
  <si>
    <t>امیررضا چرچی</t>
  </si>
  <si>
    <t>17/12/1398</t>
  </si>
  <si>
    <t>majal9.pdf</t>
  </si>
  <si>
    <t>https://drive.google.com/file/d/1qZ_vDfPet3pGvqpixSMtq4XkIMkK-x9P/view?usp=drivesdk</t>
  </si>
  <si>
    <t>Root/تشکل‌های اسلامی و سیاسی/انجمن اسلامی دانشجویان/نمای شریف</t>
  </si>
  <si>
    <t>3.نمای شریف ۳.pdf</t>
  </si>
  <si>
    <t>https://drive.google.com/file/d/1FBI4Y97vWr30wQA25tBgUcQoYRpi5slv/view?usp=drivesdk</t>
  </si>
  <si>
    <t>https://drive.google.com/file/d/1c8_bfHuODhwtopucZoNngKhtF-KgAtKc/view?usp=drivesdk</t>
  </si>
  <si>
    <t>کوهیار گودرزی</t>
  </si>
  <si>
    <t>x/3/1385</t>
  </si>
  <si>
    <t>15/3/1385</t>
  </si>
  <si>
    <t>21.pdf</t>
  </si>
  <si>
    <t>https://drive.google.com/file/d/1heQS5ZbEwzsT_Z5SYraG4kadsL6N4emJ/view?usp=drivesdk</t>
  </si>
  <si>
    <t>x/7/1385</t>
  </si>
  <si>
    <t>15/7/1385</t>
  </si>
  <si>
    <t>22_hidden.pdf</t>
  </si>
  <si>
    <t>https://drive.google.com/file/d/1X2iZxmfOM5i-uGbS1xYlJDACBVtvIBXL/view?usp=drivesdk</t>
  </si>
  <si>
    <t>23_snatch.pdf</t>
  </si>
  <si>
    <t>https://drive.google.com/file/d/1cDSLJ9ujGKni_fm6e8t4V4MjkxwKccj5/view?usp=drivesdk</t>
  </si>
  <si>
    <t>آرمان میرهاشمی</t>
  </si>
  <si>
    <t>23/8/1385</t>
  </si>
  <si>
    <t>24.Doc9.pdf</t>
  </si>
  <si>
    <t>https://drive.google.com/file/d/18zMTtfXGgjsG1kz0wb_6Cby6UliCP7M4/view?usp=drivesdk</t>
  </si>
  <si>
    <t>x/8/1385</t>
  </si>
  <si>
    <t>15/8/1385</t>
  </si>
  <si>
    <t>25_ocean_s12.pdf</t>
  </si>
  <si>
    <t>https://drive.google.com/file/d/1nz3Y-1J9hMb7EPxZjg6HNG78NPLYfh4Y/view?usp=drivesdk</t>
  </si>
  <si>
    <t>x/9/1385</t>
  </si>
  <si>
    <t>15/9/1385</t>
  </si>
  <si>
    <t>26_rope.pdf</t>
  </si>
  <si>
    <t>https://drive.google.com/file/d/1bMa6sAxowWdyAGmmTzEvkL4Gbml3Cve6/view?usp=drivesdk</t>
  </si>
  <si>
    <t>مصطفی بیگ‌محمدی</t>
  </si>
  <si>
    <t>x/12/1385</t>
  </si>
  <si>
    <t>15/12/1385</t>
  </si>
  <si>
    <t>28.1.pdf</t>
  </si>
  <si>
    <t>https://drive.google.com/file/d/1ifD_COR4kZMxtOTXPIPqk88-hbJlahui/view?usp=drivesdk</t>
  </si>
  <si>
    <t>28.2.pdf</t>
  </si>
  <si>
    <t>https://drive.google.com/file/d/1FqAqwGd9NQpkQspp6O8OrlW-IcQj4-W8/view?usp=drivesdk</t>
  </si>
  <si>
    <t>کسری بازرگانی</t>
  </si>
  <si>
    <t>x/8/1388</t>
  </si>
  <si>
    <t>15/8/1388</t>
  </si>
  <si>
    <t>28.3.pdf</t>
  </si>
  <si>
    <t>https://drive.google.com/file/d/1Xpa0E9U5cp9FP32lRfHG7zfVVWJtUzrs/view?usp=drivesdk</t>
  </si>
  <si>
    <t>32_sting.pdf</t>
  </si>
  <si>
    <t>https://drive.google.com/file/d/1dvdg8Pl-2IiuRfH3t2f93BL9oVIlIVVG/view?usp=drivesdk</t>
  </si>
  <si>
    <t>سید موسی تقی‌خین</t>
  </si>
  <si>
    <t>x/2/1388</t>
  </si>
  <si>
    <t>15/2/1388</t>
  </si>
  <si>
    <t>33.nama.pdf</t>
  </si>
  <si>
    <t>https://drive.google.com/file/d/1tyHI8SXau3JB4XAb2r342VS5jRx9aDZQ/view?usp=drivesdk</t>
  </si>
  <si>
    <t>Root/تشکل‌های اسلامی و سیاسی/بسیج دانشجویی/آزادراه</t>
  </si>
  <si>
    <t>azadrah-1.pdf</t>
  </si>
  <si>
    <t>https://drive.google.com/file/d/1hoiw9HGsQddFpaDkYPRj8wMuD-0u7vGI/view?usp=drivesdk</t>
  </si>
  <si>
    <t>بسیج دانشجویی</t>
  </si>
  <si>
    <t>سلیمان تنهادخت</t>
  </si>
  <si>
    <t>22/1/1388</t>
  </si>
  <si>
    <t>azadrah-2.pdf</t>
  </si>
  <si>
    <t>https://drive.google.com/file/d/1D1zIbHnoVx9Yik6cBmD-QjfMfWIXcafZ/view?usp=drivesdk</t>
  </si>
  <si>
    <t>محمدامین آقامیری</t>
  </si>
  <si>
    <t>x/7/1389</t>
  </si>
  <si>
    <t>15/7/1389</t>
  </si>
  <si>
    <t>azadrah-3.pdf</t>
  </si>
  <si>
    <t>https://drive.google.com/file/d/1kH-kHYiVN_6dlvZ7QKhARpa-a7yN08Q0/view?usp=drivesdk</t>
  </si>
  <si>
    <t>x/8/1389</t>
  </si>
  <si>
    <t>15/8/1389</t>
  </si>
  <si>
    <t>azadrah-4.pdf</t>
  </si>
  <si>
    <t>https://drive.google.com/file/d/1ovXwGxvSmZQjEyPRs0OCfPG5clAfh_8P/view?usp=drivesdk</t>
  </si>
  <si>
    <t>azadrah-5.pdf</t>
  </si>
  <si>
    <t>https://drive.google.com/file/d/1FMdkFXwoEcNyyFGeMvPwRWbyQkuUtQIj/view?usp=drivesdk</t>
  </si>
  <si>
    <t>x/9/1389</t>
  </si>
  <si>
    <t>15/9/1389</t>
  </si>
  <si>
    <t>azadrah-6.pdf</t>
  </si>
  <si>
    <t>https://drive.google.com/file/d/1TFP9u2fDm9bPA5aAIHCrtPSw1Vrt3hLX/view?usp=drivesdk</t>
  </si>
  <si>
    <t>azadrah-7.pdf</t>
  </si>
  <si>
    <t>https://drive.google.com/file/d/1JRdFMkrBt3J3q16R-TGCylzUave3zw6i/view?usp=drivesdk</t>
  </si>
  <si>
    <t>azadrah-8.pdf</t>
  </si>
  <si>
    <t>https://drive.google.com/file/d/1p5Fwb60Tfq9k8BRn7X6k2GDRDZaZg1kY/view?usp=drivesdk</t>
  </si>
  <si>
    <t>x/11/1389</t>
  </si>
  <si>
    <t>15/11/1389</t>
  </si>
  <si>
    <t>azadrah-9.pdf</t>
  </si>
  <si>
    <t>https://drive.google.com/file/d/12jj7dwpy7XSr0qQvqzCnxGCm3hr-l9CR/view?usp=drivesdk</t>
  </si>
  <si>
    <t>x/12/1389</t>
  </si>
  <si>
    <t>15/12/1389</t>
  </si>
  <si>
    <t>azadrah-10.pdf</t>
  </si>
  <si>
    <t>https://drive.google.com/file/d/12BSxFvDwzf_3s0tJJMDi5asfxY5Cgif4/view?usp=drivesdk</t>
  </si>
  <si>
    <t>azadrah-14.pdf</t>
  </si>
  <si>
    <t>https://drive.google.com/file/d/1GV45XFdTmzd9O1TDbtTPnONFmqYEHyPy/view?usp=drivesdk</t>
  </si>
  <si>
    <t>x/1/1390</t>
  </si>
  <si>
    <t>15/1/1390</t>
  </si>
  <si>
    <t>azadrah-14-1-Vizhe nameh.pdf</t>
  </si>
  <si>
    <t>https://drive.google.com/file/d/1-bJm_19clW7-aErK9GZJwDc6bEd2fkMw/view?usp=drivesdk</t>
  </si>
  <si>
    <t>29/8/1390</t>
  </si>
  <si>
    <t>azadrah-15.pdf</t>
  </si>
  <si>
    <t>https://drive.google.com/file/d/1V5FPkyCTCo_idvFHUCU669vHqsTwT0Dc/view?usp=drivesdk</t>
  </si>
  <si>
    <t>x/8/1390</t>
  </si>
  <si>
    <t>15/8/1390</t>
  </si>
  <si>
    <t>azadrah-16.pdf</t>
  </si>
  <si>
    <t>https://drive.google.com/file/d/1HRVE7BFr56l79yHaO_c2p-OzFXaZMi19/view?usp=drivesdk</t>
  </si>
  <si>
    <t>x/9/1390</t>
  </si>
  <si>
    <t>15/9/1390</t>
  </si>
  <si>
    <t>Root/تشکل‌های اسلامی و سیاسی/بسیج دانشجویی/ثمین</t>
  </si>
  <si>
    <t>1.نشریه ثمین _ شماره اول.pdf</t>
  </si>
  <si>
    <t>https://drive.google.com/file/d/1O7eYEWiC2acE9Ef1aleV6sVfeZClIdzs/view?usp=drivesdk</t>
  </si>
  <si>
    <t>الهام پولادی</t>
  </si>
  <si>
    <t>مرضیه محمدی پیرو</t>
  </si>
  <si>
    <t>2.ثمین۲.pdf</t>
  </si>
  <si>
    <t>https://drive.google.com/file/d/1cqbDaxhJ_xPlChBmfmm2HSzig-Wc8oGJ/view?usp=drivesdk</t>
  </si>
  <si>
    <t>21/11/1397</t>
  </si>
  <si>
    <t>3.ثمین۳.pdf</t>
  </si>
  <si>
    <t>https://drive.google.com/file/d/19IhLmim2-yQ5dHqOvY-O5Rj_21PTTND0/view?usp=drivesdk</t>
  </si>
  <si>
    <t>4.ثمین_ویژه نامه2.pdf</t>
  </si>
  <si>
    <t>https://drive.google.com/file/d/1Oi1_8LWsXtx7aJnYt6_DVIQTuhDG-sUh/view?usp=drivesdk</t>
  </si>
  <si>
    <t>6.0.ثمین _ 6م.pdf</t>
  </si>
  <si>
    <t>https://drive.google.com/file/d/1O6qi07en53oPLd5fDAFgrCRdBYVCtvLv/view?usp=drivesdk</t>
  </si>
  <si>
    <t>مبینا فلاحی</t>
  </si>
  <si>
    <t>ریحانه مشهدی</t>
  </si>
  <si>
    <t>1/12/1398</t>
  </si>
  <si>
    <t>6.1.ویژه‌نامه مشترک.pdf</t>
  </si>
  <si>
    <t>https://drive.google.com/file/d/1iesHpXauQfd79x9Aynt9ht-YZasKVuIh/view?usp=drivesdk</t>
  </si>
  <si>
    <t>زهرا رضایی</t>
  </si>
  <si>
    <t>ویژه‌نامه مشترک</t>
  </si>
  <si>
    <t>7.نشریه ثمین شماره۷- آبان ۹۹.pdf</t>
  </si>
  <si>
    <t>https://drive.google.com/file/d/1i85jp07Il0aKLwpmBzR3_DWGuybOQUgS/view?usp=drivesdk</t>
  </si>
  <si>
    <t>یگانه شریفی</t>
  </si>
  <si>
    <t>8.شماره هشتم نشریه ثمین.pdf</t>
  </si>
  <si>
    <t>https://drive.google.com/file/d/12ubEAmi80gZzrLf2UMuhoBSJ-AO5jPim/view?usp=drivesdk</t>
  </si>
  <si>
    <t>Root/تشکل‌های اسلامی و سیاسی/بسیج دانشجویی/روشن</t>
  </si>
  <si>
    <t>0.vije-hastei&amp;amrica.pdf</t>
  </si>
  <si>
    <t>https://drive.google.com/file/d/1HUN5BvEHgYLQ7wznCKCfQ2L3szjbltxw/view?usp=drivesdk</t>
  </si>
  <si>
    <t>1/7/1391</t>
  </si>
  <si>
    <t>1/6/1392</t>
  </si>
  <si>
    <t>18/12/1391</t>
  </si>
  <si>
    <t>سال تحصیلی ۱۳۹۱-۱۳۹۲</t>
  </si>
  <si>
    <t>26.shomare26.pdf</t>
  </si>
  <si>
    <t>https://drive.google.com/file/d/1bBAl0KL2TBS4rZ3pRmeu5wAXQpotOFTD/view?usp=drivesdk</t>
  </si>
  <si>
    <t>علی قاسم‌زاده</t>
  </si>
  <si>
    <t>علی رضایی</t>
  </si>
  <si>
    <t>1/7/1392</t>
  </si>
  <si>
    <t>1/6/1393</t>
  </si>
  <si>
    <t>18/12/1392</t>
  </si>
  <si>
    <t>سال تحصیلی ۱۳۹۲-۱۳۹۳</t>
  </si>
  <si>
    <t>33.روشن 33.pdf</t>
  </si>
  <si>
    <t>https://drive.google.com/file/d/1BSxaWWzfz8Mdc2x6rMercU1_9nmTrC-F/view?usp=drivesdk</t>
  </si>
  <si>
    <t>امیر مهرابی</t>
  </si>
  <si>
    <t>1/7/1393</t>
  </si>
  <si>
    <t>1/6/1394</t>
  </si>
  <si>
    <t>سال تحصیلی ۱۳۹۳-۱۳۹۴</t>
  </si>
  <si>
    <t>34.روشن 34.pdf</t>
  </si>
  <si>
    <t>https://drive.google.com/file/d/1nxwugB0nzSewKR6tmBZvbjiTJ1dxDREX/view?usp=drivesdk</t>
  </si>
  <si>
    <t>35.روشن 35.pdf</t>
  </si>
  <si>
    <t>https://drive.google.com/file/d/1b06RZdfoJUqXKzaujR4U2MsPX0I4mjp9/view?usp=drivesdk</t>
  </si>
  <si>
    <t>36.روشن 36.pdf</t>
  </si>
  <si>
    <t>https://drive.google.com/file/d/1d2rgTqQ0X338GcruyYMTPIEAJyIa9KmV/view?usp=drivesdk</t>
  </si>
  <si>
    <t>37.روشن 37.pdf</t>
  </si>
  <si>
    <t>https://drive.google.com/file/d/1dlxnPN40FR7sYnbiyWPYVrMs6ldCASrB/view?usp=drivesdk</t>
  </si>
  <si>
    <t>47.نشریه_نهایی-47.pdf</t>
  </si>
  <si>
    <t>https://drive.google.com/file/d/15JUmRXMDsdOm0bIcuYABlrjWQP7rnV7r/view?usp=drivesdk</t>
  </si>
  <si>
    <t>امیر حاجی علی خمسه</t>
  </si>
  <si>
    <t>Root/تشکل‌های اسلامی و سیاسی/بسیج دانشجویی/رویان/مهندسی برق</t>
  </si>
  <si>
    <t>2.نشریه ی رویان برق-شماره ی دوم.pdf</t>
  </si>
  <si>
    <t>https://drive.google.com/file/d/1ZPJel_w8iaayI01HlC3TO2450yVOuea8/view?usp=drivesdk</t>
  </si>
  <si>
    <t>حامد سادات حسینی</t>
  </si>
  <si>
    <t>21/8/1396</t>
  </si>
  <si>
    <t>3.رویان2.pdf</t>
  </si>
  <si>
    <t>https://drive.google.com/file/d/1Wbc8FzEH_v1Ky0rDWX3g2ZSGh-xRnBSA/view?usp=drivesdk</t>
  </si>
  <si>
    <t>محمدعلی امینی</t>
  </si>
  <si>
    <t>احمد اثنی عشری</t>
  </si>
  <si>
    <t>3/10/1396</t>
  </si>
  <si>
    <t>4.نشریه ی رویان برق-شماره ی چهارم.pdf</t>
  </si>
  <si>
    <t>https://drive.google.com/file/d/1y-xxlV46gH8Pt-ubKWS0_mTeNY7mTOeT/view?usp=drivesdk</t>
  </si>
  <si>
    <t>امیرعلی محمدحسینی</t>
  </si>
  <si>
    <t>20/12/1396</t>
  </si>
  <si>
    <t>5.رویان برق شماره پنجم.pdf</t>
  </si>
  <si>
    <t>https://drive.google.com/file/d/1tuNhJ0LVB8fdBgwd_8EXu6_BRxdCSk8m/view?usp=drivesdk</t>
  </si>
  <si>
    <t>سید مصطفی غضنفری</t>
  </si>
  <si>
    <t>27/8/1397</t>
  </si>
  <si>
    <t>6.رویان برق - شماره ششم.pdf</t>
  </si>
  <si>
    <t>https://drive.google.com/file/d/1_pi4NP8DXczTOxVxLxhGegHZ0PQEwzMZ/view?usp=drivesdk</t>
  </si>
  <si>
    <t>12/12/1397</t>
  </si>
  <si>
    <t>Root/تشکل‌های اسلامی و سیاسی/بسیج دانشجویی/رویان/مهندسی شیمی و نفت</t>
  </si>
  <si>
    <t>1.رویان م.شیمی و نفت شماره اول.pdf</t>
  </si>
  <si>
    <t>https://drive.google.com/file/d/1oNQ0bRk7x-GsrE65ku3Q3y-8cmht7Ajd/view?usp=drivesdk</t>
  </si>
  <si>
    <t>علیرضا صداقت</t>
  </si>
  <si>
    <t>2.رویان م.شیمی و نفت شماره دوم.pdf</t>
  </si>
  <si>
    <t>https://drive.google.com/file/d/1S6TI-idnFT1LmKdQZLPbDiRYtma2J9Hs/view?usp=drivesdk</t>
  </si>
  <si>
    <t>Root/تشکل‌های اسلامی و سیاسی/بسیج دانشجویی/رویان/مهندسی صنایع</t>
  </si>
  <si>
    <t>1.رویان صنایع شماره اول.pdf</t>
  </si>
  <si>
    <t>https://drive.google.com/file/d/1Vrhkx4UwdZHVvZ3OdPs0IYBAwj2MIbOF/view?usp=drivesdk</t>
  </si>
  <si>
    <t>11/9/1396</t>
  </si>
  <si>
    <t>2.رویان صنایع شماره دوم.pdf</t>
  </si>
  <si>
    <t>https://drive.google.com/file/d/1fdJUZymUYfYfUF-8FUud5WHU_0RRpfq0/view?usp=drivesdk</t>
  </si>
  <si>
    <t>محمدعلی اله دادی</t>
  </si>
  <si>
    <t>3.IE_ROOYAN_3.pdf</t>
  </si>
  <si>
    <t>https://drive.google.com/file/d/1Qw2opO5uW-5Uo639TykT8MdTu62qX3jW/view?usp=drivesdk</t>
  </si>
  <si>
    <t>4.IE_ROOYAN_4.pdf</t>
  </si>
  <si>
    <t>https://drive.google.com/file/d/1NbLcjcdTntNYTfqRcxgpoHT6x6NGsE2a/view?usp=drivesdk</t>
  </si>
  <si>
    <t>5.شماره پنجم رویان صنایع.pdf</t>
  </si>
  <si>
    <t>https://drive.google.com/file/d/1B5PiW8EFonHKbTVrz7oByTlZuDQbrOWd/view?usp=drivesdk</t>
  </si>
  <si>
    <t>8/2/1397</t>
  </si>
  <si>
    <t>6.Rooyan_IE_6.pdf</t>
  </si>
  <si>
    <t>https://drive.google.com/file/d/1JlWMJv5oyqVuGdnN1q96ZflFTD4ZyKAy/view?usp=drivesdk</t>
  </si>
  <si>
    <t>23/4/1397</t>
  </si>
  <si>
    <t>7.رویان هفتم.pdf</t>
  </si>
  <si>
    <t>https://drive.google.com/file/d/16mqY5fYC2-vmFC-M3TxghxJHpizWJLOG/view?usp=drivesdk</t>
  </si>
  <si>
    <t>محمدرضا طهرانچی</t>
  </si>
  <si>
    <t>5/9/1397</t>
  </si>
  <si>
    <t>8.رویان هشت.pdf</t>
  </si>
  <si>
    <t>https://drive.google.com/file/d/1GReRzZQU0Ghqq52qzwgc6RsudJtoLv3G/view?usp=drivesdk</t>
  </si>
  <si>
    <t>علیرضا کریمی</t>
  </si>
  <si>
    <t>Root/تشکل‌های اسلامی و سیاسی/بسیج دانشجویی/رویان/مهندسی هوافضا</t>
  </si>
  <si>
    <t>1.رویان.pdf</t>
  </si>
  <si>
    <t>https://drive.google.com/file/d/1Z7gRlxpW4dXaWgj5FUEByZi86XWBcr5R/view?usp=drivesdk</t>
  </si>
  <si>
    <t>سیدامیرحسین کامرانی</t>
  </si>
  <si>
    <t>2.رویان_2.pdf</t>
  </si>
  <si>
    <t>https://drive.google.com/file/d/1UwEDh9ePqSB4tWs5KcOSC6ztLIgaewBL/view?usp=drivesdk</t>
  </si>
  <si>
    <t>4.رویان هوافضا شماره چهارم.pdf</t>
  </si>
  <si>
    <t>https://drive.google.com/file/d/1D0UUibUx1lD754oredVv8NFOxUpzCfYd/view?usp=drivesdk</t>
  </si>
  <si>
    <t>8/5/1397</t>
  </si>
  <si>
    <t>5.AeRooyan5.pdf</t>
  </si>
  <si>
    <t>https://drive.google.com/file/d/15MegeAvmlBC6Ym5gJ2H5XkvVaM1Tb1pN/view?usp=drivesdk</t>
  </si>
  <si>
    <t>11/7/1397</t>
  </si>
  <si>
    <t>6.AeRooyan6.pdf</t>
  </si>
  <si>
    <t>https://drive.google.com/file/d/1lXc0KjM9gecdadbqwuhnPMPDCuLmfo38/view?usp=drivesdk</t>
  </si>
  <si>
    <t>امیرمحمد احمدی</t>
  </si>
  <si>
    <t>19/9/1397</t>
  </si>
  <si>
    <t>8.AeRooyan8.pdf</t>
  </si>
  <si>
    <t>https://drive.google.com/file/d/1fNpPCaz1PZpzUwYFP6PAvpZyxNGv7ABt/view?usp=drivesdk</t>
  </si>
  <si>
    <t>9.AeRooyan9.pdf</t>
  </si>
  <si>
    <t>https://drive.google.com/file/d/142gJEkddPO5Uy_wUPJGxbEtKCyqxwBq4/view?usp=drivesdk</t>
  </si>
  <si>
    <t>19/12/1397</t>
  </si>
  <si>
    <t>10.AeRooyan10.pdf</t>
  </si>
  <si>
    <t>https://drive.google.com/file/d/1xBquT3KKyyrZFjJ7g-ZRW6MoJg3filIK/view?usp=drivesdk</t>
  </si>
  <si>
    <t>25/2/1398</t>
  </si>
  <si>
    <t>11.Ae.Rooyan11.pdf</t>
  </si>
  <si>
    <t>https://drive.google.com/file/d/1f3Jo5sPaaUQdNp9RaGxcUIVGu9RPSZKN/view?usp=drivesdk</t>
  </si>
  <si>
    <t>محمد قیاسی</t>
  </si>
  <si>
    <t>17/7/1398</t>
  </si>
  <si>
    <t>13.AeRooyan13.pdf</t>
  </si>
  <si>
    <t>https://drive.google.com/file/d/1d8Kf8htDHN0MrHLSwvv1MJJn9NnV6unY/view?usp=drivesdk</t>
  </si>
  <si>
    <t>14.AeRooyan14.pdf</t>
  </si>
  <si>
    <t>https://drive.google.com/file/d/1InzanuqYGSXV_VN5cV6NhKWK0rqUqYhZ/view?usp=drivesdk</t>
  </si>
  <si>
    <t>30/11/1398</t>
  </si>
  <si>
    <t>15.AeRooyan15.pdf</t>
  </si>
  <si>
    <t>https://drive.google.com/file/d/1VE-R-qevYNqZEdvhlvHx8KNWBogNE2nv/view?usp=drivesdk</t>
  </si>
  <si>
    <t>29/12/1398</t>
  </si>
  <si>
    <t>16.AeRoyan16.pdf</t>
  </si>
  <si>
    <t>https://drive.google.com/file/d/1sinJyNKrk1B3-J7EbG0TiCd5QdrMRVYs/view?usp=drivesdk</t>
  </si>
  <si>
    <t>1/2/1399</t>
  </si>
  <si>
    <t>17.AeRooyan17.pdf</t>
  </si>
  <si>
    <t>https://drive.google.com/file/d/11Kt_bGy3CnhetKz7QQ_0T-d32Qai7wZU/view?usp=drivesdk</t>
  </si>
  <si>
    <t>31/3/1399</t>
  </si>
  <si>
    <t>Root/تشکل‌های اسلامی و سیاسی/بسیج دانشجویی/رویان/مهندسی و علم مواد</t>
  </si>
  <si>
    <t>1.نشریه_رویان_بسیج_دانشکده_مهندسی.pdf</t>
  </si>
  <si>
    <t>https://drive.google.com/file/d/1vFfhQZ6VNqMohTfnDM8fUm69Pmj_7Svr/view?usp=drivesdk</t>
  </si>
  <si>
    <t>سید حامد سادات حسینی</t>
  </si>
  <si>
    <t>4.رویان_شماره_۴_نسخه_مخصوص_نمایش_دیجیتالی.pdf</t>
  </si>
  <si>
    <t>https://drive.google.com/file/d/1iHRFhPmzUhO7VPYPhvQlfkbM_boeQFEa/view?usp=drivesdk</t>
  </si>
  <si>
    <t>محمدحسین نوری‌پور</t>
  </si>
  <si>
    <t>6.نشریه_رویان_شماره6.pdf</t>
  </si>
  <si>
    <t>https://drive.google.com/file/d/1Tph4tG2zEw2pCq78o6L83XI_Jfw5MAIu/view?usp=drivesdk</t>
  </si>
  <si>
    <t>29/7/1397</t>
  </si>
  <si>
    <t>8.royan8.pdf</t>
  </si>
  <si>
    <t>https://drive.google.com/file/d/1RMB3TpUjd1Pxplxo9qmUXw01x30D2i5I/view?usp=drivesdk</t>
  </si>
  <si>
    <t>علی لطفی</t>
  </si>
  <si>
    <t>25/9/1397</t>
  </si>
  <si>
    <t>9.نشریه رویان 9.pdf</t>
  </si>
  <si>
    <t>https://drive.google.com/file/d/1lDx6FMh9EnLmvJHKhUhifjFGNMMUYFFc/view?usp=drivesdk</t>
  </si>
  <si>
    <t>10.رویان10.pdf</t>
  </si>
  <si>
    <t>https://drive.google.com/file/d/15kRd3WXKhVX7yQ1idKh0M_YeGmrIR6si/view?usp=drivesdk</t>
  </si>
  <si>
    <t>سید شهاب‌الدین موسوی</t>
  </si>
  <si>
    <t>11.11.pdf</t>
  </si>
  <si>
    <t>https://drive.google.com/file/d/1oXFT2jEjWcg9_ouRWKPh8UvDAHBUZHiZ/view?usp=drivesdk</t>
  </si>
  <si>
    <t>12.دوازده.pdf</t>
  </si>
  <si>
    <t>https://drive.google.com/file/d/1Jzr3QymuMX1UEDPnpfYLRp2S5HWcWcPK/view?usp=drivesdk</t>
  </si>
  <si>
    <t>14.رویان14.pdf</t>
  </si>
  <si>
    <t>https://drive.google.com/file/d/1lf6oJzMKCXB3JVKsHdmlXPrLpu25nj4G/view?usp=drivesdk</t>
  </si>
  <si>
    <t>امین بهجتی</t>
  </si>
  <si>
    <t>Root/تشکل‌های اسلامی و سیاسی/بسیج دانشجویی/شاخص</t>
  </si>
  <si>
    <t>shakhes1.pdf</t>
  </si>
  <si>
    <t>https://drive.google.com/file/d/1vcJtbDeXb1WcNveaTAxmkfN_xYEohMlM/view?usp=drivesdk</t>
  </si>
  <si>
    <t>سیج دانشجویی</t>
  </si>
  <si>
    <t>x/x/1392</t>
  </si>
  <si>
    <t>🗓 ؟ - حوالی انتخابات ۱۳۹۲</t>
  </si>
  <si>
    <t>shakhes2.pdf</t>
  </si>
  <si>
    <t>https://drive.google.com/file/d/1Fwq063oxPPUA5JQcwD8_6yneCViIAgBj/view?usp=drivesdk</t>
  </si>
  <si>
    <t>shakhes3.pdf</t>
  </si>
  <si>
    <t>https://drive.google.com/file/d/1KrwmWNp6m6j-JBIQowwAv7oddvY4LpxH/view?usp=drivesdk</t>
  </si>
  <si>
    <t>shakhes6.pdf</t>
  </si>
  <si>
    <t>https://drive.google.com/file/d/1zb9_ryLsAdoQSOjF2Pa6z7ieBrjPc72z/view?usp=drivesdk</t>
  </si>
  <si>
    <t>shakhes7.pdf</t>
  </si>
  <si>
    <t>https://drive.google.com/file/d/1jHSMhdSOKV4buKUlRkO15GhElJ4Sy-Gz/view?usp=drivesdk</t>
  </si>
  <si>
    <t>shakhes8.pdf</t>
  </si>
  <si>
    <t>https://drive.google.com/file/d/1UMSFk4brK4RRxLdhvUJ_NvI6eiDba4Qn/view?usp=drivesdk</t>
  </si>
  <si>
    <t>001.pdf</t>
  </si>
  <si>
    <t>https://drive.google.com/file/d/1oQFV8WDP7GAkyVLZDEajXxm1nZ_FddEg/view?usp=drivesdk</t>
  </si>
  <si>
    <t>002.pdf</t>
  </si>
  <si>
    <t>https://drive.google.com/file/d/1kLK1m5C2AtqOVmeLvJltisOLiuJrDYE8/view?usp=drivesdk</t>
  </si>
  <si>
    <t>003.pdf</t>
  </si>
  <si>
    <t>https://drive.google.com/file/d/1UPdEKwYhRvprJtQR53UHUD73J62iR7o0/view?usp=drivesdk</t>
  </si>
  <si>
    <t>004.pdf</t>
  </si>
  <si>
    <t>https://drive.google.com/file/d/1KXPh1WZbuPaNJQqykvPN3JoyVQHOqWLZ/view?usp=drivesdk</t>
  </si>
  <si>
    <t>005.pdf</t>
  </si>
  <si>
    <t>https://drive.google.com/file/d/1hhmnlaldSHZmlsKWfbdqft-DpySd4eWY/view?usp=drivesdk</t>
  </si>
  <si>
    <t>006.pdf</t>
  </si>
  <si>
    <t>https://drive.google.com/file/d/1ugFTuUk4cXZgXO3ihqP5JaFo6VGuqtBM/view?usp=drivesdk</t>
  </si>
  <si>
    <t>007.pdf</t>
  </si>
  <si>
    <t>https://drive.google.com/file/d/1xV0NNvpF0xqwTVhiSszqUoUrYRuVqj6t/view?usp=drivesdk</t>
  </si>
  <si>
    <t>008.pdf</t>
  </si>
  <si>
    <t>https://drive.google.com/file/d/1jYfE-5NzjDTsDh0aB0IhlJgTpIchxdzE/view?usp=drivesdk</t>
  </si>
  <si>
    <t>009.pdf</t>
  </si>
  <si>
    <t>https://drive.google.com/file/d/16J3Y1tRW83KL6zFLQn6ypceddSN3ciUU/view?usp=drivesdk</t>
  </si>
  <si>
    <t>Root/تشکل‌های اسلامی و سیاسی/بسیج دانشجویی/میدان انقلاب</t>
  </si>
  <si>
    <t>1.میدان انقلاب-شماره 1.pdf</t>
  </si>
  <si>
    <t>https://drive.google.com/file/d/1zm5kHUKkKP6Mzdlmo5WyWqpdP3OPUzep/view?usp=drivesdk</t>
  </si>
  <si>
    <t>سید علی تولیت</t>
  </si>
  <si>
    <t>16/7/1394</t>
  </si>
  <si>
    <t>2.میدان انقلاب - شماره 2.pdf</t>
  </si>
  <si>
    <t>https://drive.google.com/file/d/1QLtl_EB2RgKP799kuSIMzMRPTWtvVmTp/view?usp=drivesdk</t>
  </si>
  <si>
    <t>23/7/1394</t>
  </si>
  <si>
    <t>3.شماره 3-رنگی.pdf</t>
  </si>
  <si>
    <t>https://drive.google.com/file/d/1R5bC8G1JdcVBeiZWdwTyTNqI_v64qEOV/view?usp=drivesdk</t>
  </si>
  <si>
    <t>7/8/1394</t>
  </si>
  <si>
    <t>4.1.5 (2).pdf</t>
  </si>
  <si>
    <t>https://drive.google.com/file/d/1IBhorGBqG0rJDZuaPrsQjfaq7yJk-hhd/view?usp=drivesdk</t>
  </si>
  <si>
    <t>14/8/1394</t>
  </si>
  <si>
    <t>5.ویراست نهایی.pdf</t>
  </si>
  <si>
    <t>https://drive.google.com/file/d/1_rRg_wQkl_u4mDDHf4Fm5nYpHZbGDt70/view?usp=drivesdk</t>
  </si>
  <si>
    <t>محمد محسن نداف</t>
  </si>
  <si>
    <t>پوریا فتحعلی</t>
  </si>
  <si>
    <t>11/8/1394</t>
  </si>
  <si>
    <t>6.میدان انقلاب6.pdf</t>
  </si>
  <si>
    <t>https://drive.google.com/file/d/1O4ngtNzhnxMqWJcFfjSKkOrEYxGOCgaX/view?usp=drivesdk</t>
  </si>
  <si>
    <t>17/8/1394</t>
  </si>
  <si>
    <t>7.4_191944227351953645.pdf</t>
  </si>
  <si>
    <t>https://drive.google.com/file/d/1g8TNktg-39sziZqDWd28eN1C41xfXRfv/view?usp=drivesdk</t>
  </si>
  <si>
    <t>24/8/1394</t>
  </si>
  <si>
    <t>8.شماره 9.pdf</t>
  </si>
  <si>
    <t>https://drive.google.com/file/d/1fwPGq529oLK_kkIlXHTSgSIaTK6b5Cwq/view?usp=drivesdk</t>
  </si>
  <si>
    <t>1/9/1394</t>
  </si>
  <si>
    <t>9.شماره 9 (2).pdf</t>
  </si>
  <si>
    <t>https://drive.google.com/file/d/1EGoMwJWI_KhWRHJhVMKJNwUZaYPT4tdP/view?usp=drivesdk</t>
  </si>
  <si>
    <t>16/9/1394</t>
  </si>
  <si>
    <t>10.شماره 10 ام.pdf</t>
  </si>
  <si>
    <t>https://drive.google.com/file/d/17M8j5Q3fqFpDo9tGnnT509K1QQJ7KjHy/view?usp=drivesdk</t>
  </si>
  <si>
    <t>11..میدان انقلاب شماره 11.pdf</t>
  </si>
  <si>
    <t>https://drive.google.com/file/d/1dZieIwB19qJGuPpDc8kfGYOMz6TtzBXe/view?usp=drivesdk</t>
  </si>
  <si>
    <t>29/9/1394</t>
  </si>
  <si>
    <t>12.شماره 12.pdf</t>
  </si>
  <si>
    <t>https://drive.google.com/file/d/1rHW3maikEZmFZU9Nrc-eocjQRumwjnrT/view?usp=drivesdk</t>
  </si>
  <si>
    <t>7/10/1394</t>
  </si>
  <si>
    <t>13.شماره 13.pdf</t>
  </si>
  <si>
    <t>https://drive.google.com/file/d/14Kc6mvwFRMElpGi6PjrVJSadMJgc7MA3/view?usp=drivesdk</t>
  </si>
  <si>
    <t>19/11/1394</t>
  </si>
  <si>
    <t>15.شماره 15-2.pdf</t>
  </si>
  <si>
    <t>https://drive.google.com/file/d/1Lg4_jeBFmz2RHsMpTmSG_8C6bt_wGT7U/view?usp=drivesdk</t>
  </si>
  <si>
    <t>16.شماره 16.pdf</t>
  </si>
  <si>
    <t>https://drive.google.com/file/d/1o51uon_-RI5uqhYF4-B_hh2QxDBqUVp7/view?usp=drivesdk</t>
  </si>
  <si>
    <t>10/12/1394</t>
  </si>
  <si>
    <t>17.شماره 17 ام.pdf</t>
  </si>
  <si>
    <t>https://drive.google.com/file/d/1bpW_di1SyeO-n_yVP4otlUZT0vGyFpGq/view?usp=drivesdk</t>
  </si>
  <si>
    <t>18/12/1394</t>
  </si>
  <si>
    <t>18.Untitle-18.pdf</t>
  </si>
  <si>
    <t>https://drive.google.com/file/d/1m8z7GeMnUgPzFKj4WLANrHWXzIWytN9R/view?usp=drivesdk</t>
  </si>
  <si>
    <t>23/1/1395</t>
  </si>
  <si>
    <t>19.Untitle-19.pdf</t>
  </si>
  <si>
    <t>https://drive.google.com/file/d/1yU8cWexmL-ewW01gID72WQDH_o8IAoyH/view?usp=drivesdk</t>
  </si>
  <si>
    <t>20.Untitle-19.pdf</t>
  </si>
  <si>
    <t>https://drive.google.com/file/d/1mSoqwMDJgTA5t5Mxsm6kGXOewyqH7Q0e/view?usp=drivesdk</t>
  </si>
  <si>
    <t>21/2/1395</t>
  </si>
  <si>
    <t>22.میدان انقلاب 22.pdf</t>
  </si>
  <si>
    <t>https://drive.google.com/file/d/11jYrZhVULuXZ9cXQAsqu8em1IG68-wpd/view?usp=drivesdk</t>
  </si>
  <si>
    <t>3/7/1395</t>
  </si>
  <si>
    <t>23.23.pdf</t>
  </si>
  <si>
    <t>https://drive.google.com/file/d/1sjSz_CrfL9RX4uXkbnaAddXnIv-1CZbe/view?usp=drivesdk</t>
  </si>
  <si>
    <t>12/7/1395</t>
  </si>
  <si>
    <t>24.24.EnqelabSq.pdf</t>
  </si>
  <si>
    <t>https://drive.google.com/file/d/1Eo1voIOs8qzsnZ54BTOqgWKD1cnxEgAc/view?usp=drivesdk</t>
  </si>
  <si>
    <t>18/7/1395</t>
  </si>
  <si>
    <t>25.25.pdf</t>
  </si>
  <si>
    <t>https://drive.google.com/file/d/1MBMJhOp3NZsvAeAPbDrJc0ktftyfZ5d4/view?usp=drivesdk</t>
  </si>
  <si>
    <t>2/8/1395</t>
  </si>
  <si>
    <t>26.26.pdf</t>
  </si>
  <si>
    <t>https://drive.google.com/file/d/17nZ0iEqEG5ybrMOsJ6CJ1XEGVHobOLfO/view?usp=drivesdk</t>
  </si>
  <si>
    <t>27.27.pdf</t>
  </si>
  <si>
    <t>https://drive.google.com/file/d/1mSAMMzUQDi8MldlnqkAXJsuNjP0J1AJK/view?usp=drivesdk</t>
  </si>
  <si>
    <t>23/8/1395</t>
  </si>
  <si>
    <t>28.28Final.pdf</t>
  </si>
  <si>
    <t>https://drive.google.com/file/d/181fdpq1pv0Ffp8_4lRaeiBE-sr-LcHN7/view?usp=drivesdk</t>
  </si>
  <si>
    <t>15/9/1395</t>
  </si>
  <si>
    <t>29.29.pdf</t>
  </si>
  <si>
    <t>https://drive.google.com/file/d/1fFceZOznvN5xiOoKvM4OBBitL329eSg7/view?usp=drivesdk</t>
  </si>
  <si>
    <t>21/9/1395</t>
  </si>
  <si>
    <t>30.30.pdf</t>
  </si>
  <si>
    <t>https://drive.google.com/file/d/1bitttRYlqd1FkpQgYJ7cXbiZ8CP-OwLA/view?usp=drivesdk</t>
  </si>
  <si>
    <t>28/1/1396</t>
  </si>
  <si>
    <t>31.31.pdf</t>
  </si>
  <si>
    <t>https://drive.google.com/file/d/1tGPdbu6lmRnOdw2hJdVVW-lHQ6XDsJr5/view?usp=drivesdk</t>
  </si>
  <si>
    <t>18/2/1396</t>
  </si>
  <si>
    <t>32.32 (3).pdf</t>
  </si>
  <si>
    <t>https://drive.google.com/file/d/1tI-DwygJihvNcvhqUewDxTfwAEE7bKVn/view?usp=drivesdk</t>
  </si>
  <si>
    <t>پویا سلیمانی</t>
  </si>
  <si>
    <t>2/7/1396</t>
  </si>
  <si>
    <t>34.34.4.pdf</t>
  </si>
  <si>
    <t>https://drive.google.com/file/d/1Z2ar40dlXsp3EYzZ3fMwicLC2wo_025j/view?usp=drivesdk</t>
  </si>
  <si>
    <t>23/7/1396</t>
  </si>
  <si>
    <t>34.1چاپ-صفحه پنج.pdf</t>
  </si>
  <si>
    <t>https://drive.google.com/file/d/1Yb2qY13jQqEPqZSMxZJfwxvIqORtLCfw/view?usp=drivesdk</t>
  </si>
  <si>
    <t>ضمیمه شماره ۳۴</t>
  </si>
  <si>
    <t>35.35.1.pdf</t>
  </si>
  <si>
    <t>https://drive.google.com/file/d/1iiZc9tO5J64HDlyA3FeZaZl0nQMjvv3Q/view?usp=drivesdk</t>
  </si>
  <si>
    <t>محمدجواد مرآتی</t>
  </si>
  <si>
    <t>36.36.pdf</t>
  </si>
  <si>
    <t>https://drive.google.com/file/d/1n18obAtMBITGEKlLAlBI3IrBUOr52Ugx/view?usp=drivesdk</t>
  </si>
  <si>
    <t>7/8/1396</t>
  </si>
  <si>
    <t>37.meydan37.pdf</t>
  </si>
  <si>
    <t>https://drive.google.com/file/d/1aDgqy3JqXV-MWfCooe3HMsKg9STNDWxi/view?usp=drivesdk</t>
  </si>
  <si>
    <t>38.38.1.pdf</t>
  </si>
  <si>
    <t>https://drive.google.com/file/d/1ijL_oN5fBXlgvY1qFQFh9w_lB0V-79Fo/view?usp=drivesdk</t>
  </si>
  <si>
    <t>5/9/1396</t>
  </si>
  <si>
    <t>39.meydan39.pdf</t>
  </si>
  <si>
    <t>https://drive.google.com/file/d/1dBSJ4wrRt0DO_huCpHoyZ8JnraFABU2u/view?usp=drivesdk</t>
  </si>
  <si>
    <t>13/9/1396</t>
  </si>
  <si>
    <t>40.meydan40.pdf</t>
  </si>
  <si>
    <t>https://drive.google.com/file/d/19AYHSd6MBiONNRdAcSXgBlK7VZ9RvsZr/view?usp=drivesdk</t>
  </si>
  <si>
    <t>19/9/1396</t>
  </si>
  <si>
    <t>41.meydan.41.۴pdf.pdf</t>
  </si>
  <si>
    <t>https://drive.google.com/file/d/13j5zgEuGAwSq4VB4IjdkZI1CWAnf8EgL/view?usp=drivesdk</t>
  </si>
  <si>
    <t>42.MEYDAN42.pdf</t>
  </si>
  <si>
    <t>https://drive.google.com/file/d/1J0F4q9Emkm8grsU8AIUYMrPLZLCkc-mT/view?usp=drivesdk</t>
  </si>
  <si>
    <t>44.meydan44.pdf</t>
  </si>
  <si>
    <t>https://drive.google.com/file/d/1Ca53Ii18p6QT5jVBR27O__AaMn09-61j/view?usp=drivesdk</t>
  </si>
  <si>
    <t>x/1/1397</t>
  </si>
  <si>
    <t>15/1/1397</t>
  </si>
  <si>
    <t>🗓 نوروز ۱۳۹۷ (؟)</t>
  </si>
  <si>
    <t>45.meydan45.pdf</t>
  </si>
  <si>
    <t>https://drive.google.com/file/d/1Eqm3AJf3aZp4YqIWwHWzopaSd9ab75Ql/view?usp=drivesdk</t>
  </si>
  <si>
    <t>27/1/1397</t>
  </si>
  <si>
    <t>46.6_1152921504636119894.pdf</t>
  </si>
  <si>
    <t>https://drive.google.com/file/d/1KeURTvC8wPUyGcynbC5EcZfJd35UHT-N/view?usp=drivesdk</t>
  </si>
  <si>
    <t>2/2/1397</t>
  </si>
  <si>
    <t>47.میدان‌انقلاب‌ورودی‌ها.pdf</t>
  </si>
  <si>
    <t>https://drive.google.com/file/d/144E27SzGOPyHyoozjF2QpXskibt5Po8F/view?usp=drivesdk</t>
  </si>
  <si>
    <t>1/7/1397</t>
  </si>
  <si>
    <t>48.48-شریف‌پلاس.pdf</t>
  </si>
  <si>
    <t>https://drive.google.com/file/d/1f93vDBVHjINfgHlTcjlL2PP3GUsvs99B/view?usp=drivesdk</t>
  </si>
  <si>
    <t>9/7/1397</t>
  </si>
  <si>
    <t>49.49-تحریم نفتی.pdf</t>
  </si>
  <si>
    <t>https://drive.google.com/file/d/1jvtD0XXQ1yBkqqklUcNSboTFctKXXyot/view?usp=drivesdk</t>
  </si>
  <si>
    <t>16/7/1397</t>
  </si>
  <si>
    <t>50.اربعین-میدان‌انقلاب.pdf</t>
  </si>
  <si>
    <t>https://drive.google.com/file/d/1CxROO_ThpYtdH7JmcQbxI5UrDBwXI8pt/view?usp=drivesdk</t>
  </si>
  <si>
    <t>30/7/1397</t>
  </si>
  <si>
    <t>51.اشرافیت-میدان‌انقلاب.pdf</t>
  </si>
  <si>
    <t>https://drive.google.com/file/d/18ekhmfaFj5jFoz_XPOUH3_DN7AgbHCS3/view?usp=drivesdk</t>
  </si>
  <si>
    <t>52.52.pdf</t>
  </si>
  <si>
    <t>https://drive.google.com/file/d/17vW7njTXcbd-lZUOhKJ3beuV1ltAR5Ej/view?usp=drivesdk</t>
  </si>
  <si>
    <t>14/8/1397</t>
  </si>
  <si>
    <t>53.اشرافیت-میدان‌انقلاب(1).pdf</t>
  </si>
  <si>
    <t>https://drive.google.com/file/d/1DIkeBYeEW8UaWkuLgGelBFq0imV7238n/view?usp=drivesdk</t>
  </si>
  <si>
    <t>55.میدان‌انقلاب-اهمال‌کاری.pdf</t>
  </si>
  <si>
    <t>https://drive.google.com/file/d/1dhEFN0FTDpSxKwCz202EqUYyY_mrwAm4/view?usp=drivesdk</t>
  </si>
  <si>
    <t>56.میدان‌انقلاب-جلیقه‌زردها.pdf</t>
  </si>
  <si>
    <t>https://drive.google.com/file/d/1M6oDaQjwALDxdrf8srGg-uddRiJD0lkC/view?usp=drivesdk</t>
  </si>
  <si>
    <t>57.میدان‌انقلاب-جهادی.pdf</t>
  </si>
  <si>
    <t>https://drive.google.com/file/d/1g2GRnUsVDw4Ne0g1Ch6lhRsgTWOcJihC/view?usp=drivesdk</t>
  </si>
  <si>
    <t>3/10/1397</t>
  </si>
  <si>
    <t>58.میدان‌انقلاب-چهل‌سالگی.pdf</t>
  </si>
  <si>
    <t>https://drive.google.com/file/d/1uJARYVapcSdzDRTDsLHEKqpDm8zTWtod/view?usp=drivesdk</t>
  </si>
  <si>
    <t>28/11/1397</t>
  </si>
  <si>
    <t>59.میدان‌انقلاب-روایت‌ها.pdf</t>
  </si>
  <si>
    <t>https://drive.google.com/file/d/1HtibOKco4X7ElmNjnvdAQ_ISsVxUFSsy/view?usp=drivesdk</t>
  </si>
  <si>
    <t>6/12/1397</t>
  </si>
  <si>
    <t>60.میدان‌انقلاب-راه‌ناتمام.pdf</t>
  </si>
  <si>
    <t>https://drive.google.com/file/d/14ydBpyELKu7xWDw8YfxErUAxBYGgu8gl/view?usp=drivesdk</t>
  </si>
  <si>
    <t>13/12/1397</t>
  </si>
  <si>
    <t>61.میدان‌انقلاب-قوه‌قضائیه.pdf</t>
  </si>
  <si>
    <t>https://drive.google.com/file/d/1Ej4rVLYF7j7jQ9m6WdcLBKuIJR-5SwEJ/view?usp=drivesdk</t>
  </si>
  <si>
    <t>62.میدان‌انقلاب-سپاه.pdf</t>
  </si>
  <si>
    <t>https://drive.google.com/file/d/1DCAHOPRgAAP9m-AArEsKtsRz7aRHYE4o/view?usp=drivesdk</t>
  </si>
  <si>
    <t>10/2/1398</t>
  </si>
  <si>
    <t>63.میدان‌انقلاب-جهادی (2).pdf</t>
  </si>
  <si>
    <t>https://drive.google.com/file/d/1MpMmdJvhD276HB6MBUHMA8HU9jDxYoB8/view?usp=drivesdk</t>
  </si>
  <si>
    <t>64.میدان‌انقلاب_ویژه‌نامه‌ورودی‌ها.pdf</t>
  </si>
  <si>
    <t>https://drive.google.com/file/d/1OnSEKh3gvpbASp9wJ_Gy1WC169985CKa/view?usp=drivesdk</t>
  </si>
  <si>
    <t>65.میدان انقلاب_ویژه‌نامه اربعین.pdf</t>
  </si>
  <si>
    <t>https://drive.google.com/file/d/11XI2H3PXB09-T3wVlRzuYfGxwTByi92h/view?usp=drivesdk</t>
  </si>
  <si>
    <t>66.میدان انقلاب ۶۶.pdf</t>
  </si>
  <si>
    <t>https://drive.google.com/file/d/1TKRTqbpSkVP-Fs4ydq0xfpBECk6CiFsV/view?usp=drivesdk</t>
  </si>
  <si>
    <t>12/8/1398</t>
  </si>
  <si>
    <t>67.میدان انقلاب - ۶۷.pdf</t>
  </si>
  <si>
    <t>https://drive.google.com/file/d/10AHYCSEs6V-PrwBrYCPln_IA73wFVFyk/view?usp=drivesdk</t>
  </si>
  <si>
    <t>26/8/1398</t>
  </si>
  <si>
    <t>68.0.میدان انقلاب ۶۸.pdf</t>
  </si>
  <si>
    <t>https://drive.google.com/file/d/18U4CyXU7N78dED3gWOtVW57N52OHKLOe/view?usp=drivesdk</t>
  </si>
  <si>
    <t>11/9/1398</t>
  </si>
  <si>
    <t>68.1.ویژه نامه ربیعی.pdf</t>
  </si>
  <si>
    <t>https://drive.google.com/file/d/1IZU4S8PoVeH_4VH_4IaMWoto-BlbtOrE/view?usp=drivesdk</t>
  </si>
  <si>
    <t>19/9/1398</t>
  </si>
  <si>
    <t>ویژه‌نامه روز دانشجو</t>
  </si>
  <si>
    <t>69.میدان انقلاب ۶۹.pdf</t>
  </si>
  <si>
    <t>https://drive.google.com/file/d/17b0G5u3UFVV4X4uW83mrIIzUwy6JrhIu/view?usp=drivesdk</t>
  </si>
  <si>
    <t>1/10/1398</t>
  </si>
  <si>
    <t>70.نشریه میدان انقلاب.pdf</t>
  </si>
  <si>
    <t>https://drive.google.com/file/d/10WogByzFvauXibxyhpylPfg8_5bo8WnV/view?usp=drivesdk</t>
  </si>
  <si>
    <t>20/11/1398</t>
  </si>
  <si>
    <t>71.هفتاد و یک.pdf</t>
  </si>
  <si>
    <t>https://drive.google.com/file/d/1KwWfYCDSRfDBVhbQtLOjgFxc99a8ElOp/view?usp=drivesdk</t>
  </si>
  <si>
    <t>29/11/1398</t>
  </si>
  <si>
    <t>72.هفتاد و دوم.pdf</t>
  </si>
  <si>
    <t>https://drive.google.com/file/d/1Dv-nhtVTtINQSOIsbx7dYabmGu6BT4yD/view?usp=drivesdk</t>
  </si>
  <si>
    <t>27/12/1398</t>
  </si>
  <si>
    <t>73.شماره ۷۳  میدان انقلاب.pdf</t>
  </si>
  <si>
    <t>https://drive.google.com/file/d/1I1p2qk79hPOH5HPyYgkiB5sWzfo9K9jZ/view?usp=drivesdk</t>
  </si>
  <si>
    <t>19/1/1399</t>
  </si>
  <si>
    <t>74.شماره ۷۴ میدان انقلاب.pdf</t>
  </si>
  <si>
    <t>https://drive.google.com/file/d/1O9yKv4l5KDsg8i_OCC2il9sTp0Num9om/view?usp=drivesdk</t>
  </si>
  <si>
    <t>6/2/1399</t>
  </si>
  <si>
    <t>75.میدان_انقلاب_۷۵_ویژه‌نامه_فلسطین.pdf</t>
  </si>
  <si>
    <t>https://drive.google.com/file/d/16xV2Ihm6CvccPV0uV29-gp_eLTh0LF49/view?usp=drivesdk</t>
  </si>
  <si>
    <t>10/3/1399</t>
  </si>
  <si>
    <t>76.شماره هفتاد و ششم میدان انقلاب_.pdf</t>
  </si>
  <si>
    <t>https://drive.google.com/file/d/1o2s_h5uz8sRsSO5fLwE7rly4_SU5UxOX/view?usp=drivesdk</t>
  </si>
  <si>
    <t>20/4/1399</t>
  </si>
  <si>
    <t>77.شماره‌ی 77 میدان انقلاب.pdf</t>
  </si>
  <si>
    <t>https://drive.google.com/file/d/1x19iyZ1l0NPeChf1CUC2RuXVlbEFcUkf/view?usp=drivesdk</t>
  </si>
  <si>
    <t>20/5/1399</t>
  </si>
  <si>
    <t>78.0.شماره 78، میدان انقلاب.pdf</t>
  </si>
  <si>
    <t>https://drive.google.com/file/d/1a1eqizxrjen86jmtnRH_ccA5qt1MFVYW/view?usp=drivesdk</t>
  </si>
  <si>
    <t>محمدعرفان طلوعی</t>
  </si>
  <si>
    <t>27/7/1399</t>
  </si>
  <si>
    <t>78.1ویژه‌نامه.pdf</t>
  </si>
  <si>
    <t>https://drive.google.com/file/d/1irPo5wV-U5hmPdEdpyEE7osebjhV4fKB/view?usp=drivesdk</t>
  </si>
  <si>
    <t>ویژه‌نامه مشترک محکومیت اهانت نشریه شارلی ابدو فرانسه</t>
  </si>
  <si>
    <t>79.میدان انقلاب79(1).pdf</t>
  </si>
  <si>
    <t>https://drive.google.com/file/d/17sjfffVPc46ILUXzE_cVyHVYDPjRnwuZ/view?usp=drivesdk</t>
  </si>
  <si>
    <t>22/8/1399</t>
  </si>
  <si>
    <t>80.میدان 80.pdf</t>
  </si>
  <si>
    <t>https://drive.google.com/file/d/1NIg9bP-iIAWFEfgpjGRpUDvIlX1CcQ-X/view?usp=drivesdk</t>
  </si>
  <si>
    <t>30/8/1399</t>
  </si>
  <si>
    <t>81.0.میدان انقلاب شماره 81.pdf</t>
  </si>
  <si>
    <t>https://drive.google.com/file/d/1EUgDnZvg6DGEGOmV0yMF2bLar5fhBb2p/view?usp=drivesdk</t>
  </si>
  <si>
    <t>5/10/1399</t>
  </si>
  <si>
    <t>81.1.ویژه نامه شهادت حاج قاسم.pdf</t>
  </si>
  <si>
    <t>https://drive.google.com/file/d/1hlnvT3WKhz3b3DG1yF2-QYb7oU1G7Urn/view?usp=drivesdk</t>
  </si>
  <si>
    <t>14/10/1399</t>
  </si>
  <si>
    <t>ویژه‌نامه مشترک سالگرد شهید حاج قاسم سلیمانی</t>
  </si>
  <si>
    <t>82.میدان انقلاب شماره‌ی ۸۲.pdf</t>
  </si>
  <si>
    <t>https://drive.google.com/file/d/1xo6pFE1904WrqJHyr4F_ZTHqkTEPjnde/view?usp=drivesdk</t>
  </si>
  <si>
    <t>2/12/1399</t>
  </si>
  <si>
    <t>83.meydan 83 A4.pdf</t>
  </si>
  <si>
    <t>https://drive.google.com/file/d/1QNrXmfKiNAeHJwJwNE08OCENh90aj1NS/view?usp=drivesdk</t>
  </si>
  <si>
    <t>5/1/1400</t>
  </si>
  <si>
    <t>84.0.میدان انقلاب.pdf</t>
  </si>
  <si>
    <t>https://drive.google.com/file/d/1fNjMDsCJTHjIeU70K4lNFSZ3z1AlUeel/view?usp=drivesdk</t>
  </si>
  <si>
    <t>14/2/1400</t>
  </si>
  <si>
    <t>بخش اول ۸۴</t>
  </si>
  <si>
    <t>84.1.2...pdf</t>
  </si>
  <si>
    <t>https://drive.google.com/file/d/1iQ93ikFUAwsogDc7zkksCtVF4r11b3Cy/view?usp=drivesdk</t>
  </si>
  <si>
    <t>17/2/1400</t>
  </si>
  <si>
    <t>بخش دوم ۸۴</t>
  </si>
  <si>
    <t>85.شماره 85میدان انقلاب_.pdf</t>
  </si>
  <si>
    <t>https://drive.google.com/file/d/1X8RuuQMtZsBMiaAwx0cuYLsIqJJXdM6M/view?usp=drivesdk</t>
  </si>
  <si>
    <t>22/3/1400</t>
  </si>
  <si>
    <t>86.میدان انقلاب_شماره۸۶.pdf</t>
  </si>
  <si>
    <t>https://drive.google.com/file/d/1HcmeN35dat8Ggah06g4daD60pQUi8Ln-/view?usp=drivesdk</t>
  </si>
  <si>
    <t>سید مرتضی محمودی</t>
  </si>
  <si>
    <t>زهرا همتیان</t>
  </si>
  <si>
    <t>26/7/1400</t>
  </si>
  <si>
    <t>87.میدان انقلاب شماره 87.pdf</t>
  </si>
  <si>
    <t>https://drive.google.com/file/d/1pTVY_u8SBMMJSeeCXcj7zRqiWC6lGSPN/view?usp=drivesdk</t>
  </si>
  <si>
    <t>19/8/1400</t>
  </si>
  <si>
    <t>88.0.میدان انقلاب - شماره ۸۸ .pdf</t>
  </si>
  <si>
    <t>https://drive.google.com/file/d/1iXXLDudrwMHtjsjJQyGzlRIcC7Hy8K-G/view?usp=drivesdk</t>
  </si>
  <si>
    <t>16/9/1400</t>
  </si>
  <si>
    <t>88.1.کجا ایستاده ایم؟!.pdf</t>
  </si>
  <si>
    <t>https://drive.google.com/file/d/1wmZOW92EG3Qnu9uh03I2i4DfdTaA-X5K/view?usp=drivesdk</t>
  </si>
  <si>
    <t>امیرعلی کتیرایی</t>
  </si>
  <si>
    <t>24/9/1400</t>
  </si>
  <si>
    <t>ویژه‌نامه مشترک کجا ایستاده‌ایم؟</t>
  </si>
  <si>
    <t>89.میدان ۸۹.pdf</t>
  </si>
  <si>
    <t>https://drive.google.com/file/d/147n_4hKlcgSEuSgnSkE_ksbqs8Q24Iir/view?usp=drivesdk</t>
  </si>
  <si>
    <t>5/11/1400</t>
  </si>
  <si>
    <t>90.میدان 90.pdf</t>
  </si>
  <si>
    <t>https://drive.google.com/file/d/1K5AnrUzy-OaLdiCNic-Ty1NTrvmHbKHQ/view?usp=drivesdk</t>
  </si>
  <si>
    <t>28/1/1401</t>
  </si>
  <si>
    <t>91.میدان انقلاب - شماره ۹۱.pdf</t>
  </si>
  <si>
    <t>https://drive.google.com/file/d/1kbb-Cyz9G0uKYYn1lfdJO8Kz08rVr40w/view?usp=drivesdk</t>
  </si>
  <si>
    <t>7/7/1401</t>
  </si>
  <si>
    <t>92.شماره ۹۲ میدان انقلاب.pdf</t>
  </si>
  <si>
    <t>https://drive.google.com/file/d/1yhec-KsItF5WBUco_5vkXq2WH1BDCS9t/view?usp=drivesdk</t>
  </si>
  <si>
    <t>متین یوسفی</t>
  </si>
  <si>
    <t>فاطمه بهشتی</t>
  </si>
  <si>
    <t>5/9/1401</t>
  </si>
  <si>
    <t>93.میدان 93.pdf</t>
  </si>
  <si>
    <t>https://drive.google.com/file/d/1zCNN89KCmGBw6f_nNB0gZ7bfVBb4nnjo/view?usp=drivesdk</t>
  </si>
  <si>
    <t>14/7/1401</t>
  </si>
  <si>
    <t>95.0.میدان‌۹۵.pdf</t>
  </si>
  <si>
    <t>https://drive.google.com/file/d/1P8-Yllxyor3E7VXzufYLqFHMoGZmxrXN/view?usp=drivesdk</t>
  </si>
  <si>
    <t>95.1.نشریه زنان تاریخ‌ساز.pdf</t>
  </si>
  <si>
    <t>https://drive.google.com/file/d/1piMLOuRopfZOIhy8a45_JAXy9r_U1sU6/view?usp=drivesdk</t>
  </si>
  <si>
    <t>4/3/1402</t>
  </si>
  <si>
    <t>ویژه‌نامه مشترک زنان تاریخ‌ساز</t>
  </si>
  <si>
    <t>96.1_5257749380.pdf</t>
  </si>
  <si>
    <t>https://drive.google.com/file/d/1ypD7UQQHpkiG5jH9YZJSBbmv3AtGl1i9/view?usp=drivesdk</t>
  </si>
  <si>
    <t>18/3/1402</t>
  </si>
  <si>
    <t>97.0.میدان انقلاب 97.pdf</t>
  </si>
  <si>
    <t>https://drive.google.com/file/d/1NpiR4va9whWX6BRNZETgPacfUdAHNHaP/view?usp=drivesdk</t>
  </si>
  <si>
    <t>97.1.روایت سفارت.pdf</t>
  </si>
  <si>
    <t>https://drive.google.com/file/d/1zxx67qLMbN-DRrSbMMhHP48XBMXmzB1y/view?usp=drivesdk</t>
  </si>
  <si>
    <t>20/8/1402</t>
  </si>
  <si>
    <t>روایت سفارت</t>
  </si>
  <si>
    <t>98.0.میدان انقلاب 98‌.pdf</t>
  </si>
  <si>
    <t>https://drive.google.com/file/d/1DNTjY2g_7a4Cycxe06VMmKgPrqI8kStL/view?usp=drivesdk</t>
  </si>
  <si>
    <t>احمدرضا مجیدی</t>
  </si>
  <si>
    <t>فاطمه‌زهرا الهی</t>
  </si>
  <si>
    <t>98.1.ویژه‌نامه انتخابات مجلس.pdf</t>
  </si>
  <si>
    <t>https://drive.google.com/file/d/1shlKRHbaafFubUrDLNF_zuwIfOGdJHQH/view?usp=drivesdk</t>
  </si>
  <si>
    <t>x/12/1402</t>
  </si>
  <si>
    <t>ویژه‌نامه مشترک انتخابات مجلس</t>
  </si>
  <si>
    <t>15/12/1402</t>
  </si>
  <si>
    <t>98.2.ویژه‌نامه شهدای خدمت.pdf</t>
  </si>
  <si>
    <t>https://drive.google.com/file/d/1idE0SjuJpG6MpjbKR5jicV4dROK4h9nx/view?usp=drivesdk</t>
  </si>
  <si>
    <t>3/3/1403</t>
  </si>
  <si>
    <t>ویژه‌نامه مشترک شهدای خدمت</t>
  </si>
  <si>
    <t>99.0.ویژه نامه یک سال جنایت و ویرانی.pdf</t>
  </si>
  <si>
    <t>https://drive.google.com/file/d/1EC7_npoqqI-0iIU6gVIdVgkIHLWSxWei/view?usp=drivesdk</t>
  </si>
  <si>
    <t>امیررضا جباری</t>
  </si>
  <si>
    <t>محمدیونس تاجمیری</t>
  </si>
  <si>
    <t>99.1.ویژه‌نامه روز دانشجو.pdf</t>
  </si>
  <si>
    <t>https://drive.google.com/file/d/1Coc5QlNF3tE9jptXlLkgynp1kKLcpyKy/view?usp=drivesdk</t>
  </si>
  <si>
    <t>19/9/1403</t>
  </si>
  <si>
    <t>ویژه‌نامه مشترک روز دانشجو</t>
  </si>
  <si>
    <t>99.2.سالگرد پیروزی انقلاب اسلامی.pdf</t>
  </si>
  <si>
    <t>https://drive.google.com/file/d/1eIsNvO-3FcaDKOa_XyDtMm343Hj-VJtZ/view?usp=drivesdk</t>
  </si>
  <si>
    <t>محمد قندهاری</t>
  </si>
  <si>
    <t>27/11/1403</t>
  </si>
  <si>
    <t>ويزه‌نامه ۲۲ بهمن</t>
  </si>
  <si>
    <t>100.بهشت زیر پای من.pdf</t>
  </si>
  <si>
    <t>https://drive.google.com/file/d/1GPu5oIleKI84_LlYbF4eG_LYCv6uUBhC/view?usp=drivesdk</t>
  </si>
  <si>
    <t>مائده فلاح</t>
  </si>
  <si>
    <t>x/12/1403</t>
  </si>
  <si>
    <t>15/12/1403</t>
  </si>
  <si>
    <t>101.0.مادران شریف.pdf</t>
  </si>
  <si>
    <t>https://drive.google.com/file/d/1P8k6fJE3XJ9szDubbKQhPdDrGrEPPFGq/view?usp=drivesdk</t>
  </si>
  <si>
    <t>علیرضا مصلی‌نژاد</t>
  </si>
  <si>
    <t>x/3/1404</t>
  </si>
  <si>
    <t>15/3/1404</t>
  </si>
  <si>
    <t>101.1.ویژه نامه رویدادعلم و فناوری.pdf</t>
  </si>
  <si>
    <t>https://drive.google.com/file/d/1sjLdeM-KTWs0fhCw0_DOb3q3YZN56Oo0/view?usp=drivesdk</t>
  </si>
  <si>
    <t>ویژه‌نامه رویداد علم و فناوری</t>
  </si>
  <si>
    <t>Root/تشکل‌های اسلامی و سیاسی/کانون مهدویت/مشتاق</t>
  </si>
  <si>
    <t>10.مشتاق ۱۰ - نشریه گروه میثاق.pdf</t>
  </si>
  <si>
    <t>https://drive.google.com/file/d/1f5bh-oqtealiL2IniGIIYer3WpP2yigA/view?usp=drivesdk</t>
  </si>
  <si>
    <t>کانون مهدویت میثاق</t>
  </si>
  <si>
    <t>محمدجواد اکبری</t>
  </si>
  <si>
    <t>بهنام اکبری</t>
  </si>
  <si>
    <t>14.0.مشتاق 14.pdf</t>
  </si>
  <si>
    <t>https://drive.google.com/file/d/1STsN8teMFlwJmhLYDscvZevmD2IpL4pO/view?usp=drivesdk</t>
  </si>
  <si>
    <t>14.1.نشریه 9ربیع.pdf</t>
  </si>
  <si>
    <t>https://drive.google.com/file/d/17ZEWml0BR2hWQE1I6WN2PWb0jF5CLIVg/view?usp=drivesdk</t>
  </si>
  <si>
    <t>علیرضا تحصیلی</t>
  </si>
  <si>
    <t>سید محمد چایی چیان</t>
  </si>
  <si>
    <t>20/9/1395</t>
  </si>
  <si>
    <t>ویژه‌نامه نهم ربیع‌الاول</t>
  </si>
  <si>
    <t>14.2.مشتاق-فاطمیه.pdf</t>
  </si>
  <si>
    <t>https://drive.google.com/file/d/1F_3zftz8ZiLi55VgaUxo1shaXnaypn8Y/view?usp=drivesdk</t>
  </si>
  <si>
    <t>ویژه‌نامه فاطمیه</t>
  </si>
  <si>
    <t>14.3.نشریه مشتاق-1.pdf</t>
  </si>
  <si>
    <t>https://drive.google.com/file/d/1E0-UlLXFHmODoZy2Vl3FrSSrhnyItRnU/view?usp=drivesdk</t>
  </si>
  <si>
    <t>23/2/1396</t>
  </si>
  <si>
    <t>ویژه‌نامه نیمه شعبان</t>
  </si>
  <si>
    <t>14.4.نشریه مشتاق 1.ویژه نامه فاطمیه.pdf</t>
  </si>
  <si>
    <t>https://drive.google.com/file/d/17f0OHhTWKcCKYPbnEPWuDflfxz8xSSJX/view?usp=drivesdk</t>
  </si>
  <si>
    <t>علیرضا غنیمتی</t>
  </si>
  <si>
    <t>الهه بدلی</t>
  </si>
  <si>
    <t>9/11/1398</t>
  </si>
  <si>
    <t>18.نشریه مشتاق 18_ویژه نامۀ روز پدر.pdf</t>
  </si>
  <si>
    <t>https://drive.google.com/file/d/1N3vjty7FUplvdPfTpe7hiyT3pBP1APDX/view?usp=drivesdk</t>
  </si>
  <si>
    <t>19.نشریه مشتاق - شماره ۱۹ (نوروز).pdf</t>
  </si>
  <si>
    <t>https://drive.google.com/file/d/1sW-ypKFPhmuWy-Eviv1JH8JdgHe--O0M/view?usp=drivesdk</t>
  </si>
  <si>
    <t>5/1/1399</t>
  </si>
  <si>
    <t>20.نیمه شعبان 99.pdf</t>
  </si>
  <si>
    <t>https://drive.google.com/file/d/1Pnpio7aTG-530iP3HdlaUyRvcqiuecue/view?usp=drivesdk</t>
  </si>
  <si>
    <t>20/1/1399</t>
  </si>
  <si>
    <t>21.مشتاق20.pdf</t>
  </si>
  <si>
    <t>https://drive.google.com/file/d/1PijCcRdfYYozVJ9n9LoKk6qr3kmA2p8q/view?usp=drivesdk</t>
  </si>
  <si>
    <t>23/2/1399</t>
  </si>
  <si>
    <t>22.شماره 22 (محرم 99).pdf</t>
  </si>
  <si>
    <t>https://drive.google.com/file/d/1NrTPEgPIuV2IOJkh5w7UDn1oCBqI2bng/view?usp=drivesdk</t>
  </si>
  <si>
    <t>7/6/1399</t>
  </si>
  <si>
    <t>23.0.مشتاق - ۲۳.pdf</t>
  </si>
  <si>
    <t>https://drive.google.com/file/d/1_YfvwUAJIVZVN42mWhR2s1j8ihAg4y0Q/view?usp=drivesdk</t>
  </si>
  <si>
    <t>17/7/1399</t>
  </si>
  <si>
    <t>23.1.ویژه نامه (3).pdf</t>
  </si>
  <si>
    <t>https://drive.google.com/file/d/1xWWBsVoiwOlqFOI4TlmTXxBqorCVUm5Z/view?usp=drivesdk</t>
  </si>
  <si>
    <t>ويژه‌نامه نهم ربیع‌الاول</t>
  </si>
  <si>
    <t>24.نشریه ۲۴ مشتاق.pdf</t>
  </si>
  <si>
    <t>https://drive.google.com/file/d/1F68jyxgWZPgn0B03U3z9z0a4jBdlDCEg/view?usp=drivesdk</t>
  </si>
  <si>
    <t>12/9/1399</t>
  </si>
  <si>
    <t>25.0.نشریه 25 مشتاق.pdf</t>
  </si>
  <si>
    <t>https://drive.google.com/file/d/1u1BzoJamwPINmqEtaTdnyjC1znv3yk_f/view?usp=drivesdk</t>
  </si>
  <si>
    <t>25.1.نیمه شعبان.pdf</t>
  </si>
  <si>
    <t>https://drive.google.com/file/d/1WiIZnqodr80t4bUXVQF6wRSHyoDeaT42/view?usp=drivesdk</t>
  </si>
  <si>
    <t>9/1/1400</t>
  </si>
  <si>
    <t>26.مطلع فجر.pdf</t>
  </si>
  <si>
    <t>https://drive.google.com/file/d/18dBcqMUEc0U5T4yPmgCtBHx3zHHJy-zv/view?usp=drivesdk</t>
  </si>
  <si>
    <t>Root/تشکل‌های اسلامی و سیاسی/هیئت الزهرا (س)/حیات</t>
  </si>
  <si>
    <t>https://drive.google.com/file/d/1OBS1j1aMgEm6eRyV2iHvrVf-egCngxKo/view?usp=drivesdk</t>
  </si>
  <si>
    <t>هیئت الزهرا (س)</t>
  </si>
  <si>
    <t>امیرحسین زیاری</t>
  </si>
  <si>
    <t>محسن رحیمی</t>
  </si>
  <si>
    <t>https://drive.google.com/file/d/1rz_1vkgfg0e9A0w-vlatnZNMUaHi39QC/view?usp=drivesdk</t>
  </si>
  <si>
    <t>https://drive.google.com/file/d/1jp0-fSlMzoRSoXnUgeZuANlYIRhBJlIb/view?usp=drivesdk</t>
  </si>
  <si>
    <t>مهدی فیضی</t>
  </si>
  <si>
    <t>https://drive.google.com/file/d/1iDglIyUreNTvS1ShMiJJOvPLMRbaUMyM/view?usp=drivesdk</t>
  </si>
  <si>
    <t>https://drive.google.com/file/d/1A2j8gSLvmS9RTBKWH8oZIMv72MpO961N/view?usp=drivesdk</t>
  </si>
  <si>
    <t>https://drive.google.com/file/d/11850SqoBxHA6VYnqlfCwyjFdZjndOvo_/view?usp=drivesdk</t>
  </si>
  <si>
    <t>https://drive.google.com/file/d/1DZ4RTZfPXjc97la7ukVr48lDaO07gYio/view?usp=drivesdk</t>
  </si>
  <si>
    <t>8.حیات - شماره 8 (ویژه پابوس).pdf</t>
  </si>
  <si>
    <t>https://drive.google.com/file/d/1FoHK24dUmCPX_thnUK0_u6iFSrst17Wn/view?usp=drivesdk</t>
  </si>
  <si>
    <t>x/10,11/1396</t>
  </si>
  <si>
    <t>1/7/1396</t>
  </si>
  <si>
    <t>9.حیات - شماره 9 (ویژه پابوس).pdf</t>
  </si>
  <si>
    <t>https://drive.google.com/file/d/1Oc28Jj9x-QbNOvoEqn84Mk3_v17u8f-0/view?usp=drivesdk</t>
  </si>
  <si>
    <t>10.نشریه حیات - شماره دهم.pdf</t>
  </si>
  <si>
    <t>https://drive.google.com/file/d/1Ix2cX1598f4Oe6gS77TeDIfR5tjmTiCG/view?usp=drivesdk</t>
  </si>
  <si>
    <t>11.نشریه حیات - شماره یازدهم.pdf</t>
  </si>
  <si>
    <t>https://drive.google.com/file/d/1x6EpKkKdgTFhCSplmm3si7DS7H_vdnWB/view?usp=drivesdk</t>
  </si>
  <si>
    <t>12.pdf</t>
  </si>
  <si>
    <t>https://drive.google.com/file/d/11OTNTJXsgH1mrqKonpQ6U8VxF1cRpwmG/view?usp=drivesdk</t>
  </si>
  <si>
    <t>13.pdf</t>
  </si>
  <si>
    <t>https://drive.google.com/file/d/1APrxGniD2XqOht4GMeY_4ewluWEWZzmX/view?usp=drivesdk</t>
  </si>
  <si>
    <t>x/2/1397</t>
  </si>
  <si>
    <t>15/2/1397</t>
  </si>
  <si>
    <t>14.pdf</t>
  </si>
  <si>
    <t>https://drive.google.com/file/d/1ulL7TPNuKKGKVHDFqJnlj5xgsFlezXLR/view?usp=drivesdk</t>
  </si>
  <si>
    <t>x/3/1397</t>
  </si>
  <si>
    <t>15/3/1397</t>
  </si>
  <si>
    <t>15.pdf</t>
  </si>
  <si>
    <t>https://drive.google.com/file/d/19U0e01D2V2pQrUs5cTIxWJkIvA1wkPGC/view?usp=drivesdk</t>
  </si>
  <si>
    <t>علی فقیهی</t>
  </si>
  <si>
    <t>16.نشریه حیات - شماره شانزدهم.pdf</t>
  </si>
  <si>
    <t>https://drive.google.com/file/d/1SRjjvbP52fyjRiOMI8Y_--46qSVs14Qs/view?usp=drivesdk</t>
  </si>
  <si>
    <t>17.نشریه حیات - شماره هفدهم.pdf</t>
  </si>
  <si>
    <t>https://drive.google.com/file/d/1_WFxaWdhKbH-bBT_vDSq1fUahCsIEUWi/view?usp=drivesdk</t>
  </si>
  <si>
    <t>18.نشریه حیات - شماره هجدهم.pdf</t>
  </si>
  <si>
    <t>https://drive.google.com/file/d/1jzuj67j5e3EQBcXYl45MJuwTImPqkjSS/view?usp=drivesdk</t>
  </si>
  <si>
    <t>19.نشریه حیات - شماره نوزدهم.pdf</t>
  </si>
  <si>
    <t>https://drive.google.com/file/d/1jeEwUpEQ3DXZ2FGRPVVjj2gPYseUuGmj/view?usp=drivesdk</t>
  </si>
  <si>
    <t>https://drive.google.com/file/d/1ENtwSu0kVADRZJ7fJacqR_wVfhc1bFtp/view?usp=drivesdk</t>
  </si>
  <si>
    <t>https://drive.google.com/file/d/12cSpSSow4BfITnYSpA_tX1httDRabjxB/view?usp=drivesdk</t>
  </si>
  <si>
    <t>22.نشریه حیات-شماره بیست و دوم.pdf</t>
  </si>
  <si>
    <t>https://drive.google.com/file/d/1V5Md16l0PzLtrCswVpyGXC7935m_sQ_n/view?usp=drivesdk</t>
  </si>
  <si>
    <t>23.نشریه حیات-شماره بیست و سوم.pdf</t>
  </si>
  <si>
    <t>https://drive.google.com/file/d/1szcrCS3OOM2weXuD8WNS_mtkWNoJH7cW/view?usp=drivesdk</t>
  </si>
  <si>
    <t>سیدمحمدامین سپیده‌دم</t>
  </si>
  <si>
    <t>24.شماره بیست و چهارم حیات.pdf</t>
  </si>
  <si>
    <t>https://drive.google.com/file/d/1nuBLrv8LjlAUa_SaYi3K5yjbLehfITeN/view?usp=drivesdk</t>
  </si>
  <si>
    <t>25.نشریه حیات شماره بیست و پنج.pdf</t>
  </si>
  <si>
    <t>https://drive.google.com/file/d/1dCkzmw7wmO9lbS0zY26uPHfv4jzn-jIO/view?usp=drivesdk</t>
  </si>
  <si>
    <t>26.نشریه_حیات_ویژه_نامه_فاطمیه_97_شماره.pdf</t>
  </si>
  <si>
    <t>https://drive.google.com/file/d/1m6mH3bWGTgoPm4ZizdyTSo1iDrxvSA81/view?usp=drivesdk</t>
  </si>
  <si>
    <t>27.نشریه حیات-شماره بیست و هفتم.pdf</t>
  </si>
  <si>
    <t>https://drive.google.com/file/d/1XGjV1zzGeO39V5P1BHcptzXriJWfi160/view?usp=drivesdk</t>
  </si>
  <si>
    <t>28.نشریه_حیات_ویژه_نامه_پابوس97،شماره1چاپ.pdf</t>
  </si>
  <si>
    <t>https://drive.google.com/file/d/102_mnPA2m8mxcz99S1NNnL1S4ie6tWJE/view?usp=drivesdk</t>
  </si>
  <si>
    <t>29.نشریه حیات شماره بیست و نهم.pdf</t>
  </si>
  <si>
    <t>https://drive.google.com/file/d/1oUvU5zGgQtzj8GMWMLHNVZP3LO1a9jqm/view?usp=drivesdk</t>
  </si>
  <si>
    <t>30.نشریه حیات-شماره 30.pdf</t>
  </si>
  <si>
    <t>https://drive.google.com/file/d/134eS8vhFHKZWxcT_PPubAWZiP8LJBDfP/view?usp=drivesdk</t>
  </si>
  <si>
    <t>31.شماره سی و یکم نشریه حیات.pdf</t>
  </si>
  <si>
    <t>https://drive.google.com/file/d/18osubb0tz0Gj44Eq1G5IFRyE_Rq8xbdW/view?usp=drivesdk</t>
  </si>
  <si>
    <t>32.شماره سی‌و‌دوم نشریه حیات.pdf</t>
  </si>
  <si>
    <t>https://drive.google.com/file/d/1gtUQakdP0t1h9D3oyaPUjnRSxnYDHEoJ/view?usp=drivesdk</t>
  </si>
  <si>
    <t>33.شماره33 نشریه حیات.pdf</t>
  </si>
  <si>
    <t>https://drive.google.com/file/d/1qyOQfj_-nqOYzREzx4nUN7CJLPNWXI1e/view?usp=drivesdk</t>
  </si>
  <si>
    <t>34.حیات 34.pdf</t>
  </si>
  <si>
    <t>https://drive.google.com/file/d/1HNXMAXY5s6vkHfvvUSa7gmgBjwep1dyh/view?usp=drivesdk</t>
  </si>
  <si>
    <t>مهدی فخرآبادی</t>
  </si>
  <si>
    <t>35.Hayat 35.pdf</t>
  </si>
  <si>
    <t>https://drive.google.com/file/d/1cyq3nUWeHHkgM7IrXRiAXnkFB2cNDjTv/view?usp=drivesdk</t>
  </si>
  <si>
    <t>36.Hayat 36.pdf</t>
  </si>
  <si>
    <t>https://drive.google.com/file/d/1nkng91xlu0geRW74a9Jlhad4epjS-afw/view?usp=drivesdk</t>
  </si>
  <si>
    <t>37.Hayat 37.pdf</t>
  </si>
  <si>
    <t>https://drive.google.com/file/d/1Ij1v3Gm-oCuYVfITc0_f5AOuzC5azhp5/view?usp=drivesdk</t>
  </si>
  <si>
    <t>38.Hayat 38 channel3-compressed.pdf</t>
  </si>
  <si>
    <t>https://drive.google.com/file/d/1rfJainHczmiHPATtawRLuv5lk-Ll4HiE/view?usp=drivesdk</t>
  </si>
  <si>
    <t>39.حیات 39.pdf</t>
  </si>
  <si>
    <t>https://drive.google.com/file/d/1m61AFGsKp8oAWm-q6wt-82xZrcHzTidG/view?usp=drivesdk</t>
  </si>
  <si>
    <t>40.Hayat 40.pdf</t>
  </si>
  <si>
    <t>https://drive.google.com/file/d/1t-uNMVYsJJSuR9xTy5ISMlMiyERePmMn/view?usp=drivesdk</t>
  </si>
  <si>
    <t>41.Hayat 41.pdf</t>
  </si>
  <si>
    <t>https://drive.google.com/file/d/1chntE9YivZetZ8N3KkowLM6qHaNIFVMa/view?usp=drivesdk</t>
  </si>
  <si>
    <t>42.Hayat 42.pdf</t>
  </si>
  <si>
    <t>https://drive.google.com/file/d/10SZdHnIxINTDOOBGv5igzwvSah_G9R3P/view?usp=drivesdk</t>
  </si>
  <si>
    <t>43.Hayat 43.pdf</t>
  </si>
  <si>
    <t>https://drive.google.com/file/d/1i5cqrQGLXFd3RT2y2sdLdt90Ek1gChkF/view?usp=drivesdk</t>
  </si>
  <si>
    <t>44.Hayat 44.pdf</t>
  </si>
  <si>
    <t>https://drive.google.com/file/d/1aZd2KGoI_Xu-TM04OQs5aUCSIvyBO-O1/view?usp=drivesdk</t>
  </si>
  <si>
    <t>45.Hayat 45.pdf</t>
  </si>
  <si>
    <t>https://drive.google.com/file/d/1JwKDpGcWGE8rnj4FeVCZi82t0j83K8eG/view?usp=drivesdk</t>
  </si>
  <si>
    <t>46.Hayat 46 A4.pdf</t>
  </si>
  <si>
    <t>https://drive.google.com/file/d/1BfVh7bDBLIxsiNEEzYv61vYg8Y9P0EtZ/view?usp=drivesdk</t>
  </si>
  <si>
    <t>بهنام بالغی</t>
  </si>
  <si>
    <t>47.Hayat 47 A4.pdf</t>
  </si>
  <si>
    <t>https://drive.google.com/file/d/1eeaP9RufNL6mxWHq47q_Ad5oW7MSeKqO/view?usp=drivesdk</t>
  </si>
  <si>
    <t>48.Hayat 48 A4.pdf</t>
  </si>
  <si>
    <t>https://drive.google.com/file/d/1UWrDNGhflgS-fg9OQZFqU1hdTdPalHO2/view?usp=drivesdk</t>
  </si>
  <si>
    <t>7/8/1399</t>
  </si>
  <si>
    <t>49.Hayat 49 A4.pdf</t>
  </si>
  <si>
    <t>https://drive.google.com/file/d/1UN_AnFxZGxGLa3Wyj_4hYUOvKeXZtzB7/view?usp=drivesdk</t>
  </si>
  <si>
    <t>50.Hayat 50 A4.pdf</t>
  </si>
  <si>
    <t>https://drive.google.com/file/d/15PKqnEXXPkJtudDFVpaGaaEh6m5IAz7X/view?usp=drivesdk</t>
  </si>
  <si>
    <t>51.Hayat 51 A4.pdf</t>
  </si>
  <si>
    <t>https://drive.google.com/file/d/1Xu4rm45HyVeBZRghHX4FZAMJRWgofjIJ/view?usp=drivesdk</t>
  </si>
  <si>
    <t>7/10/1399</t>
  </si>
  <si>
    <t>52.Hayat 52 A4.pdf</t>
  </si>
  <si>
    <t>https://drive.google.com/file/d/1G2SiD23PPeSWGpMyE_0yWnlto6GClhIH/view?usp=drivesdk</t>
  </si>
  <si>
    <t>صدرا صادقی</t>
  </si>
  <si>
    <t>53.Hayat 53 A4.pdf</t>
  </si>
  <si>
    <t>https://drive.google.com/file/d/10BDdwkIAeksRQkwDxirikIgy27wxn09R/view?usp=drivesdk</t>
  </si>
  <si>
    <t>54.Hayat 54 A4.pdf</t>
  </si>
  <si>
    <t>https://drive.google.com/file/d/1J_fI_KTTStLZ1EXq5yeEYuQaeHqDBtbk/view?usp=drivesdk</t>
  </si>
  <si>
    <t>55.Hayat 55.pdf</t>
  </si>
  <si>
    <t>https://drive.google.com/file/d/1G9Aa7XWmeDjChXqgKp7NBfHALvnQEibo/view?usp=drivesdk</t>
  </si>
  <si>
    <t>x/9/1401</t>
  </si>
  <si>
    <t>15/9/1401</t>
  </si>
  <si>
    <t>56.Hayat 56 A4.pdf</t>
  </si>
  <si>
    <t>https://drive.google.com/file/d/1YU3Ki5hRMpZTfanLmHHB0sbP7MEfUbfv/view?usp=drivesdk</t>
  </si>
  <si>
    <t>x/1/1401</t>
  </si>
  <si>
    <t>15/1/1401</t>
  </si>
  <si>
    <t>57.حیات 57.pdf</t>
  </si>
  <si>
    <t>https://drive.google.com/file/d/1nv60LENdh0epZIY3sOANo50sTaDvn-Hf/view?usp=drivesdk</t>
  </si>
  <si>
    <t>58.hayat 58.pdf</t>
  </si>
  <si>
    <t>https://drive.google.com/file/d/1BBhoGA4uYz4Ek5ohL1ON4chU3mbjZPw5/view?usp=drivesdk</t>
  </si>
  <si>
    <t>محمد هادی مسماریان</t>
  </si>
  <si>
    <t>محمدامین انصاری</t>
  </si>
  <si>
    <t>59.حیات 59.pdf</t>
  </si>
  <si>
    <t>https://drive.google.com/file/d/14NPbAz-hpNHTfl5xIryB5gpjd4D6IiYi/view?usp=drivesdk</t>
  </si>
  <si>
    <t>60.حیات 60.pdf</t>
  </si>
  <si>
    <t>https://drive.google.com/file/d/1goR8BSslMFa3-O_NgQzrcYgK_TgZP6Nx/view?usp=drivesdk</t>
  </si>
  <si>
    <t>محمدحسین ملکی</t>
  </si>
  <si>
    <t>61.حیات ۶۱.pdf</t>
  </si>
  <si>
    <t>https://drive.google.com/file/d/15dbPgZgXO6rcLiafOXsVSiIvUeGoaBDB/view?usp=drivesdk</t>
  </si>
  <si>
    <t>x/3/1402</t>
  </si>
  <si>
    <t>15/3/1402</t>
  </si>
  <si>
    <t>62.hayat_62.pdf</t>
  </si>
  <si>
    <t>https://drive.google.com/file/d/1KOCOGemjORC0PgoqFiJT6i-ux3JxQgVI/view?usp=drivesdk</t>
  </si>
  <si>
    <t>63.حیات ۶۳.pdf</t>
  </si>
  <si>
    <t>https://drive.google.com/file/d/1CkJyceqG81ruRboQe981sOC8hpB5hnGz/view?usp=drivesdk</t>
  </si>
  <si>
    <t>محمد صادق باقری</t>
  </si>
  <si>
    <t>امیرحسین شهیدی</t>
  </si>
  <si>
    <t>64.حیات 64.pdf</t>
  </si>
  <si>
    <t>https://drive.google.com/file/d/18fnfNAvNxR-1NBYjL5SWd1byXksM0EV-/view?usp=drivesdk</t>
  </si>
  <si>
    <t>سید محمدطاها حسینی</t>
  </si>
  <si>
    <t>65.نشریه_حیات_شماره_۶۵از_صدای_سخن_عشق_ندیدم_خوشتر.pdf</t>
  </si>
  <si>
    <t>https://drive.google.com/file/d/1-Ksw10AQo_78aikhSRf6um7KC2-aKY0_/view?usp=drivesdk</t>
  </si>
  <si>
    <t>x/2/1403</t>
  </si>
  <si>
    <t>15/2/1403</t>
  </si>
  <si>
    <t>66.شماره ۶۶ حیات.pdf</t>
  </si>
  <si>
    <t>https://drive.google.com/file/d/1lzUbLenJWvjapzuVKpTIKmzNbANPsker/view?usp=drivesdk</t>
  </si>
  <si>
    <t>امیر مسعود ابراهیمی</t>
  </si>
  <si>
    <t>67.حیات 67.pdf</t>
  </si>
  <si>
    <t>https://drive.google.com/file/d/1alZ9tTf-VVTj0HwKPE_gKMGRjjEbklo6/view?usp=drivesdk</t>
  </si>
  <si>
    <t>علیرضا نوربخش</t>
  </si>
  <si>
    <t>مجموعه نشریات محرم و صفر (1).pdf</t>
  </si>
  <si>
    <t>https://drive.google.com/file/d/1BZNxYODgfCX9IBqwKb-h09VyvJjxq3qe/view?usp=drivesdk</t>
  </si>
  <si>
    <t>-</t>
  </si>
  <si>
    <t>مجموعه نشریات محرم و صفر</t>
  </si>
  <si>
    <t>Root/تشکل‌های اسلامی و سیاسی/هیئت الزهرا (س)/ریحانه</t>
  </si>
  <si>
    <t>1.ریحانه اول.pdf</t>
  </si>
  <si>
    <t>https://drive.google.com/file/d/1k_P-RcdYKoZUcd605yxKWhje0OsgMrfr/view?usp=drivesdk</t>
  </si>
  <si>
    <t>محدثه کاظمی</t>
  </si>
  <si>
    <t>2.ریحانه دوم.pdf</t>
  </si>
  <si>
    <t>https://drive.google.com/file/d/1iVhvwHEQ9EtfN1iUfU3PSlUXj0QEEOIb/view?usp=drivesdk</t>
  </si>
  <si>
    <t>3.ریحانه ۳.pdf</t>
  </si>
  <si>
    <t>https://drive.google.com/file/d/1KDX43YTSdVDPgdEaXn0X8m5AvcKniKKr/view?usp=drivesdk</t>
  </si>
  <si>
    <t xml:space="preserve">رجان کوشکستانی </t>
  </si>
  <si>
    <t>4.ریحانه ۴ .pdf</t>
  </si>
  <si>
    <t>https://drive.google.com/file/d/1K04uXo_2IOiHhv9R_ky3RygUjQQ_M1SK/view?usp=drivesdk</t>
  </si>
  <si>
    <t>بهاره لطفعلی‌پور</t>
  </si>
  <si>
    <t>5.ریحانه ۵ نهایی-نسخه‌ی تیرماه.pdf</t>
  </si>
  <si>
    <t>https://drive.google.com/file/d/1L_9kzN4Vev6GSuzwoUpN1KHw5sfaKWeb/view?usp=drivesdk</t>
  </si>
  <si>
    <t>زهرا کرمی</t>
  </si>
  <si>
    <t>6.ریحانه ۶- مرداد ماه ۹۹.pdf</t>
  </si>
  <si>
    <t>https://drive.google.com/file/d/1I_46uNjjaLHwD2wTwkUSyfxgfx3J75Tt/view?usp=drivesdk</t>
  </si>
  <si>
    <t>7.ریحانه 7شهریور ماه 99.pdf</t>
  </si>
  <si>
    <t>https://drive.google.com/file/d/1gE7_vAy6LA0qVg1B5KUyEvAboMoOOkng/view?usp=drivesdk</t>
  </si>
  <si>
    <t>8.ریحانه ۸ - دی‌ماه ۹۹.pdf</t>
  </si>
  <si>
    <t>https://drive.google.com/file/d/1APHUx9lFi3wFNqaG3m4d4VEHm0Xl6-bY/view?usp=drivesdk</t>
  </si>
  <si>
    <t>9.ریحانه ۹ - تیر ۱۴۰۰ .pdf</t>
  </si>
  <si>
    <t>https://drive.google.com/file/d/1J3NMzZz-FEV5eqNhV0gJJ9S_GMDuu2MJ/view?usp=drivesdk</t>
  </si>
  <si>
    <t>10.ریحانه ۱۰ ورودی‌ها.pdf</t>
  </si>
  <si>
    <t>https://drive.google.com/file/d/1o6EZ4miDgILhYCWGINPHG-ueaOnk5vkS/view?usp=drivesdk</t>
  </si>
  <si>
    <t>فاطمه حورا عظیمی</t>
  </si>
  <si>
    <t>پریسا نقی‌زاده</t>
  </si>
  <si>
    <t>11.ریحانه 11 - نوروز ۱۴۰۲.pdf</t>
  </si>
  <si>
    <t>https://drive.google.com/file/d/16YLne6e_QxqnDt5W1l66pUpk6jENQx-R/view?usp=drivesdk</t>
  </si>
  <si>
    <t>مطهره فرحمند</t>
  </si>
  <si>
    <t>پرستش اسدی</t>
  </si>
  <si>
    <t>12.ریحانه 12- ویژه نامه روز دختر.pdf</t>
  </si>
  <si>
    <t>https://drive.google.com/file/d/1Rnh4uDQBnyzf4nhKq3Tui6Si5OU88N6x/view?usp=drivesdk</t>
  </si>
  <si>
    <t>مریم محمدی</t>
  </si>
  <si>
    <t>13.نشریهٔ ریحانه ویژه‌نامهٔ اربعین.pdf</t>
  </si>
  <si>
    <t>https://drive.google.com/file/d/10R80ghwxf2sA2B3VRLcn4ab296Qn3niP/view?usp=drivesdk</t>
  </si>
  <si>
    <t>14.ریحانه- شماره ۱۴- آبان ۰۲.pdf</t>
  </si>
  <si>
    <t>https://drive.google.com/file/d/1_wnHWsZ2oyaiG1gWB0nKGV5H8G4rpZCl/view?usp=drivesdk</t>
  </si>
  <si>
    <t>Root/تشکل‌های اسلامی و سیاسی/هیئت الزهرا (س)/منبر</t>
  </si>
  <si>
    <t>1.منبر اول.pdf</t>
  </si>
  <si>
    <t>https://drive.google.com/file/d/1yAO5Q9AvLRgsUtorDcb9Or-43Vbpa5n2/view?usp=drivesdk</t>
  </si>
  <si>
    <t>3/3/1398</t>
  </si>
  <si>
    <t>شب قدر رمضان ۹۸</t>
  </si>
  <si>
    <t>2.منبر دوم.pdf</t>
  </si>
  <si>
    <t>https://drive.google.com/file/d/13TQyQtSbGthxA3o8lKLC7MEbE7pBUp1T/view?usp=drivesdk</t>
  </si>
  <si>
    <t>16/2/1398</t>
  </si>
  <si>
    <t>14/3/1398</t>
  </si>
  <si>
    <t>رمضان ۹۸</t>
  </si>
  <si>
    <t>3.منبر سوم.pdf</t>
  </si>
  <si>
    <t>https://drive.google.com/file/d/1Apcv4IhrN4nmoZUm-QNGSl1fazlouqCo/view?usp=drivesdk</t>
  </si>
  <si>
    <t>میلاد خادمی</t>
  </si>
  <si>
    <t>امیرحسین خان محمدی</t>
  </si>
  <si>
    <t>11/6/1398</t>
  </si>
  <si>
    <t>🗓 دوم محرم ۹۸</t>
  </si>
  <si>
    <t>4.منبر چهارم.pdf</t>
  </si>
  <si>
    <t>https://drive.google.com/file/d/1PMzxC8wHYYgpK-mr_2n9QRoh-A8tPMA-/view?usp=drivesdk</t>
  </si>
  <si>
    <t>13/6/1398</t>
  </si>
  <si>
    <t>🗓 چهارم محرم ۹۸</t>
  </si>
  <si>
    <t>5.منبر پنجم.pdf</t>
  </si>
  <si>
    <t>https://drive.google.com/file/d/1uXdWRSMzEvIKJp6DeER1BtlLBzROY20a/view?usp=drivesdk</t>
  </si>
  <si>
    <t>16/6/1398</t>
  </si>
  <si>
    <t>🗓 ششم محرم ۹۸</t>
  </si>
  <si>
    <t>6.منبر ششم.pdf</t>
  </si>
  <si>
    <t>https://drive.google.com/file/d/18Z-olwiucjeLD1PmnT0VPh0XKnQ6lrPX/view?usp=drivesdk</t>
  </si>
  <si>
    <t>18/6/1398</t>
  </si>
  <si>
    <t>🗓 هشتم محرم ۹۸</t>
  </si>
  <si>
    <t>7.منبر هفتم.pdf</t>
  </si>
  <si>
    <t>https://drive.google.com/file/d/1zGN7i6RD-P6TcWAwyFp58Oup862iD8bM/view?usp=drivesdk</t>
  </si>
  <si>
    <t>27/7/1398</t>
  </si>
  <si>
    <t>🗓 اربعین ۹۸</t>
  </si>
  <si>
    <t>8.منبر هشتم.pdf</t>
  </si>
  <si>
    <t>https://drive.google.com/file/d/1wjYKVvLl7FmMfPGHsXQqRknQrmvYP1pr/view?usp=drivesdk</t>
  </si>
  <si>
    <t>علی منصوری</t>
  </si>
  <si>
    <t>8/11/1398</t>
  </si>
  <si>
    <t>🗓 دوم فاطمیه ۹۸</t>
  </si>
  <si>
    <t>9.منبر نهم.pdf</t>
  </si>
  <si>
    <t>https://drive.google.com/file/d/1bB71vZtl5R2l2ER_x-92hs_WXR1cMPQa/view?usp=drivesdk</t>
  </si>
  <si>
    <t>🗓 نیمه شعبان ۹۹</t>
  </si>
  <si>
    <t>10.منبر دهم.pdf</t>
  </si>
  <si>
    <t>https://drive.google.com/file/d/1qLjX5UtCZqobJtRjqvt4bq0sr-_MRwcF/view?usp=drivesdk</t>
  </si>
  <si>
    <t>13/2/1390</t>
  </si>
  <si>
    <t>10/2/1390</t>
  </si>
  <si>
    <t>11/2/1390</t>
  </si>
  <si>
    <t>🗓 هفته دوم رمضان ۹۹</t>
  </si>
  <si>
    <t>11.Menbar 11.pdf</t>
  </si>
  <si>
    <t>https://drive.google.com/file/d/132h9rXsJgnfYwhmxfzAJznGD1hAalQQ_/view?usp=drivesdk</t>
  </si>
  <si>
    <t>مهدی صالح</t>
  </si>
  <si>
    <t>18/5/1399</t>
  </si>
  <si>
    <t>🗓 عید غدیر ۹۹</t>
  </si>
  <si>
    <t>12.Menbar 12.pdf</t>
  </si>
  <si>
    <t>https://drive.google.com/file/d/1gfeXi-2wpb5sjRLu9fNe0XdaRsuzOiZK/view?usp=drivesdk</t>
  </si>
  <si>
    <t>🗓 دوم محرم ۹۹</t>
  </si>
  <si>
    <t>13.Menbar 13 Mobile.pdf</t>
  </si>
  <si>
    <t>https://drive.google.com/file/d/1vb7XZj0lmwGQOrkzmAPvsY5EhS1nkDv7/view?usp=drivesdk</t>
  </si>
  <si>
    <t>3/2/1399</t>
  </si>
  <si>
    <t>🗓 چهارم محرم ۹۹</t>
  </si>
  <si>
    <t>14.Menbar 14 Mobile.pdf</t>
  </si>
  <si>
    <t>https://drive.google.com/file/d/1LaG7bfcKRBo0WfO_lohggT49kpa18fo4/view?usp=drivesdk</t>
  </si>
  <si>
    <t>5/2/1399</t>
  </si>
  <si>
    <t>🗓 ششم محرم ۹۹</t>
  </si>
  <si>
    <t>15.Menbar 15 Mobile.pdf</t>
  </si>
  <si>
    <t>https://drive.google.com/file/d/1BxiZMdQpRf0xba6Yc7DQM5HRhudGz33p/view?usp=drivesdk</t>
  </si>
  <si>
    <t>7/2/1399</t>
  </si>
  <si>
    <t>🗓 هشتم محرم ۹۹</t>
  </si>
  <si>
    <t>16.Menbar 16.pdf</t>
  </si>
  <si>
    <t>https://drive.google.com/file/d/1VHocoRzT8DubRPYLDdOmLE_ZG3mOhO09/view?usp=drivesdk</t>
  </si>
  <si>
    <t>28/10/1399</t>
  </si>
  <si>
    <t>روز شهادت حضرت زهرا(س)</t>
  </si>
  <si>
    <t>17.Menbar 17.pdf</t>
  </si>
  <si>
    <t>https://drive.google.com/file/d/14oCbVQwIhxx_faYb9b6GXXjdyJs6saiw/view?usp=drivesdk</t>
  </si>
  <si>
    <t>18.Menbar Moharram1400-A4.pdf</t>
  </si>
  <si>
    <t>https://drive.google.com/file/d/19eIWepqfDu3M2mIta_hWZ8aUlQW_7VqY/view?usp=drivesdk</t>
  </si>
  <si>
    <t>محمد مدی جلیلوند</t>
  </si>
  <si>
    <t>19/5/1400</t>
  </si>
  <si>
    <t>16/6/1400</t>
  </si>
  <si>
    <t>2/6/1400</t>
  </si>
  <si>
    <t>🗓 محرم ۱۴۰۰</t>
  </si>
  <si>
    <t>19.Menbar 19.pdf</t>
  </si>
  <si>
    <t>https://drive.google.com/file/d/11wRtkl9FTeuX-7Q4ysSOT6m00JF-_YQv/view?usp=drivesdk</t>
  </si>
  <si>
    <t>ولادت پیامبر اکرم (ص) و امام صادق (ع)</t>
  </si>
  <si>
    <t>20.menbar fatemieh 1400.pdf</t>
  </si>
  <si>
    <t>https://drive.google.com/file/d/1MotzWHoJjqUMTrfkF9Oaa7NPkDA9sYiB/view?usp=drivesdk</t>
  </si>
  <si>
    <t>روز شهادت حضرت فاطمه‌زهرا(س)</t>
  </si>
  <si>
    <t>21.menbar fatemieh 1400-2.pdf</t>
  </si>
  <si>
    <t>https://drive.google.com/file/d/1XOfYCvnFtcFxwCZD5iZhePPrQ6d7mR_C/view?usp=drivesdk</t>
  </si>
  <si>
    <t>22.menbar-22.pdf</t>
  </si>
  <si>
    <t>https://drive.google.com/file/d/1JVKmMizB7yx6FIceW6WR1nPe2D_H4IK9/view?usp=drivesdk</t>
  </si>
  <si>
    <t>23.Menbar 23 A4.pdf</t>
  </si>
  <si>
    <t>https://drive.google.com/file/d/1e_rngAUubOybHTF_MDbSqUvdvp9ufiFV/view?usp=drivesdk</t>
  </si>
  <si>
    <t>سعید الهی اصل</t>
  </si>
  <si>
    <t>فاطمیه</t>
  </si>
  <si>
    <t>24.Menbar 24 A3.pdf</t>
  </si>
  <si>
    <t>https://drive.google.com/file/d/12GKsxWL-VA6Dw1vXTKBL6WdfC7piEed2/view?usp=drivesdk</t>
  </si>
  <si>
    <t>25.منبر 25.pdf</t>
  </si>
  <si>
    <t>https://drive.google.com/file/d/1ZagRqAs4R7Nq5jhOMqbcqtpLvoxWX6Ur/view?usp=drivesdk</t>
  </si>
  <si>
    <t>16/12/1401</t>
  </si>
  <si>
    <t>نیمه شعبان</t>
  </si>
  <si>
    <t>26.منبر26.pdf</t>
  </si>
  <si>
    <t>https://drive.google.com/file/d/1aqBqk1ITZvF1wnYeybjRpXe4muifhrqh/view?usp=drivesdk</t>
  </si>
  <si>
    <t>رمضان</t>
  </si>
  <si>
    <t>27.منبر۲۷.pdf</t>
  </si>
  <si>
    <t>https://drive.google.com/file/d/1rOx1oJt2gQlBiqkPlt2SLHfRgaqObzvV/view?usp=drivesdk</t>
  </si>
  <si>
    <t>🗓 شب‌های قدر</t>
  </si>
  <si>
    <t>28.منبر 28.pdf</t>
  </si>
  <si>
    <t>https://drive.google.com/file/d/1bllLE8PtE_WHnURX1A5152zacQzZeiq7/view?usp=drivesdk</t>
  </si>
  <si>
    <t>20/4/1402</t>
  </si>
  <si>
    <t>عید غدیر</t>
  </si>
  <si>
    <t>29.منبر۲۹.pdf</t>
  </si>
  <si>
    <t>https://drive.google.com/file/d/1_xCO1kbqtBAMuulo_vDr4btd_tgEJDAn/view?usp=drivesdk</t>
  </si>
  <si>
    <t>4/5/1402</t>
  </si>
  <si>
    <t>تاسوعا محرم</t>
  </si>
  <si>
    <t>30.منبر۳۰.pdf</t>
  </si>
  <si>
    <t>https://drive.google.com/file/d/1-3UsA_F-_NCgAia136mReebgkJR_CAg3/view?usp=drivesdk</t>
  </si>
  <si>
    <t>5/5/1402</t>
  </si>
  <si>
    <t>عاشورا محرم</t>
  </si>
  <si>
    <t>31.منبر۳۱.pdf</t>
  </si>
  <si>
    <t>https://drive.google.com/file/d/1JnAD07ocTGwS5i7SkRz_PL1O7avEL1b5/view?usp=drivesdk</t>
  </si>
  <si>
    <t>24/6/1402</t>
  </si>
  <si>
    <t>سالروز رحلت پیامبر اکرم(ص) و شهادت امام حسن مجتبی(ع)</t>
  </si>
  <si>
    <t>32.منبر 32.pdf</t>
  </si>
  <si>
    <t>https://drive.google.com/file/d/1Ye16c-XgUrlxpzMu6tRzTavms1DQJphr/view?usp=drivesdk</t>
  </si>
  <si>
    <t>صادق باقری</t>
  </si>
  <si>
    <t>سپهر نوری</t>
  </si>
  <si>
    <t>6/12/1402</t>
  </si>
  <si>
    <t>https://drive.google.com/file/d/1r-OQVf8SjqOU_sVlXCFB8AmGX73LQIbU/view?usp=drivesdk</t>
  </si>
  <si>
    <t>Root/انجمن‌های علمی و نشریات وابسته به دانشکده‌ها/دانشکده فیزیک/تکانه</t>
  </si>
  <si>
    <t>نشریه تکانه ۱.pdf</t>
  </si>
  <si>
    <t>https://drive.google.com/file/d/1_-ShmGbFan6JcD-Gbor5vlrTcDs3d6sO/view?usp=drivesdk</t>
  </si>
  <si>
    <t>نیما همدانی رجا</t>
  </si>
  <si>
    <t>لعیا گلچین</t>
  </si>
  <si>
    <t>x/x/1380</t>
  </si>
  <si>
    <t>1/7/1380</t>
  </si>
  <si>
    <t>نشریه تکانه ۲.pdf</t>
  </si>
  <si>
    <t>https://drive.google.com/file/d/1_CNrqk3ZzHkjeuoK9o6QuDnb7zEsL-ya/view?usp=drivesdk</t>
  </si>
  <si>
    <t>x/12/1380</t>
  </si>
  <si>
    <t>15/12/1380</t>
  </si>
  <si>
    <t>نشریه تکانه ۳.pdf</t>
  </si>
  <si>
    <t>https://drive.google.com/file/d/1ksOJgvMxFXJWPQ0u26-ygbYwEfZiCRDK/view?usp=drivesdk</t>
  </si>
  <si>
    <t>x/8/1381</t>
  </si>
  <si>
    <t>15/8/1381</t>
  </si>
  <si>
    <t>نشریه تکانه ۴.pdf</t>
  </si>
  <si>
    <t>https://drive.google.com/file/d/1w953vEWXNUkopNIMj13By3tnoedzrR-S/view?usp=drivesdk</t>
  </si>
  <si>
    <t>نشریه تکانه ۵.pdf</t>
  </si>
  <si>
    <t>https://drive.google.com/file/d/12ftGyIXuBPxzi0q4kXZlpxKughSgVVN3/view?usp=drivesdk</t>
  </si>
  <si>
    <t>دکتر سامان مقیمی</t>
  </si>
  <si>
    <t>x/6/1382</t>
  </si>
  <si>
    <t>15/6/1382</t>
  </si>
  <si>
    <t>نشریه تکانه ۶.pdf</t>
  </si>
  <si>
    <t>https://drive.google.com/file/d/15fDrv8guFfIK_1eHbxraEy---cYO_coz/view?usp=drivesdk</t>
  </si>
  <si>
    <t>x/12/1382</t>
  </si>
  <si>
    <t>15/12/1382</t>
  </si>
  <si>
    <t>نشریه تکانه ۷.pdf</t>
  </si>
  <si>
    <t>https://drive.google.com/file/d/14sjO3ApFI61N3AE1xHgP7K9a74vDe6JL/view?usp=drivesdk</t>
  </si>
  <si>
    <t>x/3/1383</t>
  </si>
  <si>
    <t>15/3/1383</t>
  </si>
  <si>
    <t>نشریه تکانه ۸.pdf</t>
  </si>
  <si>
    <t>https://drive.google.com/file/d/1dauv3OzqgFb1vv5Ff61zrqXwb9gF4M5R/view?usp=drivesdk</t>
  </si>
  <si>
    <t>x/x/1383</t>
  </si>
  <si>
    <t>1/7/1383</t>
  </si>
  <si>
    <t>نشریه تکانه ۹.pdf</t>
  </si>
  <si>
    <t>https://drive.google.com/file/d/1-KcATDzKg649On2sv5BYT7ZAnLIX_crp/view?usp=drivesdk</t>
  </si>
  <si>
    <t>نشریه تکانه ۹.۵.pdf</t>
  </si>
  <si>
    <t>https://drive.google.com/file/d/1g-L2n2SfIKW0ky8_8rZLxMHcw5Hz_zqb/view?usp=drivesdk</t>
  </si>
  <si>
    <t>فاطمه نایب‌علی‌محمد</t>
  </si>
  <si>
    <t>x/6/1384</t>
  </si>
  <si>
    <t>ویژه‌نامه سال جهانی فیزیک</t>
  </si>
  <si>
    <t>15/6/1384</t>
  </si>
  <si>
    <t>نشریه تکانه ۱۰.pdf</t>
  </si>
  <si>
    <t>https://drive.google.com/file/d/1R3m0O84eqDqYZ-xSSOvqS40EpSBkj6aR/view?usp=drivesdk</t>
  </si>
  <si>
    <t>1/7/1384</t>
  </si>
  <si>
    <t>نشریه تکانه ۱۱.pdf</t>
  </si>
  <si>
    <t>https://drive.google.com/file/d/1402LNbIcSM84Yuo6UlqEHlHLE37gV311/view?usp=drivesdk</t>
  </si>
  <si>
    <t>x/x/1385</t>
  </si>
  <si>
    <t>1/7/1385</t>
  </si>
  <si>
    <t>نشریه تکانه ۱۲.pdf</t>
  </si>
  <si>
    <t>https://drive.google.com/file/d/1it7xnIJ0v3PNq-dZQooDCVRJWMeoAg3d/view?usp=drivesdk</t>
  </si>
  <si>
    <t>نشریه تکانه ۱۳.pdf</t>
  </si>
  <si>
    <t>https://drive.google.com/file/d/1HHECgQ8plCi_MWJuRh_oecUR7LZTRpJe/view?usp=drivesdk</t>
  </si>
  <si>
    <t>x/x/1386</t>
  </si>
  <si>
    <t>1/7/1386</t>
  </si>
  <si>
    <t>نشریه تکانه ۱۴.pdf</t>
  </si>
  <si>
    <t>https://drive.google.com/file/d/12yroj3vmkh5lxCfqMXAHF4cTj-4C9_ia/view?usp=drivesdk</t>
  </si>
  <si>
    <t>x/x/1388</t>
  </si>
  <si>
    <t>1/7/1388</t>
  </si>
  <si>
    <t>نشریه تکانه ۱۵.pdf</t>
  </si>
  <si>
    <t>https://drive.google.com/file/d/1hMFGHi4IHAbC8uXzPSvm4Sw4V_fJK95A/view?usp=drivesdk</t>
  </si>
  <si>
    <t>نشریه تکانه ۱۶.pdf</t>
  </si>
  <si>
    <t>https://drive.google.com/file/d/1GReQa9l3FlSsdVmzAVPulP1OV-egDaeq/view?usp=drivesdk</t>
  </si>
  <si>
    <t>نشریه تکانه ۱۷.pdf</t>
  </si>
  <si>
    <t>https://drive.google.com/file/d/1WhjC2r8u7qU_dt2HOGa6r8KRFnHXHixj/view?usp=drivesdk</t>
  </si>
  <si>
    <t>x/x/1389</t>
  </si>
  <si>
    <t>1/7/1389</t>
  </si>
  <si>
    <t>نشریه تکانه ۱۸.pdf</t>
  </si>
  <si>
    <t>https://drive.google.com/file/d/1FpgjOF110XNDOBbmAciCMwlEHET2jnZj/view?usp=drivesdk</t>
  </si>
  <si>
    <t>x/x/1390</t>
  </si>
  <si>
    <t>1/7/1390</t>
  </si>
  <si>
    <t>نشریه تکانه ۱۹.pdf</t>
  </si>
  <si>
    <t>https://drive.google.com/file/d/1drW0pSKXxjbguw1iSFJB1gVzMJCC4jq5/view?usp=drivesdk</t>
  </si>
  <si>
    <t>نشریه تکانه ۲۰.pdf</t>
  </si>
  <si>
    <t>https://drive.google.com/file/d/1Lvw5vLr0gFXuidELwONvbG8uX8C3YEgG/view?usp=drivesdk</t>
  </si>
  <si>
    <t>x/x/1391</t>
  </si>
  <si>
    <t>نشریه تکانه ۲۰.۵.pdf</t>
  </si>
  <si>
    <t>https://drive.google.com/file/d/1MHy6Cj-90J1rsyYSSCEYpnc4e6TLbrEk/view?usp=drivesdk</t>
  </si>
  <si>
    <t>شیوا شریف‌پور</t>
  </si>
  <si>
    <t>نشریه تکانه ۲۱.pdf</t>
  </si>
  <si>
    <t>https://drive.google.com/file/d/18425VuKih-G8p0WqTV1bXDzS2TCjDFR4/view?usp=drivesdk</t>
  </si>
  <si>
    <t>نشریه تکانه ۲۲.pdf</t>
  </si>
  <si>
    <t>https://drive.google.com/file/d/1_aO1mEmWl_cPoPXAL3-SLLA5PcBXklFi/view?usp=drivesdk</t>
  </si>
  <si>
    <t>نشریه تکانه ۲۳.pdf</t>
  </si>
  <si>
    <t>https://drive.google.com/file/d/1HFG6-2m1AkOcDZ3a8b2Vf6Dy1JKVUIX0/view?usp=drivesdk</t>
  </si>
  <si>
    <t>1/10/1392</t>
  </si>
  <si>
    <t>1/1/1394</t>
  </si>
  <si>
    <t>15/5/1393</t>
  </si>
  <si>
    <t>نشریه تکانه ۲۴.pdf</t>
  </si>
  <si>
    <t>https://drive.google.com/file/d/1fr9AQhbyy0cM7wajDNPW9d0AjmRH6UBa/view?usp=drivesdk</t>
  </si>
  <si>
    <t>مهدی اسحاقی</t>
  </si>
  <si>
    <t>x/x/1394</t>
  </si>
  <si>
    <t>1/7/1394</t>
  </si>
  <si>
    <t>نشریه تکانه ۲۵.pdf</t>
  </si>
  <si>
    <t>https://drive.google.com/file/d/1KtdYRy5oSm_T2djOlXPuVXUvm7qw1AXD/view?usp=drivesdk</t>
  </si>
  <si>
    <t>نشریه تکانه ۲۶.pdf</t>
  </si>
  <si>
    <t>https://drive.google.com/file/d/1j38Jsr_QVzu8Do4CaGP-__K8hy8Ho4wp/view?usp=drivesdk</t>
  </si>
  <si>
    <t>x/x/1395</t>
  </si>
  <si>
    <t>1/7/1395</t>
  </si>
  <si>
    <t>نشریه تکانه ۲۷.pdf</t>
  </si>
  <si>
    <t>https://drive.google.com/file/d/137EQSE87SQPA6RyCRuh1eNfUE28F7i3_/view?usp=drivesdk</t>
  </si>
  <si>
    <t>1/10/1397</t>
  </si>
  <si>
    <t>نشریه تکانه ۲۸.pdf</t>
  </si>
  <si>
    <t>https://drive.google.com/file/d/17fw1VSvW5c52Zi-1WI_Kxn7jWQFtfEmM/view?usp=drivesdk</t>
  </si>
  <si>
    <t>x/x/1397</t>
  </si>
  <si>
    <t>نشریه تکانه ۲۹.pdf</t>
  </si>
  <si>
    <t>https://drive.google.com/file/d/1QmJE2QKjjriSL2LfT5GqYdFa1r5dUOP8/view?usp=drivesdk</t>
  </si>
  <si>
    <t>فاطمه نوری</t>
  </si>
  <si>
    <t>نشریه تکانه ۳۰.pdf</t>
  </si>
  <si>
    <t>https://drive.google.com/file/d/1vCS55wrJcxB40s66aTwFWgLlGjJYDOvh/view?usp=drivesdk</t>
  </si>
  <si>
    <t>یاسمین‌سادات پناهی، عرفان رهبری، مهیار عباسی</t>
  </si>
  <si>
    <t>نشریه تکانه ۳۱.pdf</t>
  </si>
  <si>
    <t>https://drive.google.com/file/d/1IeYt875wjnsLO5UUZkFjJOaCHYXGe7SK/view?usp=drivesdk</t>
  </si>
  <si>
    <t>نشریه تکانه ۳۲.pdf</t>
  </si>
  <si>
    <t>https://drive.google.com/file/d/1G_-5XFt4xA5xHzFeYmyjFqvrTNnBvlLC/view?usp=drivesdk</t>
  </si>
  <si>
    <t>حسین مهدئی، حانیه ملکی، هانیه حاتمی</t>
  </si>
  <si>
    <t>نشریه تکانه ۳۳.pdf</t>
  </si>
  <si>
    <t>https://drive.google.com/file/d/1CnHyyAAlheyPq1DdsXpqHreFFFLb5luA/view?usp=drivesdk</t>
  </si>
  <si>
    <t>هانیه حاتمی، کاوینا زارع، حانیه ملکی</t>
  </si>
  <si>
    <t>x/x/1403</t>
  </si>
  <si>
    <t>1/7/1403</t>
  </si>
  <si>
    <t>Root/انجمن‌های علمی و نشریات وابسته به دانشکده‌ها/دانشکده فلسفه علم/جرات اندیشیدن</t>
  </si>
  <si>
    <t>1.0.مجله جرأت اندیشیدن شماره 1.pdf</t>
  </si>
  <si>
    <t>https://drive.google.com/file/d/165bPnJHsqG9YaiyaCY7rcDXdVjz8Ox97/view?usp=drivesdk</t>
  </si>
  <si>
    <t>کانون فرهنگی هنری تعالی</t>
  </si>
  <si>
    <t>دکتر ابراهیم آزادگان</t>
  </si>
  <si>
    <t>سمیه رسولی</t>
  </si>
  <si>
    <t>1.1ویژه_نامه_مجله_جرأ_اندیشیدنفلسفه.pdf</t>
  </si>
  <si>
    <t>https://drive.google.com/file/d/1GM84cqIOJo5sLUiSY1P8GxT65SWYAfPl/view?usp=drivesdk</t>
  </si>
  <si>
    <t>28/11/1396</t>
  </si>
  <si>
    <t>ویژه‌نامه سخنرانی دکتر مهدی گلشنی</t>
  </si>
  <si>
    <t>2.0.مجله جرأت اندیشیدن شماره 2.pdf</t>
  </si>
  <si>
    <t>https://drive.google.com/file/d/1I5xERuYHNSVl_CKv1WRM5G0wEQvlbv8C/view?usp=drivesdk</t>
  </si>
  <si>
    <t>2.1.ویژه نامه.pdf</t>
  </si>
  <si>
    <t>https://drive.google.com/file/d/1MgChGlj7vwEJqaRlT4wbV6dh49JbP4ls/view?usp=drivesdk</t>
  </si>
  <si>
    <t>7/2/1397</t>
  </si>
  <si>
    <t>ویژه‌نامه سخنرانی دکتر مهدی گلشنی و دکتر سید حسن حسینی</t>
  </si>
  <si>
    <t>3.0.مجله جرات اندیشیدن.pdf</t>
  </si>
  <si>
    <t>https://drive.google.com/file/d/1LXS6I2a6A3VMxjXcc8tjEkQ960exeQwb/view?usp=drivesdk</t>
  </si>
  <si>
    <t>4.0مجله جرات اندیشیدن شماره 4.pdf</t>
  </si>
  <si>
    <t>https://drive.google.com/file/d/1YxfSrQHArKGSAz-6Ynujpt5pzVr83B81/view?usp=drivesdk</t>
  </si>
  <si>
    <t>x/5/1397</t>
  </si>
  <si>
    <t>15/5/1397</t>
  </si>
  <si>
    <t>4.1ویژه نامه (2).pdf</t>
  </si>
  <si>
    <t>https://drive.google.com/file/d/1NUe7UoNpDTt0vFGrbd2qmWQyfHfw8JHJ/view?usp=drivesdk</t>
  </si>
  <si>
    <t>ویژه‌نامه مصاحبه با دکتر سید حسن حسینی</t>
  </si>
  <si>
    <t>4.2ویژه نامه ذهن.pdf</t>
  </si>
  <si>
    <t>https://drive.google.com/file/d/1-JviD0hGqgTLIBYOdvhb7sID3SyUn5cL/view?usp=drivesdk</t>
  </si>
  <si>
    <t>22/7/1397</t>
  </si>
  <si>
    <t>ویژه‌نامه فلسفه ذهن</t>
  </si>
  <si>
    <t>5.0مجله جرات اندیشیدن5.pdf</t>
  </si>
  <si>
    <t>https://drive.google.com/file/d/1gGFwuzgwGQ7QToDJxQOCs2eCkCKXIthz/view?usp=drivesdk</t>
  </si>
  <si>
    <t>6.0مجله جرات اندیشیدن شماره 6.pdf</t>
  </si>
  <si>
    <t>https://drive.google.com/file/d/1w7cNHEUzZeUp59OW1e4DGbJkStUsSl9s/view?usp=drivesdk</t>
  </si>
  <si>
    <t>7.0جرات اندیشیدن شماره 7.pdf</t>
  </si>
  <si>
    <t>https://drive.google.com/file/d/1a76FNj3balqcmVDji0Jkk8WzoAtNukPo/view?usp=drivesdk</t>
  </si>
  <si>
    <t>8.0شماره هشتم.pdf</t>
  </si>
  <si>
    <t>https://drive.google.com/file/d/12WM-RQ0Y2J7hfMRyZSsJlg-Y5MRQrBt9/view?usp=drivesdk</t>
  </si>
  <si>
    <t>9.0.jorateandishidan 9.pdf</t>
  </si>
  <si>
    <t>https://drive.google.com/file/d/1Wdm5gwB0fnGeKobEGbmoqApSbtmd3Y9N/view?usp=drivesdk</t>
  </si>
  <si>
    <t>10.0شماره دهم مجله جرئت اندیشیدن.pdf</t>
  </si>
  <si>
    <t>https://drive.google.com/file/d/1JwyQl4KtFXXJFgcgxWjD_2I7olM2Wl4s/view?usp=drivesdk</t>
  </si>
  <si>
    <t>Root/انجمن‌های علمی و نشریات وابسته به دانشکده‌ها/دانشکده مهندسی مکانیک/خمش و برش</t>
  </si>
  <si>
    <t>24.2خمش_خبرنامه_مکانیک_شریف_شماره_دوم.pdf</t>
  </si>
  <si>
    <t>https://drive.google.com/file/d/1OlJvpBcxAletudJen06rYIeX46hFDvFo/view?usp=drivesdk</t>
  </si>
  <si>
    <t>محور (انجمن علمی دانشکده مکانیک)</t>
  </si>
  <si>
    <t>حانیه گلزار</t>
  </si>
  <si>
    <t>27/9/1395</t>
  </si>
  <si>
    <t>24.3خمش_خبرنامه_مکانیک_شریف_شماره_سوم.pdf</t>
  </si>
  <si>
    <t>https://drive.google.com/file/d/1MRUlyGqvOC9N3MsOUz6hKe1ZhHCGoDFV/view?usp=drivesdk</t>
  </si>
  <si>
    <t>24/12/1395</t>
  </si>
  <si>
    <t>25.1ویژه نامه خمش ماه رمضان1 (2).pdf</t>
  </si>
  <si>
    <t>https://drive.google.com/file/d/1LaNslHG36-sIelKMhb-jtY-uAYUJZjpp/view?usp=drivesdk</t>
  </si>
  <si>
    <t>پویا عرب</t>
  </si>
  <si>
    <t>25.2خمش شماره 2.pdf</t>
  </si>
  <si>
    <t>https://drive.google.com/file/d/15JkJCu4H84VTFAnBQpDuA-93G1Y616tM/view?usp=drivesdk</t>
  </si>
  <si>
    <t>25.3خمش شماره ۳ - ۲۵.pdf</t>
  </si>
  <si>
    <t>https://drive.google.com/file/d/1B2Sj6T-f7xQ_6nkprSXMN_GtvwhAAkqQ/view?usp=drivesdk</t>
  </si>
  <si>
    <t>25.4خمش۴ جدید.pdf</t>
  </si>
  <si>
    <t>https://drive.google.com/file/d/1ojljhBCI-uLIldvJHwy2PyWM7yfV8yn6/view?usp=drivesdk</t>
  </si>
  <si>
    <t>25.5خمش۵دوره۲۵.pdf</t>
  </si>
  <si>
    <t>https://drive.google.com/file/d/1xIXyH2HMQD1p9aD1ZuZWR3jTUwYrwCV8/view?usp=drivesdk</t>
  </si>
  <si>
    <t>26.1نسخه_الکترونیکی_خمش_شماره_1_دوره (2).pdf</t>
  </si>
  <si>
    <t>https://drive.google.com/file/d/19bMQimpJyW4HxHrrLc-_MJCKMbBprVDq/view?usp=drivesdk</t>
  </si>
  <si>
    <t>حمیدرضا فتحی</t>
  </si>
  <si>
    <t>26.2.0نسخه الکترونیک خمش آبان 97 (2).pdf</t>
  </si>
  <si>
    <t>https://drive.google.com/file/d/1jbXsOMeMGwYurkWI8Rano0YXF3DPaCLW/view?usp=drivesdk</t>
  </si>
  <si>
    <t>26.2.1نسخه الکترونیک برش آبان 97 (2).pdf</t>
  </si>
  <si>
    <t>https://drive.google.com/file/d/1BJ03aVXjWmkU3vZCZcWrZ-oOwpt209fg/view?usp=drivesdk</t>
  </si>
  <si>
    <t>شماره ۱ برش</t>
  </si>
  <si>
    <t>26.3.0خمش شماره آذر.pdf</t>
  </si>
  <si>
    <t>https://drive.google.com/file/d/1jWzAwcVfwlyJwdlN_Ddty0mqP4fHsKMV/view?usp=drivesdk</t>
  </si>
  <si>
    <t>26.3.1برش آذر (2).pdf</t>
  </si>
  <si>
    <t>https://drive.google.com/file/d/1bV8rthphWHgfgbJrdkD1TuQqdLKNjlOg/view?usp=drivesdk</t>
  </si>
  <si>
    <t>شماره ۲ برش</t>
  </si>
  <si>
    <t>26.4.0نسخه الکترونیک (2).pdf</t>
  </si>
  <si>
    <t>https://drive.google.com/file/d/1QtGeCLyUNJBAkW3Iaw1PWLfhWtaWjTHG/view?usp=drivesdk</t>
  </si>
  <si>
    <t>26.4.1boresh (2).pdf</t>
  </si>
  <si>
    <t>https://drive.google.com/file/d/18gkfr_jQbpu_VSUtvP8LHRHxg40mU5KL/view?usp=drivesdk</t>
  </si>
  <si>
    <t>شماره ۳ برش</t>
  </si>
  <si>
    <t>26.5.0خمش اسفند ۹۷.pdf</t>
  </si>
  <si>
    <t>https://drive.google.com/file/d/1a3xAQG3U_wYs53kRSQPtgKlTfCjU2H1Z/view?usp=drivesdk</t>
  </si>
  <si>
    <t>26.5.1برش اسفند ۹۷ (2).pdf</t>
  </si>
  <si>
    <t>https://drive.google.com/file/d/1zhICrtwPNU293pBhRnPmPS1OWdIvlMAz/view?usp=drivesdk</t>
  </si>
  <si>
    <t>شماره ۴ برش</t>
  </si>
  <si>
    <t>26.6.0خمش فروردين ۹۸.pdf</t>
  </si>
  <si>
    <t>https://drive.google.com/file/d/1mqgJHbYoLed7azPO3YNs7f8fzbAMcZY6/view?usp=drivesdk</t>
  </si>
  <si>
    <t>26.6.1برش فروردین (2).pdf</t>
  </si>
  <si>
    <t>https://drive.google.com/file/d/1q_9qW_lL4MhuICTMeqnUOaWW2GYw2nBk/view?usp=drivesdk</t>
  </si>
  <si>
    <t>شماره ۵ برش</t>
  </si>
  <si>
    <t>26.7.0خمش خرداد ۹۸.pdf</t>
  </si>
  <si>
    <t>https://drive.google.com/file/d/1TgMKNP5sqhqgiERbaiA_cZTfxXaTdh6T/view?usp=drivesdk</t>
  </si>
  <si>
    <t>26.7.1برش خرداد ۹۸ (2).pdf</t>
  </si>
  <si>
    <t>https://drive.google.com/file/d/1qHvz4pGZDGKRPyhr4OwcbsVzmLg-Ivuh/view?usp=drivesdk</t>
  </si>
  <si>
    <t>شماره ۶ برش</t>
  </si>
  <si>
    <t>27.1خمش مهر ۹۸.pdf</t>
  </si>
  <si>
    <t>https://drive.google.com/file/d/10nMhdBV2ZLszAxBpsoWdhW2zFQE3m8Np/view?usp=drivesdk</t>
  </si>
  <si>
    <t>27.2.0خمش آبان 98.pdf</t>
  </si>
  <si>
    <t>https://drive.google.com/file/d/1v8ZxtmNcZFZ8izo_QZOF5rQUvcRE5PQB/view?usp=drivesdk</t>
  </si>
  <si>
    <t>زهرا خاتمی</t>
  </si>
  <si>
    <t>ستاره بیات</t>
  </si>
  <si>
    <t>27.2.1برش آبان 98 (2).pdf</t>
  </si>
  <si>
    <t>https://drive.google.com/file/d/15PE49LZyVc_gCX8swMRzwIULaiwwUpR8/view?usp=drivesdk</t>
  </si>
  <si>
    <t>27.3.0خمش آذر 98.pdf</t>
  </si>
  <si>
    <t>https://drive.google.com/file/d/1LA7rNqQQHJierdkRDLaSICu1THqahGpw/view?usp=drivesdk</t>
  </si>
  <si>
    <t>27.3.1برش آذر 98 (2).pdf</t>
  </si>
  <si>
    <t>https://drive.google.com/file/d/14pF4zh-QTGl5GLl_mx8Ebsj0WBk_zJ1O/view?usp=drivesdk</t>
  </si>
  <si>
    <t>27.4.0خمش بهمن 98.pdf.pdf</t>
  </si>
  <si>
    <t>https://drive.google.com/file/d/1hQTH6x8WZVv_Rvza8b86HeqpxOKdY38H/view?usp=drivesdk</t>
  </si>
  <si>
    <t>27.4.1برش بهمن ۹۸ (2).pdf</t>
  </si>
  <si>
    <t>https://drive.google.com/file/d/1H2gmFWYqN7eYiLD2SfWtPjs-ZabSnZyB/view?usp=drivesdk</t>
  </si>
  <si>
    <t>27.5.0خمش اردیبهشت.pdf</t>
  </si>
  <si>
    <t>https://drive.google.com/file/d/17fh1wyDiyIibHfv5Ue59RzCJFqS4YKSj/view?usp=drivesdk</t>
  </si>
  <si>
    <t>28.1.0خمش-دوره28-شماره1 (2).pdf</t>
  </si>
  <si>
    <t>https://drive.google.com/file/d/1Jr9JPjUOR7z8YSQpeG8HuMbGCaaBs_Mc/view?usp=drivesdk</t>
  </si>
  <si>
    <t>28.2.0خمش،دوره28، شماره2.pdf</t>
  </si>
  <si>
    <t>https://drive.google.com/file/d/12mqPjaVOHJB1xYtyGKeNVI9zqItD3msK/view?usp=drivesdk</t>
  </si>
  <si>
    <t>28.2.1برش، دوره28، مهرماه (2).pdf</t>
  </si>
  <si>
    <t>https://drive.google.com/file/d/1CRZ0P1yh4FsxZz3v6mAwUkcg6slHLnJN/view?usp=drivesdk</t>
  </si>
  <si>
    <t>28.3.0خمش دوره28، شماره3.pdf</t>
  </si>
  <si>
    <t>https://drive.google.com/file/d/1xsJ-EIWPzkCzcdEDuk9pPHsW3RbqMbG-/view?usp=drivesdk</t>
  </si>
  <si>
    <t>28.3.1برش، آذرماه، دوره28 (2).pdf</t>
  </si>
  <si>
    <t>https://drive.google.com/file/d/1zTZLNfegcpp9-XYyHP5U1LogbsB_zV7u/view?usp=drivesdk</t>
  </si>
  <si>
    <t>28.4.0نشریه خمش، شماره4، آذر‌ماه 99 (2).pdf</t>
  </si>
  <si>
    <t>https://drive.google.com/file/d/17WMu5VvRH4VjsAHiIgUGQlamvLTdnDYc/view?usp=drivesdk</t>
  </si>
  <si>
    <t>28.4.1برش، دی‌ماه، دوره ۲۸ (2).pdf</t>
  </si>
  <si>
    <t>https://drive.google.com/file/d/1LN6b1kSTufu7PooCqzW37s9PUsxUxVp3/view?usp=drivesdk</t>
  </si>
  <si>
    <t>28.5.0نشریه خمش، دوره28، شماره5-1 (2).pdf</t>
  </si>
  <si>
    <t>https://drive.google.com/file/d/1I7Gbu3j6xi48M6U_XvIXZtnQ0p7lbEsG/view?usp=drivesdk</t>
  </si>
  <si>
    <t>سیدپارسا قزوینی</t>
  </si>
  <si>
    <t>28.6.0خمش، شماره6، فروردین‌ماه1400.pdf</t>
  </si>
  <si>
    <t>https://drive.google.com/file/d/1alY3QZihjrzX-dejDujVeNAlgXG0Tgzg/view?usp=drivesdk</t>
  </si>
  <si>
    <t>28.6.1برش، اردیبهشت 1400، دوره 28 (2).pdf</t>
  </si>
  <si>
    <t>https://drive.google.com/file/d/1jz8B0sRm0UC8gLQPoAO2aTneWwPbiyu-/view?usp=drivesdk</t>
  </si>
  <si>
    <t>28.7.0نشریه خمش دوره28 شماره7 (2).pdf</t>
  </si>
  <si>
    <t>https://drive.google.com/file/d/111R3kilyWz4egI9BpXxmnz-3KN_piTmQ/view?usp=drivesdk</t>
  </si>
  <si>
    <t>28.7.1برش5، تیرماه 1400 (2).pdf</t>
  </si>
  <si>
    <t>https://drive.google.com/file/d/1jHAetOH2fmyQL7tXM4m1HBrUou4GGWIF/view?usp=drivesdk</t>
  </si>
  <si>
    <t>28.8.0خمش شماره8-تیرماه 1400.pdf</t>
  </si>
  <si>
    <t>https://drive.google.com/file/d/1lVD6gukjl1pIbfDENfitR4yG-ZF1rI7h/view?usp=drivesdk</t>
  </si>
  <si>
    <t>29.1.0نشریه خمش، دورۀ ۲۹، شمارۀ ۱ (2).pdf</t>
  </si>
  <si>
    <t>https://drive.google.com/file/d/1DzP2M9o91sO2apBoEPES9-6bnDNI05jz/view?usp=drivesdk</t>
  </si>
  <si>
    <t>29.2.0نشریۀ خمش، دورۀ 29، شمارۀ 2 (2).pdf</t>
  </si>
  <si>
    <t>https://drive.google.com/file/d/15ed9HxuF6MvtyTcCb607fFdBFPk9Bg2_/view?usp=drivesdk</t>
  </si>
  <si>
    <t>نیما رستگار</t>
  </si>
  <si>
    <t>29.2.1برش، دورۀ 29،شمارۀ 1 (2).pdf</t>
  </si>
  <si>
    <t>https://drive.google.com/file/d/14I9lfwS2_skiJx1KVytgGY3MEVQJjRw3/view?usp=drivesdk</t>
  </si>
  <si>
    <t>29.3.0نشریۀ خمش، دورۀ ۲۹، شمارۀ ۳ (2).pdf</t>
  </si>
  <si>
    <t>https://drive.google.com/file/d/1MBF2Nishl1XkM5d8az6pAOKcHUsEWt8a/view?usp=drivesdk</t>
  </si>
  <si>
    <t>29.4.0نشریۀ خمش، دورۀ ۲۹، شمارۀ ۴ (2).pdf</t>
  </si>
  <si>
    <t>https://drive.google.com/file/d/1yMCMwlhc1lMUCXZPlpN5kQezKnaeZvcC/view?usp=drivesdk</t>
  </si>
  <si>
    <t>29.5.0نشریۀ خمش، دورۀ ۲۹، شمارۀ ۵ (2).pdf</t>
  </si>
  <si>
    <t>https://drive.google.com/file/d/19YqipDyeXFab5vWmGw7x3aKm1henDLSL/view?usp=drivesdk</t>
  </si>
  <si>
    <t>30.1.0نشریهٔ خمش، دورهٔ ۳۰، شمارهٔ ۱ (2).pdf</t>
  </si>
  <si>
    <t>https://drive.google.com/file/d/11QaKE00eXl7BLEnCcy5DpxIlXIaXH2SS/view?usp=drivesdk</t>
  </si>
  <si>
    <t>30.2.0نشریهٔ خمش، دورهٔ ۳۰، شمارهٔ ۲ (2).pdf</t>
  </si>
  <si>
    <t>https://drive.google.com/file/d/1vV6auHqjUw7Uuvnvc3NXVxX9sMiYU7xg/view?usp=drivesdk</t>
  </si>
  <si>
    <t>زهرا موسوی</t>
  </si>
  <si>
    <t>علیرضا فکوریان، شهرزاد قنبرزاده</t>
  </si>
  <si>
    <t>30.3.0نشریهٔ خمش، دورهٔ ۳۰، شمارهٔ ۳ (2).pdf</t>
  </si>
  <si>
    <t>https://drive.google.com/file/d/1iqLhbSQx-XpeAemgcuUmGb4Nmhx_sBxC/view?usp=drivesdk</t>
  </si>
  <si>
    <t>علیرضا فکوریان</t>
  </si>
  <si>
    <t>30.4.0نشریۀ خمش-دورۀ30-شمارۀ4 (1) (1) (2).pdf</t>
  </si>
  <si>
    <t>https://drive.google.com/file/d/1hkNNYzoPQbzKOc8-3mdyU4uh4iSBkeLY/view?usp=drivesdk</t>
  </si>
  <si>
    <t>30.5.0نشریۀخمش‌-دورۀ30-شمارۀ5 (2) (3) (2).pdf</t>
  </si>
  <si>
    <t>https://drive.google.com/file/d/1QdgyeipJGiUTgxudr3xN8-V-2eN2JkcW/view?usp=drivesdk</t>
  </si>
  <si>
    <t>علیرضا فکوریان، مریم کریمی جعفری</t>
  </si>
  <si>
    <t>30.5.1نشریۀ برش، دورۀ30، شمارۀ5 (1) (2).pdf</t>
  </si>
  <si>
    <t>https://drive.google.com/file/d/17XM648_EpePnpHPzqMvYPUejpZh_0cWZ/view?usp=drivesdk</t>
  </si>
  <si>
    <t>30.6.0نشریهٔ خمش، دورهٔ ۳۰، شمارهٔ ۶ (2).pdf</t>
  </si>
  <si>
    <t>https://drive.google.com/file/d/1IHaNg7a5Lp-w7Aq7dcAycb8IXKY-LkIC/view?usp=drivesdk</t>
  </si>
  <si>
    <t>مریم کریمی جعفری</t>
  </si>
  <si>
    <t>30.7.0نشریهٔ خمش، دورهٔ ۳۰، شمارهٔ ۷ (2).pdf</t>
  </si>
  <si>
    <t>https://drive.google.com/file/d/1fda0Vqed1hJNSRNwPzq8VSIulhTSJpAe/view?usp=drivesdk</t>
  </si>
  <si>
    <t>30.7.1نشریهٔ برش، دورهٔ ۳۰، شمارهٔ ۷ (2).pdf</t>
  </si>
  <si>
    <t>https://drive.google.com/file/d/1M0BAELx1z59ahBho_rqddbnN-jOkb4h8/view?usp=drivesdk</t>
  </si>
  <si>
    <t>شماره ۷ برش</t>
  </si>
  <si>
    <t>31.1.0نشریۀ خمش، دورۀ ۳۱، شمارۀ ۱ (2).pdf</t>
  </si>
  <si>
    <t>https://drive.google.com/file/d/1qQu3RMJrzSg4Vz9udyr0CcNecOW5pxk-/view?usp=drivesdk</t>
  </si>
  <si>
    <t>کیارش حقانی</t>
  </si>
  <si>
    <t>31.1.1ضمیمۀ_علمی_‌برش،_دورۀ_۳۱،_شمارۀ_۱ (2).pdf</t>
  </si>
  <si>
    <t>https://drive.google.com/file/d/10QTjB5Uti2GX8FiA06xb4KlmEnr8X8RV/view?usp=drivesdk</t>
  </si>
  <si>
    <t>فاطمه دلاورخلفی</t>
  </si>
  <si>
    <t>31.2.0نشریۀ خمش، دورۀ ۳۱، شمارۀ دوم (2).pdf</t>
  </si>
  <si>
    <t>https://drive.google.com/file/d/1g9idxQUL1Jax1e4YMODkJyUQRBFSmUdN/view?usp=drivesdk</t>
  </si>
  <si>
    <t>علی امینی</t>
  </si>
  <si>
    <t>31.2.1نشریۀ برش-دورۀ ۳۱-شمارۀ ۲ (2).pdf</t>
  </si>
  <si>
    <t>https://drive.google.com/file/d/14zLhv6Pq6gBMcSCCSS3ya76szFIfDg1i/view?usp=drivesdk</t>
  </si>
  <si>
    <t>31.3.0نشریۀ خمش، شمارۀ سوم،دورۀ ۳۱ (2).pdf</t>
  </si>
  <si>
    <t>https://drive.google.com/file/d/1TBeZr2xFgsYuZZFLtVKh5aiz_pFHZn09/view?usp=drivesdk</t>
  </si>
  <si>
    <t>31.4.0نشریۀ خمش، شمارۀ چهارم،دورۀ ۳۱ (2).pdf</t>
  </si>
  <si>
    <t>https://drive.google.com/file/d/1Vsc98o25ndL9GCJDAXthtfwc_pNtI2wT/view?usp=drivesdk</t>
  </si>
  <si>
    <t>32.1.0نشریۀ خمش، شمارهٔ 1، دورهٔ 32.pdf</t>
  </si>
  <si>
    <t>https://drive.google.com/file/d/1xEHuMiUMx4nBGg0AmMSdZGiZ0D9sZo3g/view?usp=drivesdk</t>
  </si>
  <si>
    <t>زهرا اسلمی</t>
  </si>
  <si>
    <t>رضا محمدی</t>
  </si>
  <si>
    <t>32.3.1نشریهٔ خمش، شمارهٔ3، دورهٔ 32.pdf</t>
  </si>
  <si>
    <t>https://drive.google.com/file/d/1_vbv5GnCSLYYO7jfDSGlQ3qVTPWoADq6/view?usp=drivesdk</t>
  </si>
  <si>
    <t>لعیا حاجی‌پور</t>
  </si>
  <si>
    <t>b1-نشریۀ برش، شمارۀ ۱، زمستان ۱۴۰۲ (2).pdf</t>
  </si>
  <si>
    <t>https://drive.google.com/file/d/1qrkQWSt5hgeTiGSCFS8DfSki1O7ahQTw/view?usp=drivesdk</t>
  </si>
  <si>
    <t>دکتر سمیه محمدی</t>
  </si>
  <si>
    <t>فاطمه‌سادات موسوی‌نیا، کیارش حقانی</t>
  </si>
  <si>
    <t>b2-نشریۀ برش، شمارۀ ۲، بهار ۱۴۰۳.pdf</t>
  </si>
  <si>
    <t>https://drive.google.com/file/d/1_ftRG5mcYAYRQDzFGihI2v6Bk23BKXD3/view?usp=drivesdk</t>
  </si>
  <si>
    <t>فاطمه‌سادات موسوی‌نیا</t>
  </si>
  <si>
    <t>b3-شمارهٔ سوم نشریه علمی برش.pdf</t>
  </si>
  <si>
    <t>https://drive.google.com/file/d/1ERcR58fR_UV-brhjDNKF4yANsL_kib_F/view?usp=drivesdk</t>
  </si>
  <si>
    <t>فاطمه‌سادات موسوی‌نیا، سیدعطاالله طباطبایی‌فرد</t>
  </si>
  <si>
    <t>b4شماره چهارم نشریه علمی برش.pdf</t>
  </si>
  <si>
    <t>https://drive.google.com/file/d/12PPg8t35DybR8iCQUD7nKGA08O8jsSWB/view?usp=drivesdk</t>
  </si>
  <si>
    <t>Root/انجمن‌های علمی و نشریات وابسته به دانشکده‌ها/دانشکده فیزیک/دال</t>
  </si>
  <si>
    <t>1.Dal01.pdf</t>
  </si>
  <si>
    <t>https://drive.google.com/file/d/1EfR4_kFWZWcf2Ka3cB1d5CA46Ot1m39N/view?usp=drivesdk</t>
  </si>
  <si>
    <t>1/1/1385</t>
  </si>
  <si>
    <t>30/9/1385</t>
  </si>
  <si>
    <t>2.Dal02.pdf</t>
  </si>
  <si>
    <t>https://drive.google.com/file/d/1oMOsZcOhaB7JmZiNiCkqIcMuzfEQt5pn/view?usp=drivesdk</t>
  </si>
  <si>
    <t>3.0Dal03.pdf</t>
  </si>
  <si>
    <t>https://drive.google.com/file/d/1MZ6-BNCsxxTxkqjaA3dvQr84APrsOdES/view?usp=drivesdk</t>
  </si>
  <si>
    <t>محمد جواد وکیلی</t>
  </si>
  <si>
    <t>x/7/1386</t>
  </si>
  <si>
    <t>15/7/1386</t>
  </si>
  <si>
    <t>3.1hoz firuze 01.pdf</t>
  </si>
  <si>
    <t>https://drive.google.com/file/d/18Iar1dXNWFU7mf-LbKy2-pfgCIKiSbJR/view?usp=drivesdk</t>
  </si>
  <si>
    <t>شبنم قزه‌گوزلو</t>
  </si>
  <si>
    <t>x/8/1386</t>
  </si>
  <si>
    <t>حوض فیروز: ضمیمه دخترانه نشریه دال</t>
  </si>
  <si>
    <t>15/8/1386</t>
  </si>
  <si>
    <t>4.0Dal04.pdf</t>
  </si>
  <si>
    <t>https://drive.google.com/file/d/1_lCDmr4p6RiHW01BVEnHRretjfNmNY6w/view?usp=drivesdk</t>
  </si>
  <si>
    <t>میثم خطیبی، شبنم قزه‌گوزلو</t>
  </si>
  <si>
    <t>x/3/1387</t>
  </si>
  <si>
    <t>15/3/1387</t>
  </si>
  <si>
    <t>4.1Dal04-zamime.pdf</t>
  </si>
  <si>
    <t>https://drive.google.com/file/d/1o797uouvNQmp0JKbrnQeF2kO8V_39Eqd/view?usp=drivesdk</t>
  </si>
  <si>
    <t>ش</t>
  </si>
  <si>
    <t>5.Dal05.pdf</t>
  </si>
  <si>
    <t>https://drive.google.com/file/d/1bVTs1YosGwEFw1sZ4Mx8VjLGQQWrKKYA/view?usp=drivesdk</t>
  </si>
  <si>
    <t>ضمیمه شماره ۴</t>
  </si>
  <si>
    <t>1/3/1387</t>
  </si>
  <si>
    <t>1/2/1389</t>
  </si>
  <si>
    <t>16/2/1388</t>
  </si>
  <si>
    <t>6.Dal06.pdf</t>
  </si>
  <si>
    <t>https://drive.google.com/file/d/1MCX4Z6PpWpZkP3pUJkSPNulVpCYOuJHn/view?usp=drivesdk</t>
  </si>
  <si>
    <t>7.dal07.pdf</t>
  </si>
  <si>
    <t>https://drive.google.com/file/d/1Es-2pTEP-ocHDNngAxn1FavT9X89rZ9V/view?usp=drivesdk</t>
  </si>
  <si>
    <t>پروانه آقایی دیزج</t>
  </si>
  <si>
    <t>x/1/1389</t>
  </si>
  <si>
    <t>15/1/1389</t>
  </si>
  <si>
    <t>🗓 نوروز ۱۳۸۹</t>
  </si>
  <si>
    <t>8.Dal08.pdf</t>
  </si>
  <si>
    <t>https://drive.google.com/file/d/14ZeSKU8_jDp6UkicMKMoWF6dk2kWfXkj/view?usp=drivesdk</t>
  </si>
  <si>
    <t>15/3/1389</t>
  </si>
  <si>
    <t>9.Dal09.pdf</t>
  </si>
  <si>
    <t>https://drive.google.com/file/d/1OyU_f8KS5BIl-9Y3Rc1pAg-paA9G1xJP/view?usp=drivesdk</t>
  </si>
  <si>
    <t>سیدامیرسادات موسوی</t>
  </si>
  <si>
    <t>Root/انجمن‌های علمی و نشریات وابسته به دانشکده‌ها/دانشکده ریاضی/درایه</t>
  </si>
  <si>
    <t>1.1.pdf</t>
  </si>
  <si>
    <t>https://drive.google.com/file/d/1jtVG-CSyPxe7bli-0xFnuubscGpfo7wa/view?usp=drivesdk</t>
  </si>
  <si>
    <t>x/8/1395</t>
  </si>
  <si>
    <t>15/8/1395</t>
  </si>
  <si>
    <t>2.1.pdf</t>
  </si>
  <si>
    <t>https://drive.google.com/file/d/1sCSbOTqKJ2TCUX_bxKiD9liuj3m6M15O/view?usp=drivesdk</t>
  </si>
  <si>
    <t>پویان علی‌پناهی</t>
  </si>
  <si>
    <t>2.2.pdf</t>
  </si>
  <si>
    <t>https://drive.google.com/file/d/1PzBrEXpbI0aP55RPU7eQcBmHdV_ZIJ8s/view?usp=drivesdk</t>
  </si>
  <si>
    <t>انجمن علمی دانشکده علوم ریاضی (همبند)</t>
  </si>
  <si>
    <t>2.3.pdf</t>
  </si>
  <si>
    <t>https://drive.google.com/file/d/11r4evWjzUuGyBtFh_CZ84xcR-cu_2y5f/view?usp=drivesdk</t>
  </si>
  <si>
    <t>3.1.pdf</t>
  </si>
  <si>
    <t>https://drive.google.com/file/d/1bplreIwAbdqqMlh2lHnowhn6uSKSKB-Z/view?usp=drivesdk</t>
  </si>
  <si>
    <t>محدثه آغویی‌خواه</t>
  </si>
  <si>
    <t>4.1.pdf</t>
  </si>
  <si>
    <t>https://drive.google.com/file/d/1eMa7LpZ1s4S1mlTBAWPBMWKFjIHfLB4T/view?usp=drivesdk</t>
  </si>
  <si>
    <t>علی الماسی</t>
  </si>
  <si>
    <t>4.2.pdf</t>
  </si>
  <si>
    <t>https://drive.google.com/file/d/1el8FUnhQu2QRcR3Tv6S_KFqFaTN5s04J/view?usp=drivesdk</t>
  </si>
  <si>
    <t>4.3.pdf</t>
  </si>
  <si>
    <t>https://drive.google.com/file/d/1YkLJ5DQY50qOzPN3FKLjaWWYCYrdG9lK/view?usp=drivesdk</t>
  </si>
  <si>
    <t>4.4.pdf</t>
  </si>
  <si>
    <t>https://drive.google.com/file/d/1WjHpSVg7jIH2fF-JqEFWC3cWZE14NHWw/view?usp=drivesdk</t>
  </si>
  <si>
    <t>5.1.pdf</t>
  </si>
  <si>
    <t>https://drive.google.com/file/d/1o2yBQgrM4vwrfc47DCFU_jvH7qihYRaj/view?usp=drivesdk</t>
  </si>
  <si>
    <t>متین انصاری‌پور</t>
  </si>
  <si>
    <t>امیرعلی موسوی شیجانی، دیبا هاشمی</t>
  </si>
  <si>
    <t>6.1.pdf</t>
  </si>
  <si>
    <t>https://drive.google.com/file/d/1wRu2-YUoXbSCWAGa7aY-kflP0uqxey07/view?usp=drivesdk</t>
  </si>
  <si>
    <t>زهرا حیدری‌فر، دیبا هاشمی</t>
  </si>
  <si>
    <t>6.2.pdf</t>
  </si>
  <si>
    <t>https://drive.google.com/file/d/1RPzURpKgt3tbDj5yt7zLsQtCE4KbfGZo/view?usp=drivesdk</t>
  </si>
  <si>
    <t>6.3.pdf</t>
  </si>
  <si>
    <t>https://drive.google.com/file/d/13kxbNhxE2PujwRNSst2U3-iqpHRX7cGR/view?usp=drivesdk</t>
  </si>
  <si>
    <t>6.4.pdf</t>
  </si>
  <si>
    <t>https://drive.google.com/file/d/1gcefNhNaPWU4KSj0t89_MTGALowlosgw/view?usp=drivesdk</t>
  </si>
  <si>
    <t>7.1.pdf</t>
  </si>
  <si>
    <t>https://drive.google.com/file/d/1Ifi_ttKzmI1UKPYJGq6gSxnanA9s6A49/view?usp=drivesdk</t>
  </si>
  <si>
    <t>زهرا حیدری‌فر، مریم زمانی</t>
  </si>
  <si>
    <t>7.2.pdf</t>
  </si>
  <si>
    <t>https://drive.google.com/file/d/1w6kLmd9C-1Ea9G08HmDb_sPWNYpm5Xv4/view?usp=drivesdk</t>
  </si>
  <si>
    <t>7.3.pdf</t>
  </si>
  <si>
    <t>https://drive.google.com/file/d/1RVSagBXI_bhvHGvc8aVM5nNkiR2DZ8xb/view?usp=drivesdk</t>
  </si>
  <si>
    <t>سینا قاسمی‌نژاد، نگین لطفی</t>
  </si>
  <si>
    <t>8.1.pdf</t>
  </si>
  <si>
    <t>https://drive.google.com/file/d/1fVFhjNpF-nw8ozCfVo8SUeGmukfdBNQS/view?usp=drivesdk</t>
  </si>
  <si>
    <t>فناز حاج‌منوچهری</t>
  </si>
  <si>
    <t>عارف نماینده، آرمین طهرانچی</t>
  </si>
  <si>
    <t>Root/انجمن‌های علمی و نشریات وابسته به دانشکده‌ها/دانشکده مهندسی شیمی و نفت/دردانشکده</t>
  </si>
  <si>
    <t>InDep 01.pdf</t>
  </si>
  <si>
    <t>https://drive.google.com/file/d/116TKQvFM4mr76xAtu5Ch3pv83PYlnd6s/view?usp=drivesdk</t>
  </si>
  <si>
    <t>محمد صادق کریمی</t>
  </si>
  <si>
    <t>محمد فیض‌بخشان</t>
  </si>
  <si>
    <t>محمدصالح انصاری آذربایجانی</t>
  </si>
  <si>
    <t>7/8/1391</t>
  </si>
  <si>
    <t>InDep 02.pdf</t>
  </si>
  <si>
    <t>https://drive.google.com/file/d/1o9SD7zSbmRDBWO547PyO6NI2eu682qat/view?usp=drivesdk</t>
  </si>
  <si>
    <t>عمادالدین کریمیان</t>
  </si>
  <si>
    <t>محمدحسن غریبی</t>
  </si>
  <si>
    <t>28/8/1391</t>
  </si>
  <si>
    <t>InDep 03.pdf</t>
  </si>
  <si>
    <t>https://drive.google.com/file/d/1UoOeV363T9QJE0rss2a92whsriXQMJ9y/view?usp=drivesdk</t>
  </si>
  <si>
    <t>علی کیاکاظمی</t>
  </si>
  <si>
    <t>19/9/1391</t>
  </si>
  <si>
    <t>InDep 04.pdf</t>
  </si>
  <si>
    <t>https://drive.google.com/file/d/1o226HntuOH9LBLBm6aF8YoXoJXx974U-/view?usp=drivesdk</t>
  </si>
  <si>
    <t>1/12/1391</t>
  </si>
  <si>
    <t>InDep 05.pdf</t>
  </si>
  <si>
    <t>https://drive.google.com/file/d/1uhsw5KekdjWybf3Nngmsml2B_xfm9AZV/view?usp=drivesdk</t>
  </si>
  <si>
    <t>29/2/1399</t>
  </si>
  <si>
    <t>InDep 06.pdf</t>
  </si>
  <si>
    <t>https://drive.google.com/file/d/1Vs9suQ9rYP0RG4oQc_bWYd8dp0nA9CJk/view?usp=drivesdk</t>
  </si>
  <si>
    <t>شایان مرشدی</t>
  </si>
  <si>
    <t>14/7/1392</t>
  </si>
  <si>
    <t>InDep 07.pdf</t>
  </si>
  <si>
    <t>https://drive.google.com/file/d/1SjpGQxi5e6x9jkA5-HL_MknGAhX7slww/view?usp=drivesdk</t>
  </si>
  <si>
    <t>28/7/1392</t>
  </si>
  <si>
    <t>InDep 08.pdf</t>
  </si>
  <si>
    <t>https://drive.google.com/file/d/18SLlpTAPx6JPKrpJA4ZgKLZ4GzXiKKTo/view?usp=drivesdk</t>
  </si>
  <si>
    <t>13/8/1392</t>
  </si>
  <si>
    <t>InDep 09.pdf</t>
  </si>
  <si>
    <t>https://drive.google.com/file/d/1A6rPeh6qAIVACQV9ufe6_0vBmBZrJxg4/view?usp=drivesdk</t>
  </si>
  <si>
    <t>28/8/1392</t>
  </si>
  <si>
    <t>InDep 10.pdf</t>
  </si>
  <si>
    <t>https://drive.google.com/file/d/1Aq7r2-RSSQdFsMkfXpXlqnbqBBsI2HMt/view?usp=drivesdk</t>
  </si>
  <si>
    <t>11/9/1392</t>
  </si>
  <si>
    <t>InDep 11.pdf</t>
  </si>
  <si>
    <t>https://drive.google.com/file/d/1b7VTWjMt8sw62UrHtvvN-x-27p537Ep5/view?usp=drivesdk</t>
  </si>
  <si>
    <t>25/9/1392</t>
  </si>
  <si>
    <t>InDep 12.pdf</t>
  </si>
  <si>
    <t>https://drive.google.com/file/d/1HfvWXEqTVhyq8ggOGaDwfH9vyMUCYjS6/view?usp=drivesdk</t>
  </si>
  <si>
    <t>28/11/1392</t>
  </si>
  <si>
    <t>InDep 13.pdf</t>
  </si>
  <si>
    <t>https://drive.google.com/file/d/1na0rm5Mc83pJ584jCvvd35uSLAw4F2zn/view?usp=drivesdk</t>
  </si>
  <si>
    <t>x/x/1393</t>
  </si>
  <si>
    <t>InDep 14.pdf</t>
  </si>
  <si>
    <t>https://drive.google.com/file/d/1iX6UU0wQfrcuTT0iA3sLjNNawRq2uQdG/view?usp=drivesdk</t>
  </si>
  <si>
    <t>26/1/1393</t>
  </si>
  <si>
    <t>InDep 15.pdf</t>
  </si>
  <si>
    <t>https://drive.google.com/file/d/1p22q9qC8oNUusWg9UJsH-MwOpjuTTej7/view?usp=drivesdk</t>
  </si>
  <si>
    <t>8/2/1393</t>
  </si>
  <si>
    <t>InDep 16.pdf</t>
  </si>
  <si>
    <t>https://drive.google.com/file/d/1yaoaxHm_WrJpqrRGzfNMcyp2D2NXXdNx/view?usp=drivesdk</t>
  </si>
  <si>
    <t>22/2/1393</t>
  </si>
  <si>
    <t>InDep 17.pdf</t>
  </si>
  <si>
    <t>https://drive.google.com/file/d/1Ob-4-gZKcKpn40JgQFV6ahm3wQELzOIJ/view?usp=drivesdk</t>
  </si>
  <si>
    <t>5/9/1393</t>
  </si>
  <si>
    <t>InDep 18.pdf</t>
  </si>
  <si>
    <t>https://drive.google.com/file/d/12YixapyCqGimuDvVZrs4-C5c_D4AcF13/view?usp=drivesdk</t>
  </si>
  <si>
    <t>31/6/1393</t>
  </si>
  <si>
    <t>InDep 19.pdf</t>
  </si>
  <si>
    <t>https://drive.google.com/file/d/1-FJ_yyyMXewVzY31su8uJrtmaXi0wN0G/view?usp=drivesdk</t>
  </si>
  <si>
    <t>14/7/1393</t>
  </si>
  <si>
    <t>InDep 20.pdf</t>
  </si>
  <si>
    <t>https://drive.google.com/file/d/1oLUyTXVB-zxT-39a6IrGRyUOje-cQncp/view?usp=drivesdk</t>
  </si>
  <si>
    <t>29/7/1393</t>
  </si>
  <si>
    <t>InDep 21.pdf</t>
  </si>
  <si>
    <t>https://drive.google.com/file/d/1qddo8dku8WdzPN8A6w_aPawSa-brG3R9/view?usp=drivesdk</t>
  </si>
  <si>
    <t>11/8/1393</t>
  </si>
  <si>
    <t>InDep 22.pdf</t>
  </si>
  <si>
    <t>https://drive.google.com/file/d/1e1HkmuUAnYx72CBTodIHi54NQpUZom1e/view?usp=drivesdk</t>
  </si>
  <si>
    <t>25/8/1393</t>
  </si>
  <si>
    <t>InDep 23.pdf</t>
  </si>
  <si>
    <t>https://drive.google.com/file/d/1OtjGv9wVr7vbZ788e8P5yapkxXJ5dq7U/view?usp=drivesdk</t>
  </si>
  <si>
    <t>9/9/1393</t>
  </si>
  <si>
    <t>InDep 24.pdf</t>
  </si>
  <si>
    <t>https://drive.google.com/file/d/1ILoOwbLiXqUh7bvlniMy-OgsdQHExyPr/view?usp=drivesdk</t>
  </si>
  <si>
    <t>23/9/1393</t>
  </si>
  <si>
    <t>InDep 25.pdf</t>
  </si>
  <si>
    <t>https://drive.google.com/file/d/1419t8WnaFo53Nbym3WmKC8crVy6NTgSs/view?usp=drivesdk</t>
  </si>
  <si>
    <t>8/10/1393</t>
  </si>
  <si>
    <t>InDep 26.pdf</t>
  </si>
  <si>
    <t>https://drive.google.com/file/d/1ejIPNPQ-a6-ocxzU-WKsSIcfXZ9rFfk7/view?usp=drivesdk</t>
  </si>
  <si>
    <t>27/11/1393</t>
  </si>
  <si>
    <t>InDep 27.pdf</t>
  </si>
  <si>
    <t>https://drive.google.com/file/d/1J0EVKjr9KphZiY0YoGAeOTc9cJx-hnwU/view?usp=drivesdk</t>
  </si>
  <si>
    <t>InDep 28.pdf</t>
  </si>
  <si>
    <t>https://drive.google.com/file/d/1PkI88dz_PfIGeyE98j8CraowCwP59gbB/view?usp=drivesdk</t>
  </si>
  <si>
    <t>گروه علمی دانشجویی کیمیا</t>
  </si>
  <si>
    <t>24/1/1394</t>
  </si>
  <si>
    <t>InDep 29.pdf</t>
  </si>
  <si>
    <t>https://drive.google.com/file/d/1gcrWB1q8k-Tt0pipG01tVz12QnetLV-a/view?usp=drivesdk</t>
  </si>
  <si>
    <t>13/2/1394</t>
  </si>
  <si>
    <t>InDep 30.pdf</t>
  </si>
  <si>
    <t>https://drive.google.com/file/d/11fr494AzLU0Tk9WHA4QGLrpGfSTpRdaE/view?usp=drivesdk</t>
  </si>
  <si>
    <t>27/2/1394</t>
  </si>
  <si>
    <t>InDep 31.pdf</t>
  </si>
  <si>
    <t>https://drive.google.com/file/d/1MdzWcfp6kl0FRKsi_FT1dvIaU5T6hmnc/view?usp=drivesdk</t>
  </si>
  <si>
    <t>15/3/1394</t>
  </si>
  <si>
    <t>InDep 32.pdf</t>
  </si>
  <si>
    <t>https://drive.google.com/file/d/1WOVlHYO6rrPXLTDUI-DN-3sFOb2OQYjs/view?usp=drivesdk</t>
  </si>
  <si>
    <t>7/7/1394</t>
  </si>
  <si>
    <t>InDep 33.pdf</t>
  </si>
  <si>
    <t>https://drive.google.com/file/d/13F-L583yp5Pwqlfxs-tCcI3jyvShcm5r/view?usp=drivesdk</t>
  </si>
  <si>
    <t>28/7/1394</t>
  </si>
  <si>
    <t>InDep 34.pdf</t>
  </si>
  <si>
    <t>https://drive.google.com/file/d/1og7dxIBI7FAPVZxs1AUd3xcIirtNZS1_/view?usp=drivesdk</t>
  </si>
  <si>
    <t>12/8/1394</t>
  </si>
  <si>
    <t>InDep 35.pdf</t>
  </si>
  <si>
    <t>https://drive.google.com/file/d/1WTtQwMaHAZ1helzBMwcIFVe_Xc38NUVH/view?usp=drivesdk</t>
  </si>
  <si>
    <t>25/8/1394</t>
  </si>
  <si>
    <t>InDep 36.pdf</t>
  </si>
  <si>
    <t>https://drive.google.com/file/d/1XY6JUQJN8No9BB1UvTkCETO_I1rnG3Xl/view?usp=drivesdk</t>
  </si>
  <si>
    <t>10/9/1394</t>
  </si>
  <si>
    <t>InDep 37.pdf</t>
  </si>
  <si>
    <t>https://drive.google.com/file/d/146648ejqCbEonC7_dfibi4XTW-hQsRii/view?usp=drivesdk</t>
  </si>
  <si>
    <t>24/9/1394</t>
  </si>
  <si>
    <t>InDep 38.pdf</t>
  </si>
  <si>
    <t>https://drive.google.com/file/d/1hLhaJLTsEzt6vl36uoZNU95X3sRdXkAS/view?usp=drivesdk</t>
  </si>
  <si>
    <t>محدثه علی‌زاده</t>
  </si>
  <si>
    <t>26/11/1394</t>
  </si>
  <si>
    <t>InDep 39.pdf</t>
  </si>
  <si>
    <t>https://drive.google.com/file/d/1TspxRTkh2y8v-7y4InglX-GZVeqeog5b/view?usp=drivesdk</t>
  </si>
  <si>
    <t>InDep 40.pdf</t>
  </si>
  <si>
    <t>https://drive.google.com/file/d/1NKSvXQL1Ee7dqHd5CyM3Y77kVnfaQMjX/view?usp=drivesdk</t>
  </si>
  <si>
    <t>30/1/1395</t>
  </si>
  <si>
    <t>InDep 41.pdf</t>
  </si>
  <si>
    <t>https://drive.google.com/file/d/1Q4iUCkbKv0-KbxY0aNOKvgg0lqLMMRG1/view?usp=drivesdk</t>
  </si>
  <si>
    <t>13/2/1395</t>
  </si>
  <si>
    <t>InDep 42.pdf</t>
  </si>
  <si>
    <t>https://drive.google.com/file/d/1l1O9jS60xhFgNpSYZ5PUpQ6VjqDVrNSd/view?usp=drivesdk</t>
  </si>
  <si>
    <t>27/2/1395</t>
  </si>
  <si>
    <t>InDep 43.pdf</t>
  </si>
  <si>
    <t>https://drive.google.com/file/d/1M3thR-1eicJe0g2nd5lPBrQgMoUpOUJG/view?usp=drivesdk</t>
  </si>
  <si>
    <t>17/7/1395</t>
  </si>
  <si>
    <t>InDep 44.pdf</t>
  </si>
  <si>
    <t>https://drive.google.com/file/d/1K8XZb3tmM4w7YZynS-pCXeL_XdNeqXGw/view?usp=drivesdk</t>
  </si>
  <si>
    <t>x/7/1395</t>
  </si>
  <si>
    <t>15/7/1395</t>
  </si>
  <si>
    <t>InDep 45.pdf</t>
  </si>
  <si>
    <t>https://drive.google.com/file/d/1f87I_JuZB31lvP1sdHoeAiMrwzMie3g4/view?usp=drivesdk</t>
  </si>
  <si>
    <t>محمدحسین هوائی</t>
  </si>
  <si>
    <t>1/8/1395</t>
  </si>
  <si>
    <t>InDep 46.pdf</t>
  </si>
  <si>
    <t>https://drive.google.com/file/d/128LuIZT3whtL4eSFqUEMxEMZ5IoAvtTz/view?usp=drivesdk</t>
  </si>
  <si>
    <t>16/8/1395</t>
  </si>
  <si>
    <t>InDep 47.pdf</t>
  </si>
  <si>
    <t>https://drive.google.com/file/d/1AZkWqJLNEwlK57474ci9SHMS2En3owqE/view?usp=drivesdk</t>
  </si>
  <si>
    <t>3/9/1395</t>
  </si>
  <si>
    <t>InDep 48.pdf</t>
  </si>
  <si>
    <t>https://drive.google.com/file/d/1L9rgcS07TyFwGWo16INXHTq67Qb09bQ9/view?usp=drivesdk</t>
  </si>
  <si>
    <t>22/9/1395</t>
  </si>
  <si>
    <t>InDep 49.pdf</t>
  </si>
  <si>
    <t>https://drive.google.com/file/d/1Ho-dYePs_RUfLSd3F4i_DQP4E88mLKz4/view?usp=drivesdk</t>
  </si>
  <si>
    <t>5/10/1395</t>
  </si>
  <si>
    <t>InDep 50.pdf</t>
  </si>
  <si>
    <t>https://drive.google.com/file/d/16j9wPVVIecQ1ss1nZqtdBptUQykLSY7J/view?usp=drivesdk</t>
  </si>
  <si>
    <t>1/12/1395</t>
  </si>
  <si>
    <t>InDep 51.pdf</t>
  </si>
  <si>
    <t>https://drive.google.com/file/d/1oC8drdSi7oS9Fx-U-1Ngl9fTfCLUhZpH/view?usp=drivesdk</t>
  </si>
  <si>
    <t>23/1/1396</t>
  </si>
  <si>
    <t>InDep 52.pdf</t>
  </si>
  <si>
    <t>https://drive.google.com/file/d/1SpJTz4-TlRaf27Cdry-fvW3OscxrZSl2/view?usp=drivesdk</t>
  </si>
  <si>
    <t>8/3/1396</t>
  </si>
  <si>
    <t>InDep 53.pdf</t>
  </si>
  <si>
    <t>https://drive.google.com/file/d/1XubJZ-sSJWwXilXEwyEuzNP4m81yytuo/view?usp=drivesdk</t>
  </si>
  <si>
    <t>InDep 54.pdf</t>
  </si>
  <si>
    <t>https://drive.google.com/file/d/1iVgufy_Xa350BsEdaAj3wgNJnpYagDTT/view?usp=drivesdk</t>
  </si>
  <si>
    <t>18/8/1396</t>
  </si>
  <si>
    <t>InDep 55.pdf</t>
  </si>
  <si>
    <t>https://drive.google.com/file/d/12l9nol27GbNo4rVWtk2uZdIDdMpCn4Uh/view?usp=drivesdk</t>
  </si>
  <si>
    <t>InDep 56.pdf</t>
  </si>
  <si>
    <t>https://drive.google.com/file/d/1vy1wx0MU_hEJYU2JeyslxKgvnlmiOEQ0/view?usp=drivesdk</t>
  </si>
  <si>
    <t>سارا کاظمی</t>
  </si>
  <si>
    <t>22/9/1396</t>
  </si>
  <si>
    <t>InDep 57.pdf</t>
  </si>
  <si>
    <t>https://drive.google.com/file/d/1NWjb4aA5umNXsP5D93UmnGg57zuBzzGt/view?usp=drivesdk</t>
  </si>
  <si>
    <t>8/12/1396</t>
  </si>
  <si>
    <t>InDep 58.pdf</t>
  </si>
  <si>
    <t>https://drive.google.com/file/d/1xnpRdo4ZmHEah6baOJqCTD8ndz96bSsT/view?usp=drivesdk</t>
  </si>
  <si>
    <t>InDep 59.pdf</t>
  </si>
  <si>
    <t>https://drive.google.com/file/d/1wKUbmrZYaqYp9A6qnxZkP2KP9QQcAoy4/view?usp=drivesdk</t>
  </si>
  <si>
    <t>7/3/1397</t>
  </si>
  <si>
    <t>InDep 60.pdf</t>
  </si>
  <si>
    <t>https://drive.google.com/file/d/1mCfJPzafCVZLZ265DMvW1ZpD8qJpWNDx/view?usp=drivesdk</t>
  </si>
  <si>
    <t>InDep 61.pdf</t>
  </si>
  <si>
    <t>https://drive.google.com/file/d/1NyK_meeP-Uy0TI4p3d1HOdmFQC0g1vI9/view?usp=drivesdk</t>
  </si>
  <si>
    <t>InDep 62.pdf</t>
  </si>
  <si>
    <t>https://drive.google.com/file/d/17unwwzCdUB2myVCXr57v1YMbum79zDRz/view?usp=drivesdk</t>
  </si>
  <si>
    <t>20/8/1397</t>
  </si>
  <si>
    <t>InDep 63.pdf</t>
  </si>
  <si>
    <t>https://drive.google.com/file/d/1pIlcKnAmXfttY5YjnwY-BdLo4JdBJF3c/view?usp=drivesdk</t>
  </si>
  <si>
    <t>10/9/1397</t>
  </si>
  <si>
    <t>InDep 64.pdf</t>
  </si>
  <si>
    <t>https://drive.google.com/file/d/14-MNb7XuVjiXzQSYD7Ka2bj8oZk0IOr8/view?usp=drivesdk</t>
  </si>
  <si>
    <t>InDep 65.pdf</t>
  </si>
  <si>
    <t>https://drive.google.com/file/d/11nRcfFL0BpCLSCJv95MfNQ5dC9QBsbQ2/view?usp=drivesdk</t>
  </si>
  <si>
    <t>محمدحسین افشاری‌پور</t>
  </si>
  <si>
    <t>Indep 66.pdf</t>
  </si>
  <si>
    <t>https://drive.google.com/file/d/1QnWqJ-XP1e17xYyv7n63Fejw1nh_P5K0/view?usp=drivesdk</t>
  </si>
  <si>
    <t>InDep 67.pdf</t>
  </si>
  <si>
    <t>https://drive.google.com/file/d/1pNqKNSmHsCEVK8omwb5LBiNtf1TRtx36/view?usp=drivesdk</t>
  </si>
  <si>
    <t>InDep 68.pdf</t>
  </si>
  <si>
    <t>https://drive.google.com/file/d/1ZWkmUAxs9No85_7lFiRFfV984_lgcEwk/view?usp=drivesdk</t>
  </si>
  <si>
    <t>Indep 69.pdf</t>
  </si>
  <si>
    <t>https://drive.google.com/file/d/12aoa2YuacNPvOMcRldiWFJuBEF6sB3xK/view?usp=drivesdk</t>
  </si>
  <si>
    <t>19/8/1398</t>
  </si>
  <si>
    <t>Indep 70.pdf</t>
  </si>
  <si>
    <t>https://drive.google.com/file/d/1Jvb_TegD2n3Tf7z3jkn0mXaw5uvKF3by/view?usp=drivesdk</t>
  </si>
  <si>
    <t>پردیس بهارلویی</t>
  </si>
  <si>
    <t>Indep 71.pdf</t>
  </si>
  <si>
    <t>https://drive.google.com/file/d/1byM_4kuqwiEe0e0qZyN6mibepBs872VQ/view?usp=drivesdk</t>
  </si>
  <si>
    <t>11/10/1398</t>
  </si>
  <si>
    <t>InDep 72.pdf</t>
  </si>
  <si>
    <t>https://drive.google.com/file/d/1fE3emz73MhBkd4oSkQXvEr05lda9Xa8e/view?usp=drivesdk</t>
  </si>
  <si>
    <t>6/12/1398</t>
  </si>
  <si>
    <t>Indep 73.pdf</t>
  </si>
  <si>
    <t>https://drive.google.com/file/d/1vGsMRgnuQykMLEQZCZzAXwQ-nhtGnjq4/view?usp=drivesdk</t>
  </si>
  <si>
    <t>Indep 74.pdf</t>
  </si>
  <si>
    <t>https://drive.google.com/file/d/1heQnBkKTGHYkUHeiiYkAv3SY6unxHAJ-/view?usp=drivesdk</t>
  </si>
  <si>
    <t>Indep 75.pdf</t>
  </si>
  <si>
    <t>https://drive.google.com/file/d/1jJ_VczAxa42lW7QAwb3bGQyLx1kq8dVs/view?usp=drivesdk</t>
  </si>
  <si>
    <t>4/3/1399</t>
  </si>
  <si>
    <t>Indep 76.pdf</t>
  </si>
  <si>
    <t>https://drive.google.com/file/d/1tqAaW0PO_GoHMUs0jTHXJ3eojWTSz7jo/view?usp=drivesdk</t>
  </si>
  <si>
    <t>شایان مقدم</t>
  </si>
  <si>
    <t>18/8/1399</t>
  </si>
  <si>
    <t>InDep 77.pdf</t>
  </si>
  <si>
    <t>https://drive.google.com/file/d/1qvSmzPIjyyD9c5Y8GiNnHYZuv3UbQ8R2/view?usp=drivesdk</t>
  </si>
  <si>
    <t>14/9/1399</t>
  </si>
  <si>
    <t>InDep 78.pdf</t>
  </si>
  <si>
    <t>https://drive.google.com/file/d/1yBV3uPJ_eNi8_g-NISvuZ77ejd86Ly00/view?usp=drivesdk</t>
  </si>
  <si>
    <t>12/11/1399</t>
  </si>
  <si>
    <t>InDep 79.pdf</t>
  </si>
  <si>
    <t>https://drive.google.com/file/d/1Uw5SX6eZ7noKBQQEWXCcRRjTyDq76rjs/view?usp=drivesdk</t>
  </si>
  <si>
    <t>18/12/1399</t>
  </si>
  <si>
    <t>InDep 80.pdf</t>
  </si>
  <si>
    <t>https://drive.google.com/file/d/1Ivmhko8QnBGoQN31hyO5sMitKcOkYxhN/view?usp=drivesdk</t>
  </si>
  <si>
    <t>Indep 81.pdf</t>
  </si>
  <si>
    <t>https://drive.google.com/file/d/1b0EupkQkUv_dn27cv8WdfrEydwPiDNpc/view?usp=drivesdk</t>
  </si>
  <si>
    <t>18/4/1400</t>
  </si>
  <si>
    <t>Indep 82.pdf</t>
  </si>
  <si>
    <t>https://drive.google.com/file/d/1Um8snBg-lJj5LEVUtIaHwjOG9hHVafqD/view?usp=drivesdk</t>
  </si>
  <si>
    <t>5/8/1400</t>
  </si>
  <si>
    <t>InDep 83.pdf</t>
  </si>
  <si>
    <t>https://drive.google.com/file/d/1HmCbUgKua5BeduhahBxS4c-P19OrYmI5/view?usp=drivesdk</t>
  </si>
  <si>
    <t>9/4/1401</t>
  </si>
  <si>
    <t>InDep 84.pdf</t>
  </si>
  <si>
    <t>https://drive.google.com/file/d/1MdvZrfpNR2BevT2CA30tw198LUE4Rxoy/view?usp=drivesdk</t>
  </si>
  <si>
    <t>سیده فاطمه خلیفه‌بهبهانی</t>
  </si>
  <si>
    <t>19/7/1401</t>
  </si>
  <si>
    <t>InDep 85.pdf</t>
  </si>
  <si>
    <t>https://drive.google.com/file/d/1S6hX7qUL2XuifChzK98FZvKK-OxaNhRG/view?usp=drivesdk</t>
  </si>
  <si>
    <t>نازنین علی‌اصغری</t>
  </si>
  <si>
    <t>18/10/1401</t>
  </si>
  <si>
    <t>InDep 86.pdf</t>
  </si>
  <si>
    <t>https://drive.google.com/file/d/1FsYLfsAumGzZwXlsP-dLvHepRIL8F8xr/view?usp=drivesdk</t>
  </si>
  <si>
    <t>27/12/1401</t>
  </si>
  <si>
    <t>InDep 87.pdf</t>
  </si>
  <si>
    <t>https://drive.google.com/file/d/1oq3DufkCExZe-EK_4S2IfvKrREHWTCMk/view?usp=drivesdk</t>
  </si>
  <si>
    <t>InDep 88.pdf</t>
  </si>
  <si>
    <t>https://drive.google.com/file/d/1QBp66_smp0JyqPF-y4GqWvFnTA0elXJL/view?usp=drivesdk</t>
  </si>
  <si>
    <t>26/1/1402</t>
  </si>
  <si>
    <t>InDep 89.pdf</t>
  </si>
  <si>
    <t>https://drive.google.com/file/d/1jDwu-cqpg6AZ2o3BI5lw2CnmbY8pKxUy/view?usp=drivesdk</t>
  </si>
  <si>
    <t>سامان اسماعیلی</t>
  </si>
  <si>
    <t>31/2/1402</t>
  </si>
  <si>
    <t>InDep 90.pdf</t>
  </si>
  <si>
    <t>https://drive.google.com/file/d/1Bj0F0WfajNlhf-mmLW5RB7RLuUF89RlW/view?usp=drivesdk</t>
  </si>
  <si>
    <t>23/3/1402</t>
  </si>
  <si>
    <t>InDep 91.pdf</t>
  </si>
  <si>
    <t>https://drive.google.com/file/d/1s5VoJ6bn38XkYE3bSPj1Z9PXFh2ticb1/view?usp=drivesdk</t>
  </si>
  <si>
    <t>1/6/1402</t>
  </si>
  <si>
    <t>InDep 92.pdf</t>
  </si>
  <si>
    <t>https://drive.google.com/file/d/1cD8RvyoGjbolP877gcmadtfJeyu7CFGp/view?usp=drivesdk</t>
  </si>
  <si>
    <t>مژگان مقیمیان</t>
  </si>
  <si>
    <t>22/7/1402</t>
  </si>
  <si>
    <t>InDep 93.pdf</t>
  </si>
  <si>
    <t>https://drive.google.com/file/d/1bHUiR08iLMzdzXYLxQfqYu7iGpUIGIyz/view?usp=drivesdk</t>
  </si>
  <si>
    <t>14/8/1402</t>
  </si>
  <si>
    <t>InDep 94.pdf</t>
  </si>
  <si>
    <t>https://drive.google.com/file/d/1gaDqfvZzrVXhbKjYCvp0XJ7NopJbPoRk/view?usp=drivesdk</t>
  </si>
  <si>
    <t>27/9/1402</t>
  </si>
  <si>
    <t>InDep 95.pdf</t>
  </si>
  <si>
    <t>https://drive.google.com/file/d/1TDHpzVHZanKvmNZomIGliJQXef82t6mP/view?usp=drivesdk</t>
  </si>
  <si>
    <t>12/12/1402</t>
  </si>
  <si>
    <t>InDep 96.pdf</t>
  </si>
  <si>
    <t>https://drive.google.com/file/d/117u5YtzK3ZsmvPFkW-2T-89QgFjlhNH0/view?usp=drivesdk</t>
  </si>
  <si>
    <t>20/12/1402</t>
  </si>
  <si>
    <t>InDep 97.pdf</t>
  </si>
  <si>
    <t>https://drive.google.com/file/d/1t2eE1LdnSKBT_gtmq_qGxWbFleo3feZz/view?usp=drivesdk</t>
  </si>
  <si>
    <t>28/1/1403</t>
  </si>
  <si>
    <t>InDep 98.pdf</t>
  </si>
  <si>
    <t>https://drive.google.com/file/d/1w0cuHWAJ7uvHipwehKMae-286IKdhgGi/view?usp=drivesdk</t>
  </si>
  <si>
    <t>سنا نجفی</t>
  </si>
  <si>
    <t>InDep 99.pdf</t>
  </si>
  <si>
    <t>https://drive.google.com/file/d/1vCWnm4vxhSFXT53uvtyox9E3AqCpZ1pp/view?usp=drivesdk</t>
  </si>
  <si>
    <t>درسا سلسله</t>
  </si>
  <si>
    <t>InDep 100.pdf</t>
  </si>
  <si>
    <t>https://drive.google.com/file/d/1byxc6PMd5tteI_sik1RONEF23Zo2mx-m/view?usp=drivesdk</t>
  </si>
  <si>
    <t>InDep 101.pdf</t>
  </si>
  <si>
    <t>https://drive.google.com/file/d/1ar2tZj_xUHH1Su7uWBWtW4GpWz6bkeSX/view?usp=drivesdk</t>
  </si>
  <si>
    <t>InDep 102.pdf</t>
  </si>
  <si>
    <t>https://drive.google.com/file/d/1sYeKFtU4YsKHL9KMteE23i0UbHX7q5pG/view?usp=drivesdk</t>
  </si>
  <si>
    <t>17/8/1403</t>
  </si>
  <si>
    <t>InDep 103.pdf</t>
  </si>
  <si>
    <t>https://drive.google.com/file/d/1qE-zJgzQq2ER2hOLvUH9SEruu9TOXiWB/view?usp=drivesdk</t>
  </si>
  <si>
    <t>12/10/1403</t>
  </si>
  <si>
    <t>InDep 104.pdf</t>
  </si>
  <si>
    <t>https://drive.google.com/file/d/12Tbp2hMLTvjRG3JOcOMhMcO3oM3SmSxN/view?usp=drivesdk</t>
  </si>
  <si>
    <t>24/12/1403</t>
  </si>
  <si>
    <t>InDep 105.pdf</t>
  </si>
  <si>
    <t>https://drive.google.com/file/d/1pZb5oGzEitKo-3JRqtmldS-DQC62IDYJ/view?usp=drivesdk</t>
  </si>
  <si>
    <t>سپهر جوان‌مرد، حنانه میرزایی</t>
  </si>
  <si>
    <t>4/2/1404</t>
  </si>
  <si>
    <t>InDep 106.pdf</t>
  </si>
  <si>
    <t>https://drive.google.com/file/d/1MBlrWJo-EJr8ko2b0S2QcWNWR_mLuE3Y/view?usp=drivesdk</t>
  </si>
  <si>
    <t>23/4/1404</t>
  </si>
  <si>
    <t>InDep 107.pdf</t>
  </si>
  <si>
    <t>https://drive.google.com/file/d/1xg52Q0Jni-NPdTsM55JpvWAxde7ZUYrL/view?usp=drivesdk</t>
  </si>
  <si>
    <t>4/5/1404</t>
  </si>
  <si>
    <t>Root/انجمن‌های علمی و نشریات وابسته به دانشکده‌ها/انجمن‌های علمی غیردانشکده‌ای/دریچه</t>
  </si>
  <si>
    <t>1-دریچه شماره اول.pdf</t>
  </si>
  <si>
    <t>https://drive.google.com/file/d/1tlmxWygnp0iyyzU-bo2imZF5VkhK-dz1/view?usp=drivesdk</t>
  </si>
  <si>
    <t>انجمن علمی مدیریت و راهبردی</t>
  </si>
  <si>
    <t>طیبه پارسایی</t>
  </si>
  <si>
    <t>طیبه پارسایی، سید محمد مهدی سیدی، سید محمد حسینی سروری،‌ یاسین جیرسرائی</t>
  </si>
  <si>
    <t>2-دریچه شماره دوم.pdf</t>
  </si>
  <si>
    <t>https://drive.google.com/file/d/1i-2BF1xOeQNxeupByYlBMIHtLEJosdp4/view?usp=drivesdk</t>
  </si>
  <si>
    <t>سید محمد حسینی سروری</t>
  </si>
  <si>
    <t>طیبه پارسایی، سید محمد حسینی سروری،‌ یاسین جیرسرائی</t>
  </si>
  <si>
    <t>3-dariche3.pdf</t>
  </si>
  <si>
    <t>https://drive.google.com/file/d/1BmNLFHVmnLmuhCwnONjBohweK9l3t0PG/view?usp=drivesdk</t>
  </si>
  <si>
    <t>Root/انجمن‌های علمی و نشریات وابسته به دانشکده‌ها/دانشکده مهندسی کامپیوتر/رایانش</t>
  </si>
  <si>
    <t>1.1rayanesh-1st-bahar93.pdf</t>
  </si>
  <si>
    <t>https://drive.google.com/file/d/1XnZnfz3u3IR67DqXDdqrw0IZwHe8C4Qz/view?usp=drivesdk</t>
  </si>
  <si>
    <t>انجمن علمی دانشکده مهندسی کامپیوتر(SSC)</t>
  </si>
  <si>
    <t>محمدباقر تبریزی</t>
  </si>
  <si>
    <t>مجتبی ورمزیار</t>
  </si>
  <si>
    <t>1.2rayanesh-2-mehr93-vijename-vorodiha.pdf</t>
  </si>
  <si>
    <t>https://drive.google.com/file/d/1gbsJPaT9bnR7n9gXqctjBE2cwEMs0lAc/view?usp=drivesdk</t>
  </si>
  <si>
    <t>x/7/1393</t>
  </si>
  <si>
    <t>15/7/1393</t>
  </si>
  <si>
    <t>1.3rayanesh-3-aban93.pdf</t>
  </si>
  <si>
    <t>https://drive.google.com/file/d/1b6Y0TdEiIMaLyuEx2AE5MhM8DYHvc_mr/view?usp=drivesdk</t>
  </si>
  <si>
    <t>x/8/1393</t>
  </si>
  <si>
    <t>15/8/1393</t>
  </si>
  <si>
    <t>1.4rayanesh-4-azar-day93.pdf</t>
  </si>
  <si>
    <t>https://drive.google.com/file/d/1b0VfTvQeHgstY_TsQM4NxolCAqtVoObq/view?usp=drivesdk</t>
  </si>
  <si>
    <t>x/9/1393</t>
  </si>
  <si>
    <t>15/9/1393</t>
  </si>
  <si>
    <t>1.5rayanesh-5-esfand93.pdf</t>
  </si>
  <si>
    <t>https://drive.google.com/file/d/1X0TDBvV_wXQ_mpbYyICaVlRfuiXnhjVy/view?usp=drivesdk</t>
  </si>
  <si>
    <t>x/12/1393</t>
  </si>
  <si>
    <t>15/12/1393</t>
  </si>
  <si>
    <t>2.0رایانش ۰۰.pdf</t>
  </si>
  <si>
    <t>https://drive.google.com/file/d/1cOaE_9CnHSeJingAVRb29vweY7g9kAXZ/view?usp=drivesdk</t>
  </si>
  <si>
    <t>مهدیه موحدراد</t>
  </si>
  <si>
    <t>x/9/1395</t>
  </si>
  <si>
    <t>2.1شماره‌ی اول.pdf</t>
  </si>
  <si>
    <t>https://drive.google.com/file/d/1RzRrbykU8Mnr48UpzKPQL5JLBNPOKU4N/view?usp=drivesdk</t>
  </si>
  <si>
    <t>عرفان لقمانی</t>
  </si>
  <si>
    <t>کوثر نجفی اقدم</t>
  </si>
  <si>
    <t>2.2شمارهٔ دوم (2).pdf</t>
  </si>
  <si>
    <t>https://drive.google.com/file/d/1tKFSkI1rQz4nWhK4UsObcAImLw6_Dh1V/view?usp=drivesdk</t>
  </si>
  <si>
    <t>2.3شماره‌ی سوم (2).pdf</t>
  </si>
  <si>
    <t>https://drive.google.com/file/d/1rUbH4285tGoB06r8pgykd39frUHNKXM3/view?usp=drivesdk</t>
  </si>
  <si>
    <t>23/10/1396</t>
  </si>
  <si>
    <t>2.4Rayanesh4 (2).pdf</t>
  </si>
  <si>
    <t>https://drive.google.com/file/d/13wi8TbguSJT26U5z0gIA8R8EW9g7H7EK/view?usp=drivesdk</t>
  </si>
  <si>
    <t>12/12/1396</t>
  </si>
  <si>
    <t>2.5Rayanesh5 (2).pdf</t>
  </si>
  <si>
    <t>https://drive.google.com/file/d/1rKWUvjcjqnlU9FhXqz6rJK-pAzlXRkUH/view?usp=drivesdk</t>
  </si>
  <si>
    <t>20/1/1397</t>
  </si>
  <si>
    <t>2.6Rayanesh6 (2).pdf</t>
  </si>
  <si>
    <t>https://drive.google.com/file/d/1rq2iLIPp-DeziAja0kHmpx-hKWLa_SBE/view?usp=drivesdk</t>
  </si>
  <si>
    <t>سیدپارسا میرطاهری</t>
  </si>
  <si>
    <t>2.7.0Rayanesh7 (2).pdf</t>
  </si>
  <si>
    <t>https://drive.google.com/file/d/1FCvXxGCzX3sjgM2cje4i4I2x9_xl8fbN/view?usp=drivesdk</t>
  </si>
  <si>
    <t>5/4/1397</t>
  </si>
  <si>
    <t>2.7.1rayapod1.mp3</t>
  </si>
  <si>
    <t>audio/mpeg</t>
  </si>
  <si>
    <t>https://drive.google.com/file/d/1BsuHLeGTl_Aq1_dfH-RONo2qRm3JUb8X/view?usp=drivesdk</t>
  </si>
  <si>
    <t>پادکست اول</t>
  </si>
  <si>
    <t>2.8.0Rayanesh8 (2).pdf</t>
  </si>
  <si>
    <t>https://drive.google.com/file/d/1NJbqWuJCkgBykYWwZ1fe6MuQ4-U3Nson/view?usp=drivesdk</t>
  </si>
  <si>
    <t>10/7/1397</t>
  </si>
  <si>
    <t>2.9.Rayanesh9.pdf</t>
  </si>
  <si>
    <t>https://drive.google.com/file/d/1abUY2Ik4WDr8E4asBAF2rJ_gVdejD0_w/view?usp=drivesdk</t>
  </si>
  <si>
    <t>13/9/1397</t>
  </si>
  <si>
    <t>2.10.0.Rayanesh10.pdf</t>
  </si>
  <si>
    <t>https://drive.google.com/file/d/1rJ_9OKuIYaG73h0dEx9_Z_OmjgScGDtn/view?usp=drivesdk</t>
  </si>
  <si>
    <t>2.10.1رادیو رایانش - شمارهٔ دوم.mp3</t>
  </si>
  <si>
    <t>https://drive.google.com/file/d/1zr5yDWciqHrlw5tlD5Db6zAHoggLFg_J/view?usp=drivesdk</t>
  </si>
  <si>
    <t>علی اکبر غیوری</t>
  </si>
  <si>
    <t>29/12/1397</t>
  </si>
  <si>
    <t>پادکست دوم</t>
  </si>
  <si>
    <t>2.11.0.Rayanesh11.pdf</t>
  </si>
  <si>
    <t>https://drive.google.com/file/d/1a3j7Gh7AeFkf6MB1OLz4sTGL10PwAJ3L/view?usp=drivesdk</t>
  </si>
  <si>
    <t>31/1/1398</t>
  </si>
  <si>
    <t>2.11.1rayanesh_faregh94 (2).pdf</t>
  </si>
  <si>
    <t>https://drive.google.com/file/d/1EG-_Efs9bedGlAVzTE2yy1Av9oPbB_m_/view?usp=drivesdk</t>
  </si>
  <si>
    <t>17/2/1398</t>
  </si>
  <si>
    <t>2.11.2yadam_miayad_hanoz.mp3</t>
  </si>
  <si>
    <t>https://drive.google.com/file/d/1EA8gP9WKOWOEgRuqyw5YhNKfKTSuabzY/view?usp=drivesdk</t>
  </si>
  <si>
    <t>پادکست سوم</t>
  </si>
  <si>
    <t>2.12,rayanesh12.pdf</t>
  </si>
  <si>
    <t>https://drive.google.com/file/d/1Tiu7Qzid3Dz3lmdhqNgsZP05-42YmWDh/view?usp=drivesdk</t>
  </si>
  <si>
    <t>27/3/1398</t>
  </si>
  <si>
    <t>2.13.0.Rayanesh13.pdf</t>
  </si>
  <si>
    <t>https://drive.google.com/file/d/1-3Y1NguPLB-upSbLD0qsncu8Qr2rbgP2/view?usp=drivesdk</t>
  </si>
  <si>
    <t>مهدی عرفانیان</t>
  </si>
  <si>
    <t>7/7/1398</t>
  </si>
  <si>
    <t>2.13.1Rayanesh-special-ketab_final (2).pdf</t>
  </si>
  <si>
    <t>https://drive.google.com/file/d/1K_AHeRuemO5HaN8p1UU_sUE9Vv8CqRlK/view?usp=drivesdk</t>
  </si>
  <si>
    <t>2.13.2RadioRayanesh4_3.mp3</t>
  </si>
  <si>
    <t>https://drive.google.com/file/d/1iKkdzpAqqHOXHpu2NyqDapH3Aw-MOY-r/view?usp=drivesdk</t>
  </si>
  <si>
    <t>19/10/1398</t>
  </si>
  <si>
    <t>پادکست چهارم</t>
  </si>
  <si>
    <t>2.13.3تو_از_کجا_می‌دانی_وقتی_تقاطع_ولیعصر_را_می‌روی_پایین_پیرزن_دست‌فروش.mp3</t>
  </si>
  <si>
    <t>https://drive.google.com/file/d/1xWEvegiujk202wGDchUozIQZDNTzORgK/view?usp=drivesdk</t>
  </si>
  <si>
    <t>پادکست پنجم</t>
  </si>
  <si>
    <t>2.14.0rayanesh_14.pdf</t>
  </si>
  <si>
    <t>https://drive.google.com/file/d/14LC-TDD8azZU_ZR6mpRW7NyfhUUf1XLV/view?usp=drivesdk</t>
  </si>
  <si>
    <t>30/1/1399</t>
  </si>
  <si>
    <t>2.14.1Rayanesh_Ganjeh.pdf</t>
  </si>
  <si>
    <t>https://drive.google.com/file/d/1Ynp45O0Sbv76NQvbjjFAuIvhyXGPjqwS/view?usp=drivesdk</t>
  </si>
  <si>
    <t>سینا الهی‌منش</t>
  </si>
  <si>
    <t>یاسمین کدخدایی</t>
  </si>
  <si>
    <t>گنجه</t>
  </si>
  <si>
    <t>2.15.0Rayanesh_15.pdf</t>
  </si>
  <si>
    <t>https://drive.google.com/file/d/1Pa-Rj0H6XhBCPJfdmc-HC5GJK7Ln8MJx/view?usp=drivesdk</t>
  </si>
  <si>
    <t>11/1/1401</t>
  </si>
  <si>
    <t>2.16.0Rayanesh_16.pdf</t>
  </si>
  <si>
    <t>https://drive.google.com/file/d/15tyrCa1xBsuO5spr9JnzdSt8nFznWjfa/view?usp=drivesdk</t>
  </si>
  <si>
    <t>مهراد میلانلو</t>
  </si>
  <si>
    <t>29/7/1401</t>
  </si>
  <si>
    <t>2.16.1RadioRayanesh6.mp3</t>
  </si>
  <si>
    <t>https://drive.google.com/file/d/13zhMiDkpWGsx2XpaoD1M7m2ZGvJJ1HRQ/view?usp=drivesdk</t>
  </si>
  <si>
    <t>آیلین رسته</t>
  </si>
  <si>
    <t>پادکست ششم</t>
  </si>
  <si>
    <t>2.16.2vizheNameh.pdf</t>
  </si>
  <si>
    <t>https://drive.google.com/file/d/1FXuGBN_XrjpQGl3DmuldzzNUvFGNF3Ns/view?usp=drivesdk</t>
  </si>
  <si>
    <t>رایا رضایی</t>
  </si>
  <si>
    <t>1/1/1403</t>
  </si>
  <si>
    <t>ویژه‌نامه نوروز ۱۴۰۳</t>
  </si>
  <si>
    <t>2.17.0Rayanesh_17.pdf</t>
  </si>
  <si>
    <t>https://drive.google.com/file/d/16bN6_XENK-kDCEV0WWiSz_W1Q-CxgU67/view?usp=drivesdk</t>
  </si>
  <si>
    <t>2.17.1VizhenamehVoroodi.pdf</t>
  </si>
  <si>
    <t>https://drive.google.com/file/d/1BuxQ-3ph1UtxQqWOrNnj71VXnUSzdGUA/view?usp=drivesdk</t>
  </si>
  <si>
    <t>ویژه‌نامه ورودی ۱۴۰۳</t>
  </si>
  <si>
    <t>2.18.Rayanesh_18.pdf</t>
  </si>
  <si>
    <t>https://drive.google.com/file/d/1OL10gCP65MBgOllFxsoFtp995g4Imvza/view?usp=drivesdk</t>
  </si>
  <si>
    <t>مهرآذین ملک‌قاسمی</t>
  </si>
  <si>
    <t>18/12/1403</t>
  </si>
  <si>
    <t>2.19.Rayanesh_19.pdf</t>
  </si>
  <si>
    <t>https://drive.google.com/file/d/1TZAX7gUcREVWPaEn2YNfJ0YoqSAp6YcY/view?usp=drivesdk</t>
  </si>
  <si>
    <t>8/4/1404</t>
  </si>
  <si>
    <t>Root/انجمن‌های علمی و نشریات وابسته به دانشکده‌ها/دانشکده مهندسی کامپیوتر/رایانه شریف</t>
  </si>
  <si>
    <t>رایانه شریف ۰.pdf</t>
  </si>
  <si>
    <t>https://drive.google.com/file/d/1a9I5521CJHsOghbayCViXmDhHjkrkCl2/view?usp=drivesdk</t>
  </si>
  <si>
    <t>x/2/1374</t>
  </si>
  <si>
    <t>پیش شماره ۱</t>
  </si>
  <si>
    <t>15/2/1374</t>
  </si>
  <si>
    <t>رایانه شریف ۱.pdf</t>
  </si>
  <si>
    <t>https://drive.google.com/file/d/13ZDC7U75q_tF6TsKWnbEZ2aJW_dHb5xJ/view?usp=drivesdk</t>
  </si>
  <si>
    <t>x/4/1374</t>
  </si>
  <si>
    <t>15/4/1374</t>
  </si>
  <si>
    <t>رایانه شریف ۳.pdf</t>
  </si>
  <si>
    <t>https://drive.google.com/file/d/1X9vx9XKw3LEolWeFC2F-INyo5JJCBaHO/view?usp=drivesdk</t>
  </si>
  <si>
    <t>مهندس افشین همت یار</t>
  </si>
  <si>
    <t>x/10/1374</t>
  </si>
  <si>
    <t>15/10/1374</t>
  </si>
  <si>
    <t>رایانه شریف ۴.pdf</t>
  </si>
  <si>
    <t>https://drive.google.com/file/d/1wAeAeLV9aHDohqr3CJIQ_ZNadAZ4RiPF/view?usp=drivesdk</t>
  </si>
  <si>
    <t>x/2/1375</t>
  </si>
  <si>
    <t>15/2/1375</t>
  </si>
  <si>
    <t>رایانه شریف ۵.pdf</t>
  </si>
  <si>
    <t>https://drive.google.com/file/d/1nuD6cHwXM7iRQTA2qOta2vQwPtj9hBLn/view?usp=drivesdk</t>
  </si>
  <si>
    <t>دکتر غلامرضا قاسم ثانی</t>
  </si>
  <si>
    <t>x/10/1375</t>
  </si>
  <si>
    <t>15/10/1375</t>
  </si>
  <si>
    <t>رایانه شریف ۶.pdf</t>
  </si>
  <si>
    <t>https://drive.google.com/file/d/1JYbOq6mk1hpTeyhXcgSv1TMBOKTPwPTn/view?usp=drivesdk</t>
  </si>
  <si>
    <t>رامان رامسین</t>
  </si>
  <si>
    <t>امیر محمد بالایی</t>
  </si>
  <si>
    <t>x/x/1378</t>
  </si>
  <si>
    <t>1/7/1378</t>
  </si>
  <si>
    <t>رایانه شریف ۷.pdf</t>
  </si>
  <si>
    <t>https://drive.google.com/file/d/11hvYBHLix8UNzQie8AZQBEO3dLd4j6Df/view?usp=drivesdk</t>
  </si>
  <si>
    <t>مجید سیدی</t>
  </si>
  <si>
    <t>رایانه شریف ۸.pdf</t>
  </si>
  <si>
    <t>https://drive.google.com/file/d/1wDvkZR5TqQi9Huh5YG3o9Z69ov3ay2GL/view?usp=drivesdk</t>
  </si>
  <si>
    <t>مهدی نیامنش</t>
  </si>
  <si>
    <t>x/x/1379</t>
  </si>
  <si>
    <t>1/7/1379</t>
  </si>
  <si>
    <t>رایانه شریف ۹.pdf</t>
  </si>
  <si>
    <t>https://drive.google.com/file/d/1k_d0asp8TZZw5vJL9K4_zd3DCG5uQXw9/view?usp=drivesdk</t>
  </si>
  <si>
    <t>روزبه توسرکانی</t>
  </si>
  <si>
    <t>Root/انجمن‌های علمی و نشریات وابسته به دانشکده‌ها/دانشکده مهندسی برق/رسانا</t>
  </si>
  <si>
    <t>2.Resana2.pdf</t>
  </si>
  <si>
    <t>https://drive.google.com/file/d/1oxEB8pexKCAyd9K5hxovD60-WUUjM6sl/view?usp=drivesdk</t>
  </si>
  <si>
    <t>دانشگاه صنعتی شریف</t>
  </si>
  <si>
    <t>دکتر محمدمهدی نایبی</t>
  </si>
  <si>
    <t>x/3/1375</t>
  </si>
  <si>
    <t>15/3/1375</t>
  </si>
  <si>
    <t>4.Resana4.pdf</t>
  </si>
  <si>
    <t>https://drive.google.com/file/d/1CQ127bL7Hcw8FP413swNcMMqsxUQdujj/view?usp=drivesdk</t>
  </si>
  <si>
    <t>x/12/1375</t>
  </si>
  <si>
    <t>15/12/1375</t>
  </si>
  <si>
    <t>5.Resana5.pdf</t>
  </si>
  <si>
    <t>https://drive.google.com/file/d/1KlQrk_aqVXqHWB8-sDtALfOQHYYzJfev/view?usp=drivesdk</t>
  </si>
  <si>
    <t>x/4/1376</t>
  </si>
  <si>
    <t>15/4/1376</t>
  </si>
  <si>
    <t>6.Resana6.pdf</t>
  </si>
  <si>
    <t>https://drive.google.com/file/d/1gIj7AidQX3TqyPg_nYk35S74fkNRlt9L/view?usp=drivesdk</t>
  </si>
  <si>
    <t>x/10/1376</t>
  </si>
  <si>
    <t>15/10/1376</t>
  </si>
  <si>
    <t>7.0.Resana7.pdf</t>
  </si>
  <si>
    <t>https://drive.google.com/file/d/195yXQVKAFqSiaT272fUT0ROqeso2C4Dq/view?usp=drivesdk</t>
  </si>
  <si>
    <t>علی رسولی‌پور</t>
  </si>
  <si>
    <t>x/3/1377</t>
  </si>
  <si>
    <t>15/3/1377</t>
  </si>
  <si>
    <t>7.1.ResanaVN77.pdf</t>
  </si>
  <si>
    <t>https://drive.google.com/file/d/1jfjnhNVaqFiI7_-G-sbajTDjE84LU5Bx/view?usp=drivesdk</t>
  </si>
  <si>
    <t>x/7/1377</t>
  </si>
  <si>
    <t>رسانای ۷۷ (ویژه‌نامه ورودی‌ها)</t>
  </si>
  <si>
    <t>15/7/1377</t>
  </si>
  <si>
    <t>8.0.Resana8.pdf</t>
  </si>
  <si>
    <t>https://drive.google.com/file/d/1S9gvYOMzKnlnSy7WsjXZNNsGlIIv5YSj/view?usp=drivesdk</t>
  </si>
  <si>
    <t>نشاط ورجاوند ناصری</t>
  </si>
  <si>
    <t>x/4/1378</t>
  </si>
  <si>
    <t>15/4/1378</t>
  </si>
  <si>
    <t>8.1.ResanaVN78.pdf</t>
  </si>
  <si>
    <t>https://drive.google.com/file/d/1s7HA_XkkfsFoTHsi4W4H0k3biRUxQJet/view?usp=drivesdk</t>
  </si>
  <si>
    <t>x/7/1378</t>
  </si>
  <si>
    <t>رسانای ۷۸ (ویژه‌نامه ورودی‌ها)</t>
  </si>
  <si>
    <t>15/7/1378</t>
  </si>
  <si>
    <t>9.Resana9.pdf</t>
  </si>
  <si>
    <t>https://drive.google.com/file/d/1anEi-ZlvB5Y3W9Cymi7EpBnS3GMI4-3R/view?usp=drivesdk</t>
  </si>
  <si>
    <t>هزاد خنجریان</t>
  </si>
  <si>
    <t>ایثار نژادقلی</t>
  </si>
  <si>
    <t>x/4/1379</t>
  </si>
  <si>
    <t>15/4/1379</t>
  </si>
  <si>
    <t>11.0.Resana11.pdf</t>
  </si>
  <si>
    <t>https://drive.google.com/file/d/1zGjoQEVqM19P9wYQy2rw3VW1H1k2JDXS/view?usp=drivesdk</t>
  </si>
  <si>
    <t>فرزین فردیس</t>
  </si>
  <si>
    <t>محمدعلی هنرور</t>
  </si>
  <si>
    <t>x/4/1380</t>
  </si>
  <si>
    <t>15/4/1380</t>
  </si>
  <si>
    <t>11.1.ResanaVN80.pdf</t>
  </si>
  <si>
    <t>https://drive.google.com/file/d/18yBhq6DMTjECxuZQE56kAY-uBPXXqnBP/view?usp=drivesdk</t>
  </si>
  <si>
    <t>امین پورمحمدی نجف‌آبادی</t>
  </si>
  <si>
    <t>x/7/1380</t>
  </si>
  <si>
    <t>رسانای ۸۰ (ویژه‌نامه ورودی‌ها)</t>
  </si>
  <si>
    <t>15/7/1380</t>
  </si>
  <si>
    <t>11.2.ResanaVN80O.pdf</t>
  </si>
  <si>
    <t>https://drive.google.com/file/d/1H6daI65GWkvrjYXhkdwsdJydHjG-oM8M/view?usp=drivesdk</t>
  </si>
  <si>
    <t>ویژه‌نامه اردوی معارفه ۱۳۸۰</t>
  </si>
  <si>
    <t>1/1/1380</t>
  </si>
  <si>
    <t>9/8/1380</t>
  </si>
  <si>
    <t>20/4/1380</t>
  </si>
  <si>
    <t>12.0.Resana12.pdf</t>
  </si>
  <si>
    <t>https://drive.google.com/file/d/1uosOtC-fyc26RkyDv1LQ-S1v7ceLJMsb/view?usp=drivesdk</t>
  </si>
  <si>
    <t>امیر احمدزاده نوغانی</t>
  </si>
  <si>
    <t>x/3/1381</t>
  </si>
  <si>
    <t>15/3/1381</t>
  </si>
  <si>
    <t>12.1.ResanaVN81.pdf</t>
  </si>
  <si>
    <t>https://drive.google.com/file/d/1H8gMkTnzoAYsorF2Fb3s6qhMwF3_o9m6/view?usp=drivesdk</t>
  </si>
  <si>
    <t>x/x/1381</t>
  </si>
  <si>
    <t>رسانای ۸۱ (ویژه‌نامه ورودی‌ها)</t>
  </si>
  <si>
    <t>1/7/1381</t>
  </si>
  <si>
    <t>Root/انجمن‌های علمی و نشریات وابسته به دانشکده‌ها/دانشکده مهندسی برق/روشنا</t>
  </si>
  <si>
    <t>1.Roshana 1 small.pdf</t>
  </si>
  <si>
    <t>https://drive.google.com/file/d/14TUjbd7OQ4IcxL3r2mQnUXyhAljDd113/view?usp=drivesdk</t>
  </si>
  <si>
    <t>مصطفی محسنی کبیر</t>
  </si>
  <si>
    <t>28/12/1394</t>
  </si>
  <si>
    <t>2.نشریه روشنا - شماره 2.pdf</t>
  </si>
  <si>
    <t>https://drive.google.com/file/d/1YR6HO_sD9n-ED7pXG6uO4GLKJ2DpxjRY/view?usp=drivesdk</t>
  </si>
  <si>
    <t>23/2/1395</t>
  </si>
  <si>
    <t>3.Roshana-3.pdf</t>
  </si>
  <si>
    <t>https://drive.google.com/file/d/15cMNjS7k-iXUhcrEAwMtJ-ELHusoxprX/view?usp=drivesdk</t>
  </si>
  <si>
    <t>24/4/1395</t>
  </si>
  <si>
    <t>4.Roshana-4.pdf</t>
  </si>
  <si>
    <t>https://drive.google.com/file/d/1TW3o2GrygoDhXJLM1ZwDVqQTdSwtLHE_/view?usp=drivesdk</t>
  </si>
  <si>
    <t>یاسمن سعیدی</t>
  </si>
  <si>
    <t>5.Roshana 5.pdf</t>
  </si>
  <si>
    <t>https://drive.google.com/file/d/1SjlhtKACNFU39Ni2GXqJLGCL2PdB1pz7/view?usp=drivesdk</t>
  </si>
  <si>
    <t>1/2/1396</t>
  </si>
  <si>
    <t>Root/انجمن‌های علمی و نشریات وابسته به دانشکده‌ها/انجمن‌های علمی غیردانشکده‌ای/ژرفانامه</t>
  </si>
  <si>
    <t>ژرفانامه ۰۰۱.pdf</t>
  </si>
  <si>
    <t>https://drive.google.com/file/d/1KskrBOrVy3-fNbPlRla1Pio4T3t83op0/view?usp=drivesdk</t>
  </si>
  <si>
    <t>دکتر محمود بهمن‌آبادی</t>
  </si>
  <si>
    <t>ابوالفضل ابراهیمی</t>
  </si>
  <si>
    <t>ژرفانامه ۰۰۲.pdf</t>
  </si>
  <si>
    <t>https://drive.google.com/file/d/1YdEZWDYvHeo70zQ3KEQsvYFuhQINJdi5/view?usp=drivesdk</t>
  </si>
  <si>
    <t>ژرفانامه ۰۰۳ .pdf</t>
  </si>
  <si>
    <t>https://drive.google.com/file/d/1DI6DATjLF4HPxawOn6gYjjV1sNjSr4f_/view?usp=drivesdk</t>
  </si>
  <si>
    <t>ژرفانامه ۰۰۴ .pdf</t>
  </si>
  <si>
    <t>https://drive.google.com/file/d/1FA4TvwYTCJ5qAR4ZqFPQeQV58FPD8gcY/view?usp=drivesdk</t>
  </si>
  <si>
    <t>نوید اکبری</t>
  </si>
  <si>
    <t>ژرفانامه ۰۰۵ .pdf</t>
  </si>
  <si>
    <t>https://drive.google.com/file/d/1diI6U6X34yeMJtixg4Jtg0wslCyey0fu/view?usp=drivesdk</t>
  </si>
  <si>
    <t>ژرفانامه ۰۰۶.pdf</t>
  </si>
  <si>
    <t>https://drive.google.com/file/d/1yf7iC8NiAimzSzlf2aSTqtuS0hXF_twU/view?usp=drivesdk</t>
  </si>
  <si>
    <t>مصطفی فاخرزاد</t>
  </si>
  <si>
    <t>ژرفانامه ۰۰۷.pdf</t>
  </si>
  <si>
    <t>https://drive.google.com/file/d/10Y_jyvbM22-tnHj191k6L5dbQdjc4aNt/view?usp=drivesdk</t>
  </si>
  <si>
    <t>Root/انجمن‌های علمی و نشریات وابسته به دانشکده‌ها/دانشکده فیزیک/شباهنگ</t>
  </si>
  <si>
    <t>1.Shabahang1-SharifAstronomy.pdf</t>
  </si>
  <si>
    <t>https://drive.google.com/file/d/128j6D9fBjgSSVcAUtdVT6kDBBm5VBsmb/view?usp=drivesdk</t>
  </si>
  <si>
    <t>فاطمه لیاقی</t>
  </si>
  <si>
    <t>مرضیه حاجیلو</t>
  </si>
  <si>
    <t>2.Shabahang2-SharifAstronomy.pdf</t>
  </si>
  <si>
    <t>https://drive.google.com/file/d/1hA_WUd246Ljq-NGwOYSTXjk4H4pOc0J_/view?usp=drivesdk</t>
  </si>
  <si>
    <t>3.shabahang3-SharifAstronomy.pdf</t>
  </si>
  <si>
    <t>https://drive.google.com/file/d/1xI0xwe0f-WCIfLXoZYIJeLyTQtFmwULA/view?usp=drivesdk</t>
  </si>
  <si>
    <t>4.shabahng4-SharifAstronomy.pdf</t>
  </si>
  <si>
    <t>https://drive.google.com/file/d/1QNX43jZe0z6LxmYtilmUcawW0JTx7yKQ/view?usp=drivesdk</t>
  </si>
  <si>
    <t>5.Shabahang_5.pdf</t>
  </si>
  <si>
    <t>https://drive.google.com/file/d/1lGwhWgctFU5xzDyIhqkbQKIT03_BIvWv/view?usp=drivesdk</t>
  </si>
  <si>
    <t>6.Shabahang6.pdf</t>
  </si>
  <si>
    <t>https://drive.google.com/file/d/1CP5AmomHZko1i8eqqpXAXpUgh-zjjdLG/view?usp=drivesdk</t>
  </si>
  <si>
    <t>7.shabahang7.pdf</t>
  </si>
  <si>
    <t>https://drive.google.com/file/d/1YCdYgv6h_GzFRcb6_HC4XiYtm_5Zl10K/view?usp=drivesdk</t>
  </si>
  <si>
    <t>8.Shabahang8.pdf</t>
  </si>
  <si>
    <t>https://drive.google.com/file/d/1VVSwxb32eFRE-EeVmve1_p2WIlfweTpr/view?usp=drivesdk</t>
  </si>
  <si>
    <t>x/x/1396</t>
  </si>
  <si>
    <t>10.shabahang10.pdf</t>
  </si>
  <si>
    <t>https://drive.google.com/file/d/1f6tx0upiENZ6H4SJuwKMNR_TTIpCAHOH/view?usp=drivesdk</t>
  </si>
  <si>
    <t>11.شباهنگ-شماره 11.pdf</t>
  </si>
  <si>
    <t>https://drive.google.com/file/d/1v11RmTyQSIvHPw2yEXpHP4U_m5zNq44N/view?usp=drivesdk</t>
  </si>
  <si>
    <t>دکتر شانت باغرام</t>
  </si>
  <si>
    <t>12.شباهنگ ۱۲.pdf</t>
  </si>
  <si>
    <t>https://drive.google.com/file/d/1Y64Cs8oNFaG-0VoECDNDP0VK124Khf0q/view?usp=drivesdk</t>
  </si>
  <si>
    <t>نوشین ترابی</t>
  </si>
  <si>
    <t>13.شباهنگ ۱۳.pdf</t>
  </si>
  <si>
    <t>https://drive.google.com/file/d/1ckr5cdO6Vatde81NVinZSO-dH-gvNJmW/view?usp=drivesdk</t>
  </si>
  <si>
    <t>14.شباهنگ 14.pdf</t>
  </si>
  <si>
    <t>https://drive.google.com/file/d/1RpVEhOdq6Au2H_uYAN7Qmp9BrxcCePjw/view?usp=drivesdk</t>
  </si>
  <si>
    <t>15.شباهنگ پانزدهم، آبان‌ماه۱۳۹۹.pdf</t>
  </si>
  <si>
    <t>https://drive.google.com/file/d/1jRG-4yDg_rr4CHS_kr2k6AGAgKekfMUt/view?usp=drivesdk</t>
  </si>
  <si>
    <t>درسا نجفی‌پناه</t>
  </si>
  <si>
    <t>16.شباهنگ شماره 16.pdf</t>
  </si>
  <si>
    <t>https://drive.google.com/file/d/1Q7cVIAXyWP2un7x1zze3KuHsNiSS5sKt/view?usp=drivesdk</t>
  </si>
  <si>
    <t>17.شباهنگ شماره 17.pdf</t>
  </si>
  <si>
    <t>https://drive.google.com/file/d/1k65pS7MIvoUhD3D4TtsP14QaPczpzPEQ/view?usp=drivesdk</t>
  </si>
  <si>
    <t>18.شباهنگ شماره 18.pdf</t>
  </si>
  <si>
    <t>https://drive.google.com/file/d/1FSbmPt4_xdWypY4CoQN2onRnDKDZ6Khw/view?usp=drivesdk</t>
  </si>
  <si>
    <t>19.شباهنگ شماره 19.pdf</t>
  </si>
  <si>
    <t>https://drive.google.com/file/d/1ob3807ymoUZrKJea4oXkXX5MeLjwW_ff/view?usp=drivesdk</t>
  </si>
  <si>
    <t>20.شباهنگ شماره‌ی 20.pdf</t>
  </si>
  <si>
    <t>https://drive.google.com/file/d/18vvy092vGRS-uU58EBZVSuLDkf5W0fRp/view?usp=drivesdk</t>
  </si>
  <si>
    <t>یاسمن کاتبی</t>
  </si>
  <si>
    <t>Root/شورا</t>
  </si>
  <si>
    <t>نشریه شورای صنفی  ۰.pdf</t>
  </si>
  <si>
    <t>https://drive.google.com/file/d/1sdqz2-Pya2nDM3QdJyv2cyIzAvcWyqMQ/view?usp=drivesdk</t>
  </si>
  <si>
    <t>شورای صنفی دانشجویان</t>
  </si>
  <si>
    <t>فرهاد فرنود</t>
  </si>
  <si>
    <t>x/3/1386</t>
  </si>
  <si>
    <t>15/3/1386</t>
  </si>
  <si>
    <t>نشریه شورای صنفی ۱.pdf</t>
  </si>
  <si>
    <t>https://drive.google.com/file/d/1ZRzj8KklykiqQTnkx7WjBvjYe7Dfo4w9/view?usp=drivesdk</t>
  </si>
  <si>
    <t>محمد رسولی</t>
  </si>
  <si>
    <t>نشریه شورای صنفی ۲.pdf</t>
  </si>
  <si>
    <t>https://drive.google.com/file/d/1L4dNUtDIJrzOQQJx8EncTim29PgmGTJX/view?usp=drivesdk</t>
  </si>
  <si>
    <t>علی‌رضا رضوان‌دوست</t>
  </si>
  <si>
    <t>نشریه شورای صنفی ۳.pdf</t>
  </si>
  <si>
    <t>https://drive.google.com/file/d/11xSEux66_mKH4hjDQybCcbzZOSHpbhPP/view?usp=drivesdk</t>
  </si>
  <si>
    <t>28/1/1389</t>
  </si>
  <si>
    <t>نشریه شورای صنفی ۴.pdf</t>
  </si>
  <si>
    <t>https://drive.google.com/file/d/1vSoj18NjBY7QsayqkE2vk-hCYMTq_A7w/view?usp=drivesdk</t>
  </si>
  <si>
    <t>5/2/1389</t>
  </si>
  <si>
    <t>نشریه شورای صنفی ۵.pdf</t>
  </si>
  <si>
    <t>https://drive.google.com/file/d/1r-YveOXDSOpurT9aUtf2FrO_t9vBQqNl/view?usp=drivesdk</t>
  </si>
  <si>
    <t>12/2/1389</t>
  </si>
  <si>
    <t>نشریه شورای صنفی ۶.pdf</t>
  </si>
  <si>
    <t>https://drive.google.com/file/d/1bVT-KjEF_uxxn8t_IF73Ew9PzD7pEyf5/view?usp=drivesdk</t>
  </si>
  <si>
    <t>138/2/1389</t>
  </si>
  <si>
    <t>31/2/1389</t>
  </si>
  <si>
    <t>نشریه شورای صنفی ۷.pdf</t>
  </si>
  <si>
    <t>https://drive.google.com/file/d/1pSG-8nu74Hj3HP7SLAwWrXunCgVfQ68m/view?usp=drivesdk</t>
  </si>
  <si>
    <t>نشریه شورای صنفی ۸.pdf</t>
  </si>
  <si>
    <t>https://drive.google.com/file/d/1fg3GN455YpFtudw60_iPl5G3NHeAdUdv/view?usp=drivesdk</t>
  </si>
  <si>
    <t>بابک بهادری، فاطمه‌السادات میرباقری، سیدامیرحسین موسوی، جواد صالحی</t>
  </si>
  <si>
    <t>24/3/1389</t>
  </si>
  <si>
    <t>نشریه شورای صنفی ۹.pdf</t>
  </si>
  <si>
    <t>https://drive.google.com/file/d/1z4FzfLJ-cZc60-AES31uOG7zBgfI2ShE/view?usp=drivesdk</t>
  </si>
  <si>
    <t>بابک بهادری، فاطمه‌السادات میرباقری، جواد صالحی سیدامیرحسین موسوی، حمید ملکی</t>
  </si>
  <si>
    <t>13/4/1389</t>
  </si>
  <si>
    <t>نشریه شورای صنفی ۱۰.pdf</t>
  </si>
  <si>
    <t>https://drive.google.com/file/d/1v1UWtOYmefk55zB46OtB2G-xwDX-exe6/view?usp=drivesdk</t>
  </si>
  <si>
    <t>28/4/1389</t>
  </si>
  <si>
    <t>نشریه شورای صنفی ۱۱ صفحه دوم ناموجود.pdf</t>
  </si>
  <si>
    <t>https://drive.google.com/file/d/161HeBfDDvYJc6LZ67EiGHVw9uV4YFIjf/view?usp=drivesdk</t>
  </si>
  <si>
    <t>26/5/1389</t>
  </si>
  <si>
    <t>نشریه شورای صنفی ۱۱.1.pdf</t>
  </si>
  <si>
    <t>https://drive.google.com/file/d/10KJJdTSMZTn0Zc8_ixxIMgxcuxcHnFs-/view?usp=drivesdk</t>
  </si>
  <si>
    <t>نشریه شورای صنفی ۱۲.pdf</t>
  </si>
  <si>
    <t>https://drive.google.com/file/d/1ivnTLcWKlOfw1vW-Jdd780ZHl0bsBNBK/view?usp=drivesdk</t>
  </si>
  <si>
    <t>15/6/1389</t>
  </si>
  <si>
    <t>نشریه شورای صنفی ۱۳.pdf</t>
  </si>
  <si>
    <t>https://drive.google.com/file/d/1ECRqZKLblvtpUFIztSIaxUQ-SvRBiYW-/view?usp=drivesdk</t>
  </si>
  <si>
    <t>22/6/1389</t>
  </si>
  <si>
    <t>نشریه شورای صنفی ۱۳.ویژه‌نامه.pdf</t>
  </si>
  <si>
    <t>https://drive.google.com/file/d/1X7P6SKfD5rL7YPQEjQHVV8GQYilsJhWP/view?usp=drivesdk</t>
  </si>
  <si>
    <t>3/7/1389</t>
  </si>
  <si>
    <t>ویژه‌نامه ورودی‌های جدید ۱۳۸۹</t>
  </si>
  <si>
    <t>نشریه شورای صنفی ۱۴.pdf</t>
  </si>
  <si>
    <t>https://drive.google.com/file/d/1EWWcYn6hBcVXkPo_RVW1SJ3uW9BrEL1n/view?usp=drivesdk</t>
  </si>
  <si>
    <t>10/7/1389</t>
  </si>
  <si>
    <t>نشریه شورای صنفی ۱۵.pdf</t>
  </si>
  <si>
    <t>https://drive.google.com/file/d/12Xu0pPa4r1cSz7V8USqk3uhp-pPfuXb8/view?usp=drivesdk</t>
  </si>
  <si>
    <t>1/8/1389</t>
  </si>
  <si>
    <t>نشریه شورای صنفی ۱۶.pdf</t>
  </si>
  <si>
    <t>https://drive.google.com/file/d/1AI_cycI9DwxCaE60sGVUbCa0RAvqhSMz/view?usp=drivesdk</t>
  </si>
  <si>
    <t>نشریه شورای صنفی ۱۷.pdf</t>
  </si>
  <si>
    <t>https://drive.google.com/file/d/1ngZhJ533GKagJWzzRVIT3YIaPGxpoT72/view?usp=drivesdk</t>
  </si>
  <si>
    <t>27/10/1389</t>
  </si>
  <si>
    <t>نشریه شورای صنفی ۱۸.pdf</t>
  </si>
  <si>
    <t>https://drive.google.com/file/d/1wV5drUJS0KoGEwgWAXXZYNbCTTV4aL2P/view?usp=drivesdk</t>
  </si>
  <si>
    <t>3/12/1389</t>
  </si>
  <si>
    <t>نشریه شورای صنفی ۱۹.pdf</t>
  </si>
  <si>
    <t>https://drive.google.com/file/d/1-wLIJ2E3dvwWpfkuoSoswpL-ykSlYEQY/view?usp=drivesdk</t>
  </si>
  <si>
    <t>4/2/1390</t>
  </si>
  <si>
    <t>نشریه شورای صنفی ۲۰.pdf</t>
  </si>
  <si>
    <t>https://drive.google.com/file/d/1418wwmRuXyKzpzwS3Nni2KvVIl-bSzEO/view?usp=drivesdk</t>
  </si>
  <si>
    <t>12/2/1390</t>
  </si>
  <si>
    <t>نشریه شورای صنفی ۲۱.pdf</t>
  </si>
  <si>
    <t>https://drive.google.com/file/d/1He89PS1cz4cwW91tcSFq0e419FbbN7eI/view?usp=drivesdk</t>
  </si>
  <si>
    <t>27/2/1390</t>
  </si>
  <si>
    <t>نشریه شورای صنفی ۲۲.pdf</t>
  </si>
  <si>
    <t>https://drive.google.com/file/d/1G4HPCf7aaeg-07CjxOlaiyPOpgwm74sS/view?usp=drivesdk</t>
  </si>
  <si>
    <t>3/3/1390</t>
  </si>
  <si>
    <t>نشریه شورای صنفی ۲۳.pdf</t>
  </si>
  <si>
    <t>https://drive.google.com/file/d/1MP_FGQ9kuE8l9tuqLmp7k8pUf2wIxu6n/view?usp=drivesdk</t>
  </si>
  <si>
    <t>9/3/1390</t>
  </si>
  <si>
    <t>نشریه شورای صنفی ۲۴.pdf</t>
  </si>
  <si>
    <t>https://drive.google.com/file/d/17wuGeCcB37hWjwBaN7ScM974nElfBjW4/view?usp=drivesdk</t>
  </si>
  <si>
    <t>11/5/1390</t>
  </si>
  <si>
    <t>نشریه شورای صنفی ۲۵.pdf</t>
  </si>
  <si>
    <t>https://drive.google.com/file/d/1TqQMWvPFVDH6pzTF-iHc-JOOldHhz19J/view?usp=drivesdk</t>
  </si>
  <si>
    <t>17/7/1390</t>
  </si>
  <si>
    <t>نشریه شورای صنفی ۲۶.pdf</t>
  </si>
  <si>
    <t>https://drive.google.com/file/d/156lV4pLDK0RS0u_87dbRCfXFk4J4JON8/view?usp=drivesdk</t>
  </si>
  <si>
    <t>نشریه شورای صنفی ۲۷.pdf</t>
  </si>
  <si>
    <t>https://drive.google.com/file/d/1aXJU4D_xx3B4e7jy0G8qTmpKcEBZSsOK/view?usp=drivesdk</t>
  </si>
  <si>
    <t>21/8/1390</t>
  </si>
  <si>
    <t>نشریه شورای صنفی ۲۸.pdf</t>
  </si>
  <si>
    <t>https://drive.google.com/file/d/1Xj7xoCQUwOt5Hi7NUUi_Q1Z-pzmy-ewu/view?usp=drivesdk</t>
  </si>
  <si>
    <t>2/12/1390</t>
  </si>
  <si>
    <t>نشریه شورای صنفی ۲۹.pdf</t>
  </si>
  <si>
    <t>https://drive.google.com/file/d/122WlWH8XyK1QIPoKMVQBOMZ65nJoHIZL/view?usp=drivesdk</t>
  </si>
  <si>
    <t>20/12/1390</t>
  </si>
  <si>
    <t>نشریه شورای صنفی ۳۰.pdf</t>
  </si>
  <si>
    <t>https://drive.google.com/file/d/1bcW2DJHZhDF1NhyWQMZ3hpXfEQE4a3T5/view?usp=drivesdk</t>
  </si>
  <si>
    <t>5/2/1391</t>
  </si>
  <si>
    <t>نشریه شورای صنفی ۳۱.pdf</t>
  </si>
  <si>
    <t>https://drive.google.com/file/d/1yTOp8ydOEBBGorvke631xSQs9fURdCmg/view?usp=drivesdk</t>
  </si>
  <si>
    <t>24/2/1391</t>
  </si>
  <si>
    <t>نشریه شورای صنفی ۳۲.pdf</t>
  </si>
  <si>
    <t>https://drive.google.com/file/d/178FdwCsiGaCLtKCQWN0AHaky1dQo-Gnt/view?usp=drivesdk</t>
  </si>
  <si>
    <t>29/3/1391</t>
  </si>
  <si>
    <t>نشریه شورای صنفی ۳۳.pdf</t>
  </si>
  <si>
    <t>https://drive.google.com/file/d/1DHQweOlsj3fZB48si45A8DRyDk8b3Uuq/view?usp=drivesdk</t>
  </si>
  <si>
    <t>x/7/1391</t>
  </si>
  <si>
    <t>15/7/1391</t>
  </si>
  <si>
    <t>نشریه شورای صنفی ۳۴.pdf</t>
  </si>
  <si>
    <t>https://drive.google.com/file/d/19aRaz8QG5iFokIbT9yK-yDizGU839Inw/view?usp=drivesdk</t>
  </si>
  <si>
    <t>25/9/1391</t>
  </si>
  <si>
    <t>نشریه شورای صنفی ۳۵.pdf</t>
  </si>
  <si>
    <t>https://drive.google.com/file/d/10Hpm9OBw3dPliswNKjEcsOl0BuBqogfo/view?usp=drivesdk</t>
  </si>
  <si>
    <t>محمد عصاریان نیاسری</t>
  </si>
  <si>
    <t>محمدجواد اکبری، ساسان حاجی‌رضایی، آرمین ساعی</t>
  </si>
  <si>
    <t>15/12/1391</t>
  </si>
  <si>
    <t>نشریه شورای صنفی ۳۶.pdf</t>
  </si>
  <si>
    <t>https://drive.google.com/file/d/1aAOx8wv5n2CMyCGMLIbec9Ug29HDMhpx/view?usp=drivesdk</t>
  </si>
  <si>
    <t>ساسان حاجی‌رضایی</t>
  </si>
  <si>
    <t>2/2/1392</t>
  </si>
  <si>
    <t>نشریه شورای صنفی ۳۷.pdf</t>
  </si>
  <si>
    <t>https://drive.google.com/file/d/1_pVjHf74cpMj-2ifQY9ogs-Dp-p5Op__/view?usp=drivesdk</t>
  </si>
  <si>
    <t>ساسان حاجی‌رضایی، آرمین ساعی</t>
  </si>
  <si>
    <t>29/2/1392</t>
  </si>
  <si>
    <t>نشریه شورای صنفی ۳۸.pdf</t>
  </si>
  <si>
    <t>https://drive.google.com/file/d/1oTeMYkM2cD9nqdgYDQ2jfIbhtIfMOlFS/view?usp=drivesdk</t>
  </si>
  <si>
    <t>x/7/1392</t>
  </si>
  <si>
    <t>15/7/1392</t>
  </si>
  <si>
    <t>نشریه شورای صنفی ۳۸.۲ ویژه‌نامه ورودی ۹۲.pdf</t>
  </si>
  <si>
    <t>https://drive.google.com/file/d/1mguz2TRUvuYWqYpZdXToB967YrjRpenZ/view?usp=drivesdk</t>
  </si>
  <si>
    <t>ویژه‌نامه ورودی ۱۳۹۲</t>
  </si>
  <si>
    <t>نشریه شورای صنفی ۳۹.pdf</t>
  </si>
  <si>
    <t>https://drive.google.com/file/d/1yRocFFfBU3vFiUNfjbmgiA9k5SB_dSkN/view?usp=drivesdk</t>
  </si>
  <si>
    <t>22/7/1392</t>
  </si>
  <si>
    <t>نشریه شورای صنفی ۴۰.pdf</t>
  </si>
  <si>
    <t>https://drive.google.com/file/d/1RTix3RA9BX-zkN-gr-5PMcr9o_WaGTjj/view?usp=drivesdk</t>
  </si>
  <si>
    <t>نشریه شورای صنفی ۴۱.pdf</t>
  </si>
  <si>
    <t>https://drive.google.com/file/d/1fsWjWMBtWgHyrptjd3wzj-TS9OKa3kXN/view?usp=drivesdk</t>
  </si>
  <si>
    <t>x/9/1392</t>
  </si>
  <si>
    <t>15/9/1392</t>
  </si>
  <si>
    <t>نشریه شورای صنفی ۴۲.pdf</t>
  </si>
  <si>
    <t>https://drive.google.com/file/d/1Hu0dvG9F0GUZXP86FsSI8YWNGAP83858/view?usp=drivesdk</t>
  </si>
  <si>
    <t>26/9/1392</t>
  </si>
  <si>
    <t>نشریه شورای صنفی ۴۳.pdf</t>
  </si>
  <si>
    <t>https://drive.google.com/file/d/1gpwi0CwFH2vosIceidokNuErk7Tz1C5j/view?usp=drivesdk</t>
  </si>
  <si>
    <t>احسان حقی</t>
  </si>
  <si>
    <t>5/12/1392</t>
  </si>
  <si>
    <t>نشریه شورای صنفی ۴۴.pdf</t>
  </si>
  <si>
    <t>https://drive.google.com/file/d/1eTUhITFdZ-z5jK_zV6o1SKgcWOaF8IJL/view?usp=drivesdk</t>
  </si>
  <si>
    <t>19/12/1392</t>
  </si>
  <si>
    <t>نشریه شورای صنفی ۴۵.pdf</t>
  </si>
  <si>
    <t>https://drive.google.com/file/d/1xO-_V5SwXCXZQjNLCwjBy5eZSzz55GQX/view?usp=drivesdk</t>
  </si>
  <si>
    <t>28/2/1393</t>
  </si>
  <si>
    <t>نشریه شورای صنفی ۴۶.pdf</t>
  </si>
  <si>
    <t>https://drive.google.com/file/d/1HvsZE66219N8E3Y__Ma1o2cCnRUKLPH0/view?usp=drivesdk</t>
  </si>
  <si>
    <t>5/8/1393</t>
  </si>
  <si>
    <t>نشریه شورای صنفی ۴۸.pdf</t>
  </si>
  <si>
    <t>https://drive.google.com/file/d/1vxuw8Gd28IdQMy46GpCD0KorOW61Uy9i/view?usp=drivesdk</t>
  </si>
  <si>
    <t>نشریه شورای صنفی ۴۹.pdf</t>
  </si>
  <si>
    <t>https://drive.google.com/file/d/11X0y5vSXYBN1hU5w92V7aEnPJ4Gc6oI4/view?usp=drivesdk</t>
  </si>
  <si>
    <t>مرتضی ملکیان</t>
  </si>
  <si>
    <t>پویا مصدق</t>
  </si>
  <si>
    <t>نشریه شورای صنفی ۵۰.pdf</t>
  </si>
  <si>
    <t>https://drive.google.com/file/d/1BuSosKPWBbsbXtAIhArZXgaGSbo2fyQP/view?usp=drivesdk</t>
  </si>
  <si>
    <t>3/12/1393</t>
  </si>
  <si>
    <t>نشریه شورای صنفی ۵۱.pdf</t>
  </si>
  <si>
    <t>https://drive.google.com/file/d/1Tzedx9WfPxipboTG6_QTn3e9OHUn1q20/view?usp=drivesdk</t>
  </si>
  <si>
    <t>3/3/1394</t>
  </si>
  <si>
    <t>نشریه شورای صنفی ۵۲.pdf</t>
  </si>
  <si>
    <t>https://drive.google.com/file/d/1UF2acjFo9Cdzpgqfgsy-GKr8gFOOdT0B/view?usp=drivesdk</t>
  </si>
  <si>
    <t>27/7/1394</t>
  </si>
  <si>
    <t>نشریه شورای صنفی ۵۳.pdf</t>
  </si>
  <si>
    <t>https://drive.google.com/file/d/1Gq7p-B9tKMQZ3_bgR6-GzYqozfXAWRhx/view?usp=drivesdk</t>
  </si>
  <si>
    <t>علی‌اکبر مومنی‌ملکشاه</t>
  </si>
  <si>
    <t>امیرمحمد بائو دیزآبادی</t>
  </si>
  <si>
    <t>x/1/1395</t>
  </si>
  <si>
    <t>15/1/1395</t>
  </si>
  <si>
    <t>نشریه شورای صنفی ۵۳.۲ ویژه‌نامه سنوات ظالمانه.pdf</t>
  </si>
  <si>
    <t>https://drive.google.com/file/d/1FXVIs6grWP8-0w-sE_ijG31Z7jmcWfv2/view?usp=drivesdk</t>
  </si>
  <si>
    <t>6/7/1395</t>
  </si>
  <si>
    <t>ویژه‌نامه «سنوات ظالمانه»</t>
  </si>
  <si>
    <t>نشریه شورای صنفی ۵۶.pdf</t>
  </si>
  <si>
    <t>https://drive.google.com/file/d/1hM8Sq6oONCk588yfEWOklLbvS5qrZcMI/view?usp=drivesdk</t>
  </si>
  <si>
    <t>فاطمه امینی</t>
  </si>
  <si>
    <t>2/7/1397</t>
  </si>
  <si>
    <t>نشریه شورای صنفی ۵۷.pdf</t>
  </si>
  <si>
    <t>https://drive.google.com/file/d/1RkFvXXJio4hdFLCaefuDBnsIZm8jFg2v/view?usp=drivesdk</t>
  </si>
  <si>
    <t>نشریه شورای صنفی ۵۸.pdf</t>
  </si>
  <si>
    <t>https://drive.google.com/file/d/175j-XKZDv9yMjasl5U_BEbUVJeDXOIHu/view?usp=drivesdk</t>
  </si>
  <si>
    <t>نشریه شورای صنفی ۵۹.pdf</t>
  </si>
  <si>
    <t>https://drive.google.com/file/d/1ciGF82g_Vp4CvJ5DJeIEqsBl0F9uQ1nw/view?usp=drivesdk</t>
  </si>
  <si>
    <t>4/7/1397</t>
  </si>
  <si>
    <t>نشریه شورای صنفی ۶۰.pdf</t>
  </si>
  <si>
    <t>https://drive.google.com/file/d/19VW0LPVKOQJg_uGYgojHdORRrDbDXWaQ/view?usp=drivesdk</t>
  </si>
  <si>
    <t>30/8/1397</t>
  </si>
  <si>
    <t>نشریه شورای صنفی ۶۱.pdf</t>
  </si>
  <si>
    <t>https://drive.google.com/file/d/1zc7P8NWV5oGnU0n5r2fTUn1EJmNStcNs/view?usp=drivesdk</t>
  </si>
  <si>
    <t>27/12/1397</t>
  </si>
  <si>
    <t>نشریه شورای صنفی ۶۲.pdf</t>
  </si>
  <si>
    <t>https://drive.google.com/file/d/1P1yJaW3uRR_z40PjBXXBrtMH92uu1sfQ/view?usp=drivesdk</t>
  </si>
  <si>
    <t>نشریه شورای صنفی ۶۳.pdf</t>
  </si>
  <si>
    <t>https://drive.google.com/file/d/1YEnqVbGtgx7Ubj2N_EJ1yiYUduEbtxvH/view?usp=drivesdk</t>
  </si>
  <si>
    <t>نشریه شورای صنفی ۶۴.pdf</t>
  </si>
  <si>
    <t>https://drive.google.com/file/d/1qhESXmboCkDb7qXR-ma95P5aOfcOgLbf/view?usp=drivesdk</t>
  </si>
  <si>
    <t>نشریه شورای صنفی ۶۵.pdf</t>
  </si>
  <si>
    <t>https://drive.google.com/file/d/1xWXoQ8zmmZfTLGe4C52mOBPoBEOaSacN/view?usp=drivesdk</t>
  </si>
  <si>
    <t>نشریه شورای صنفی ۶۶.pdf</t>
  </si>
  <si>
    <t>https://drive.google.com/file/d/1qJUz5_QKz9rIeuj1xyCQ9ejMi4F3FcEW/view?usp=drivesdk</t>
  </si>
  <si>
    <t>نشریه شورای صنفی ۶۷.pdf</t>
  </si>
  <si>
    <t>https://drive.google.com/file/d/177k-eYCmF46GOIHAoQmxxH6VFyw6qLW6/view?usp=drivesdk</t>
  </si>
  <si>
    <t>آریا ترابی</t>
  </si>
  <si>
    <t>سینا صفی‌زاده، میترا ملکی</t>
  </si>
  <si>
    <t>نشریه شورای صنفی ۶۸.pdf</t>
  </si>
  <si>
    <t>https://drive.google.com/file/d/1kXpYeZ9M5l0Gq0i4RtV55LsEBrEo_Dgi/view?usp=drivesdk</t>
  </si>
  <si>
    <t>نشریه شورای صنفی ۶۹.pdf</t>
  </si>
  <si>
    <t>https://drive.google.com/file/d/19a1W2peiPvjWkgjI_R1C-5WFKv7tv5hM/view?usp=drivesdk</t>
  </si>
  <si>
    <t>11/5/1403</t>
  </si>
  <si>
    <t>نشریه شورای صنفی ۷۰.pdf</t>
  </si>
  <si>
    <t>https://drive.google.com/file/d/1UfoEnGx2i4jJPVC50TxIueHGfcEd-geN/view?usp=drivesdk</t>
  </si>
  <si>
    <t>کیمیا نسترن</t>
  </si>
  <si>
    <t>16/9/1403</t>
  </si>
  <si>
    <t>نشریه شورای صنفی ۷۱.pdf</t>
  </si>
  <si>
    <t>https://drive.google.com/file/d/1JpUPpFn1W4KGJkQ-KCAIBXEVXkWTORfx/view?usp=drivesdk</t>
  </si>
  <si>
    <t>30/12/1403</t>
  </si>
  <si>
    <t>نشریه شورای صنفی - توصیه‌نامه و تاریخچه ادوار- جلد اول - کیفیت اصلی.pdf</t>
  </si>
  <si>
    <t>https://drive.google.com/file/d/1FEy1Odh4uPc3jfwVC0h_PbnXlogCHac-/view?usp=drivesdk</t>
  </si>
  <si>
    <t>3/12/1403</t>
  </si>
  <si>
    <t>توصیه‌نامه و تاریخچه ادوار - دوران طلایی - کیفیت خوب</t>
  </si>
  <si>
    <t>نشریه شورای صنفی - توصیه‌نامه و تاریخچه ادوار- جلد اول.pdf</t>
  </si>
  <si>
    <t>https://drive.google.com/file/d/1YQte9j1aU-iTloK2aLij6bBwM6bJm6lz/view?usp=drivesdk</t>
  </si>
  <si>
    <t>توصیه‌نامه و تاریخچه ادوار - دوران طلایی</t>
  </si>
  <si>
    <t>نشریه شورای صنفی - توصیه‌نامه و تاریخچه ادوار- دوران احیاء، بخش اول - کیفیت اصلی.pdf</t>
  </si>
  <si>
    <t>https://drive.google.com/file/d/1LuMjUgBfH8L5cRieI4JBBdeZW6UriSYK/view?usp=drivesdk</t>
  </si>
  <si>
    <t>18/5/1404</t>
  </si>
  <si>
    <t>توصیه‌نامه و تاریخچه ادوار - دوران احیاء - بخش اول - کیفیت خوب</t>
  </si>
  <si>
    <t>نشریه شورای صنفی - توصیه‌نامه و تاریخچه ادوار- دوران احیاء، بخش اول.pdf</t>
  </si>
  <si>
    <t>https://drive.google.com/file/d/1n5sdk0YyMZKAsQWaRSsz559_1uTGKHB3/view?usp=drivesdk</t>
  </si>
  <si>
    <t>توصیه‌نامه و تاریخچه ادوار - دوران احیاء - بخش اول</t>
  </si>
  <si>
    <t>نشریه شورای صنفی ۲.۱.pdf</t>
  </si>
  <si>
    <t>https://drive.google.com/file/d/12TfkTjZWkJLCepp3_RPyOGcXqeTd9FRo/view?usp=drivesdk</t>
  </si>
  <si>
    <t>؟</t>
  </si>
  <si>
    <t>نشریه شورای صنفی ۲۵.ویژه‌نامه.pdf</t>
  </si>
  <si>
    <t>https://drive.google.com/file/d/1JEeh0eQGx1vXTyh9Uh3hwzkBU2gybOxW/view?usp=drivesdk</t>
  </si>
  <si>
    <t>ویژه‌نامه ورودی‌های جدید سال ۱۳۹۰</t>
  </si>
  <si>
    <t>Root/انجمن‌های علمی و نشریات وابسته به دانشکده‌ها/دانشکده مهندسی برق/صفر</t>
  </si>
  <si>
    <t>Sefr0.pdf</t>
  </si>
  <si>
    <t>https://drive.google.com/file/d/1zPKj9nW1fAwneE6TF6cLf5s0GVflaRhT/view?usp=drivesdk</t>
  </si>
  <si>
    <t>بابک فتوحی</t>
  </si>
  <si>
    <t>Sefr1.pdf</t>
  </si>
  <si>
    <t>https://drive.google.com/file/d/1swrePM8bjvuSpEymCTDdzI095nVfdpvA/view?usp=drivesdk</t>
  </si>
  <si>
    <t>x/10/1388</t>
  </si>
  <si>
    <t>30/3/1389</t>
  </si>
  <si>
    <t>9/1/1389</t>
  </si>
  <si>
    <t>Sefr2.pdf</t>
  </si>
  <si>
    <t>https://drive.google.com/file/d/1ZpHIepkZn5UxQ7fj6iA86gLDNRF3zAcN/view?usp=drivesdk</t>
  </si>
  <si>
    <t>Sefr3.pdf</t>
  </si>
  <si>
    <t>https://drive.google.com/file/d/1_FiTMN4ZNLrnxpd7wq6nHuXiOR11j9dG/view?usp=drivesdk</t>
  </si>
  <si>
    <t>Root/انجمن‌های علمی و نشریات وابسته به دانشکده‌ها/دانشکده شیمی/کاتالیزور</t>
  </si>
  <si>
    <t>2.کاتالیزور ۲ آذر بهمن ۱۳۷۸.pdf</t>
  </si>
  <si>
    <t>https://drive.google.com/file/d/1qFyt_1ky3icdOTT5mgJHMaVudbODnOeu/view?usp=drivesdk</t>
  </si>
  <si>
    <t>x/11/1378</t>
  </si>
  <si>
    <t>15/11/1378</t>
  </si>
  <si>
    <t>3.کاتالیزور ۳ پاییز ۱۳۷۹.pdf</t>
  </si>
  <si>
    <t>https://drive.google.com/file/d/1g0sRFO2qfL5qjwQJwYHpQQt_kx3Vi30Y/view?usp=drivesdk</t>
  </si>
  <si>
    <t>1.1کاتالیزور اسفند ۱۳۷۸.pdf</t>
  </si>
  <si>
    <t>https://drive.google.com/file/d/1TeJJIvN9W4ZdWDM1OPCUW0BytcIVUiP-/view?usp=drivesdk</t>
  </si>
  <si>
    <t>x/12/1378</t>
  </si>
  <si>
    <t>ویژه‌نامه انتخابات شورای صنفی</t>
  </si>
  <si>
    <t>15/12/1378</t>
  </si>
  <si>
    <t>Root/کانون‌های فرهنگی هنری/دفتر مطالعات فرهنگی/از وادی فرهنگ</t>
  </si>
  <si>
    <t>1.از واحدی فرهنگ ۱ - زمستان ۱۳۸۵.pdf</t>
  </si>
  <si>
    <t>https://drive.google.com/file/d/1RaK9qrWuZkbxyep4BIBogocoMxvBLqHF/view?usp=drivesdk</t>
  </si>
  <si>
    <t>دفتر مطالعات فرهنگی</t>
  </si>
  <si>
    <t>مسعود آقاجانی</t>
  </si>
  <si>
    <t>2.از وادی فرهنگ ۲ - مهر ۱۳۸۶.pdf</t>
  </si>
  <si>
    <t>https://drive.google.com/file/d/1CWIp8pKtRGRQVyPRsCtjI03fnMNlYI17/view?usp=drivesdk</t>
  </si>
  <si>
    <t>Root/کانون‌های فرهنگی هنری/دفتر مطالعات فرهنگی/بولتن پژوهشی</t>
  </si>
  <si>
    <t>1.بولتن پژوهشی ۷ پاییز ۱۳۷۸.pdf</t>
  </si>
  <si>
    <t>https://drive.google.com/file/d/18-1bD-Qmiq6xdpznyiLAANXpjqD3b6k2/view?usp=drivesdk</t>
  </si>
  <si>
    <t>2.بولتن پژوهشی ۸ زمستان ۱۳۷۸.pdf</t>
  </si>
  <si>
    <t>https://drive.google.com/file/d/1bgVb1c84oumZQiuEIFCOsIYB7miNekyx/view?usp=drivesdk</t>
  </si>
  <si>
    <t>3.بولتن پژوهشی ۹ زمستان ۱۳۷۹.pdf</t>
  </si>
  <si>
    <t>https://drive.google.com/file/d/1fi8jCe2tmXJokRcIsbjhYBCPdPRcHijy/view?usp=drivesdk</t>
  </si>
  <si>
    <t>دکتر محمد حسن باستانی</t>
  </si>
  <si>
    <t>پوریا معقولی</t>
  </si>
  <si>
    <t>4.بولتن پژوهشی ۱۰ - زمستان ۸۱.pdf</t>
  </si>
  <si>
    <t>https://drive.google.com/file/d/1Y2s3aXrtRWlWiEwqB-o0S1taZQxl6xjd/view?usp=drivesdk</t>
  </si>
  <si>
    <t>ابوذر نوراللهی</t>
  </si>
  <si>
    <t>Root/کانون‌های فرهنگی هنری/دفتر مطالعات فرهنگی/راوی</t>
  </si>
  <si>
    <t>1.راوی - شماره یک.pdf</t>
  </si>
  <si>
    <t>https://drive.google.com/file/d/1ztyguKmiLTqfS_7V7O8ZbKqMXE3d5llh/view?usp=drivesdk</t>
  </si>
  <si>
    <t>امیرعباس استوار</t>
  </si>
  <si>
    <t>2.دوماهنامۀ راوی - شمارۀ 2.pdf</t>
  </si>
  <si>
    <t>https://drive.google.com/file/d/1g5wPgtQGwYE54lawWrgzykPh3WnW4XYO/view?usp=drivesdk</t>
  </si>
  <si>
    <t>x/1,2/1399</t>
  </si>
  <si>
    <t>3.راوی - شمارۀ سه.pdf</t>
  </si>
  <si>
    <t>https://drive.google.com/file/d/1zupNl0qXag6IfpFUN0rZgxwRvfSgAaqN/view?usp=drivesdk</t>
  </si>
  <si>
    <t>x/3,4/1399</t>
  </si>
  <si>
    <t>Root/کانون‌های فرهنگی هنری/دفتر مطالعات فرهنگی/قلم</t>
  </si>
  <si>
    <t>3.0قلم ۳ - خرداد ۸۷.pdf</t>
  </si>
  <si>
    <t>https://drive.google.com/file/d/1_9IYOxJi3XwVsgQUDds3rSYm-bniTIGD/view?usp=drivesdk</t>
  </si>
  <si>
    <t>میلاد طاهریان</t>
  </si>
  <si>
    <t>3.1.قلم - مهر ۹۰.PDF</t>
  </si>
  <si>
    <t>https://drive.google.com/file/d/11k87AZnykHhBOsrDKXs9_KCnaQ_EgPNz/view?usp=drivesdk</t>
  </si>
  <si>
    <t>امین فارغ‌بال</t>
  </si>
  <si>
    <t>آناهیتا یوسفی</t>
  </si>
  <si>
    <t>x/7/1390</t>
  </si>
  <si>
    <t>ویژه‌نامه معرفی دفتر مطالعات فرهنگی</t>
  </si>
  <si>
    <t>15/7/1390</t>
  </si>
  <si>
    <t>4.nashrie2.pdf</t>
  </si>
  <si>
    <t>https://drive.google.com/file/d/1kHBdJOtXx5yfs3CAWikRVkJPkfTmu_H7/view?usp=drivesdk</t>
  </si>
  <si>
    <t>مصطفی سراج</t>
  </si>
  <si>
    <t>x/9/1388</t>
  </si>
  <si>
    <t>15/9/1388</t>
  </si>
  <si>
    <t>5.قلم ۵.pdf</t>
  </si>
  <si>
    <t>https://drive.google.com/file/d/1K7qG08DyMSYrhx-5Ft5ATcf6kdVsgCR6/view?usp=drivesdk</t>
  </si>
  <si>
    <t>x/2/1389</t>
  </si>
  <si>
    <t>15/2/1389</t>
  </si>
  <si>
    <t>6.Ghalam.pdf</t>
  </si>
  <si>
    <t>https://drive.google.com/file/d/1MAULrQMWyGrDX31dfvsRpuLDkQkPh9ap/view?usp=drivesdk</t>
  </si>
  <si>
    <t>وحید خاتمی</t>
  </si>
  <si>
    <t>x/3/1390</t>
  </si>
  <si>
    <t>15/3/1390</t>
  </si>
  <si>
    <t>10.قلم ۱۰.pdf</t>
  </si>
  <si>
    <t>https://drive.google.com/file/d/1gFhMrXCsxbR2hBK13-dVP4uPWR-Koady/view?usp=drivesdk</t>
  </si>
  <si>
    <t>فخرالسادات هاشمی</t>
  </si>
  <si>
    <t>سعید فراهانی</t>
  </si>
  <si>
    <t>x/12/1392</t>
  </si>
  <si>
    <t>15/12/1392</t>
  </si>
  <si>
    <t>11.قلم ۱۱.pdf</t>
  </si>
  <si>
    <t>https://drive.google.com/file/d/1VV3CNxj0vkrhg-fVbGkqXkWTEAoXH9iB/view?usp=drivesdk</t>
  </si>
  <si>
    <t>x/3,4/1393</t>
  </si>
  <si>
    <t>13.قلم ۱۳.pdf</t>
  </si>
  <si>
    <t>https://drive.google.com/file/d/12tOtp_RTkST6PhWMYX3LPbtc1Bz3KV9d/view?usp=drivesdk</t>
  </si>
  <si>
    <t>سینا فردوسی</t>
  </si>
  <si>
    <t>داریوش شاهین‌راد</t>
  </si>
  <si>
    <t>14.قلم ۱۴ و ۱۵.pdf</t>
  </si>
  <si>
    <t>https://drive.google.com/file/d/12C0cAU0BRl1EVOl55M-MlWJe3otYZjZQ/view?usp=drivesdk</t>
  </si>
  <si>
    <t>2,3</t>
  </si>
  <si>
    <t>16.قلم ۱۶.pdf</t>
  </si>
  <si>
    <t>https://drive.google.com/file/d/1T4wcLwedPD60a6jk3x1tHar6aSuu1B4F/view?usp=drivesdk</t>
  </si>
  <si>
    <t>پوریا فلاح‌پور</t>
  </si>
  <si>
    <t>Root/کانون‌های فرهنگی هنری/دفتر مطالعات فرهنگی/نامه فرهنگی</t>
  </si>
  <si>
    <t>0.نامه فرهنگی ۰ زمستان ۱۳۷۱.pdf</t>
  </si>
  <si>
    <t>https://drive.google.com/file/d/17jRJck_oCqJaEKKfCHoJpsatiHvixj3a/view?usp=drivesdk</t>
  </si>
  <si>
    <t>علی‌اکبر صالحی</t>
  </si>
  <si>
    <t>محمد حسن باستانی</t>
  </si>
  <si>
    <t>x/x/1371</t>
  </si>
  <si>
    <t>1/7/1371</t>
  </si>
  <si>
    <t>1.نامه فرهنگی ۱ دی ۱۳۷۲.pdf</t>
  </si>
  <si>
    <t>https://drive.google.com/file/d/1Kv4ZkmAue2IJo-KUKcar88975U3Z3liq/view?usp=drivesdk</t>
  </si>
  <si>
    <t>سید محمد اعتمادی</t>
  </si>
  <si>
    <t>x/10/1372</t>
  </si>
  <si>
    <t>15/10/1372</t>
  </si>
  <si>
    <t>2.نامه فرهنگی ۴ تابستان ۱۳۷۴.pdf</t>
  </si>
  <si>
    <t>https://drive.google.com/file/d/1Yxs8hKfwaejA-tScDPVsp4dXAgKum5lA/view?usp=drivesdk</t>
  </si>
  <si>
    <t>محمد حسین باستانی</t>
  </si>
  <si>
    <t>x/x/1374</t>
  </si>
  <si>
    <t>1/7/1374</t>
  </si>
  <si>
    <t>3.نامه فرهنگی آزمایشی ۱ مهر ۱۳۷۴.pdf</t>
  </si>
  <si>
    <t>https://drive.google.com/file/d/1x-j-G_OmgWz8e8rQix4K21PkOirOvZkj/view?usp=drivesdk</t>
  </si>
  <si>
    <t>x/7/1374</t>
  </si>
  <si>
    <t>15/7/1374</t>
  </si>
  <si>
    <t>4.نامه فرهنگی آزمایشی ۳ مرداد ۱۳۷۵.pdf</t>
  </si>
  <si>
    <t>https://drive.google.com/file/d/18xDSInsXG1YCV0fx-Um3_JJUuft1Hhjs/view?usp=drivesdk</t>
  </si>
  <si>
    <t>x/5/1375</t>
  </si>
  <si>
    <t>15/5/1375</t>
  </si>
  <si>
    <t>Root/کانون‌های فرهنگی هنری/روزنامه شریف</t>
  </si>
  <si>
    <t>https://drive.google.com/file/d/1sx4D5S1m7hA6LmfLpUSKMteVr6kPAhy9/view?usp=drivesdk</t>
  </si>
  <si>
    <t>شورای فرهنگی</t>
  </si>
  <si>
    <t>سید احسان جاهد</t>
  </si>
  <si>
    <t>25/11/1379</t>
  </si>
  <si>
    <t>https://drive.google.com/file/d/1GuptChYxmOqiZ1JTx8B4fqt18zqUzHF1/view?usp=drivesdk</t>
  </si>
  <si>
    <t>7/12/1379</t>
  </si>
  <si>
    <t>https://drive.google.com/file/d/170gXn-XyX9wVEO0KxuZBWZ_erk5S0hDA/view?usp=drivesdk</t>
  </si>
  <si>
    <t>20/12/1379</t>
  </si>
  <si>
    <t>https://drive.google.com/file/d/1lAY3Jredqk18UNQtsrAJ6HhsVZMUubhQ/view?usp=drivesdk</t>
  </si>
  <si>
    <t>5/2/1380</t>
  </si>
  <si>
    <t>https://drive.google.com/file/d/1tomE1rxjYzTua2LljIb0IWuGUa58lTVY/view?usp=drivesdk</t>
  </si>
  <si>
    <t>8/2/1380</t>
  </si>
  <si>
    <t>8.pdf</t>
  </si>
  <si>
    <t>https://drive.google.com/file/d/1b6AnRfkJmTL9mbjeInK_mXiMbsZIkU0T/view?usp=drivesdk</t>
  </si>
  <si>
    <t>15/2/1380</t>
  </si>
  <si>
    <t>9.pdf</t>
  </si>
  <si>
    <t>https://drive.google.com/file/d/1yJC_f2kI3KvYYbHVU5Wn3ylW64_pzwT7/view?usp=drivesdk</t>
  </si>
  <si>
    <t>18/2/1380</t>
  </si>
  <si>
    <t>10.pdf</t>
  </si>
  <si>
    <t>https://drive.google.com/file/d/1uVM7nuTFVMCRjYsKcjBF0fdGS51DsY2W/view?usp=drivesdk</t>
  </si>
  <si>
    <t>5/3/1380</t>
  </si>
  <si>
    <t>11.pdf</t>
  </si>
  <si>
    <t>https://drive.google.com/file/d/1Oxh04sAmX5ZPb1NYU3gNf6nm03vMuBXk/view?usp=drivesdk</t>
  </si>
  <si>
    <t>8/3/1380</t>
  </si>
  <si>
    <t>https://drive.google.com/file/d/15yF2_X96taffFjyEyEXtxPWyW1MmVIjw/view?usp=drivesdk</t>
  </si>
  <si>
    <t>19/3/1380</t>
  </si>
  <si>
    <t>https://drive.google.com/file/d/1qlinf4AY_4GdBODMP5hVA7czFmewYok-/view?usp=drivesdk</t>
  </si>
  <si>
    <t>22/3/1380</t>
  </si>
  <si>
    <t>https://drive.google.com/file/d/13bQT5RzmvSgGCo1HIrQh-tesB9UkUpqR/view?usp=drivesdk</t>
  </si>
  <si>
    <t>26/3/1380</t>
  </si>
  <si>
    <t>https://drive.google.com/file/d/1egSPn7ICI_MIo1lIsvdOTXmsx4DolSh_/view?usp=drivesdk</t>
  </si>
  <si>
    <t>15/5/1380</t>
  </si>
  <si>
    <t>17.pdf</t>
  </si>
  <si>
    <t>https://drive.google.com/file/d/1oQcvA8uTKeqHZQa06uWu4lIE_v8u1ohZ/view?usp=drivesdk</t>
  </si>
  <si>
    <t>31/6/1380</t>
  </si>
  <si>
    <t>18.pdf</t>
  </si>
  <si>
    <t>https://drive.google.com/file/d/1t26nuoQ0v43bAm6nDMuDqBYjhw3HRuY1/view?usp=drivesdk</t>
  </si>
  <si>
    <t>7/7/1380</t>
  </si>
  <si>
    <t>19.pdf</t>
  </si>
  <si>
    <t>https://drive.google.com/file/d/1-MytlVyxskXbT9LfbUcByIg7bw7p5gFF/view?usp=drivesdk</t>
  </si>
  <si>
    <t>10/7/1380</t>
  </si>
  <si>
    <t>https://drive.google.com/file/d/13DQr34qW5ScHkWsCDbZ3V5o-aZdq51Zd/view?usp=drivesdk</t>
  </si>
  <si>
    <t>14/7/1380</t>
  </si>
  <si>
    <t>https://drive.google.com/file/d/1q6rW1jxAUT1qnZ1rs9zuR5sUDMLUzqE5/view?usp=drivesdk</t>
  </si>
  <si>
    <t>17/7/1380</t>
  </si>
  <si>
    <t>https://drive.google.com/file/d/1dy9ZLRf40uann8LM0843adz6-FPenTas/view?usp=drivesdk</t>
  </si>
  <si>
    <t>21/7/1380</t>
  </si>
  <si>
    <t>23.pdf</t>
  </si>
  <si>
    <t>https://drive.google.com/file/d/1eQHqDFR8Y4DiS6z5Iqno5ljEmsCUYu_U/view?usp=drivesdk</t>
  </si>
  <si>
    <t>24/7/1380</t>
  </si>
  <si>
    <t>https://drive.google.com/file/d/1RrOn4wW4-ZoVvfAZNWQZTYxCFKJvO3I2/view?usp=drivesdk</t>
  </si>
  <si>
    <t>28/7/1380</t>
  </si>
  <si>
    <t>https://drive.google.com/file/d/1z7LPDoeH_yNt3pRWD9Gzq8xqzQsq_pmw/view?usp=drivesdk</t>
  </si>
  <si>
    <t>1/8/1380</t>
  </si>
  <si>
    <t>https://drive.google.com/file/d/1xAUSrTtyfA85FEiCsxyPgktZi-K8nn00/view?usp=drivesdk</t>
  </si>
  <si>
    <t>5/8/1380</t>
  </si>
  <si>
    <t>https://drive.google.com/file/d/1B8d8t-1fJ0GZE8Bldb-jxyvY5hAud7wL/view?usp=drivesdk</t>
  </si>
  <si>
    <t>8/8/1380</t>
  </si>
  <si>
    <t>https://drive.google.com/file/d/1Qu1-X4vYg0MtnWDzFU5Nbp3bYEFgWV4A/view?usp=drivesdk</t>
  </si>
  <si>
    <t>12/8/1380</t>
  </si>
  <si>
    <t>29.pdf</t>
  </si>
  <si>
    <t>https://drive.google.com/file/d/1ppZmSNIa4Xzv3utOs69xj7UnxQ_56Ykm/view?usp=drivesdk</t>
  </si>
  <si>
    <t>19/8/1380</t>
  </si>
  <si>
    <t>30.pdf</t>
  </si>
  <si>
    <t>https://drive.google.com/file/d/1gvx-xXal6IL2gl0ae3rZKa8ljdP_OSMa/view?usp=drivesdk</t>
  </si>
  <si>
    <t>22/8/1380</t>
  </si>
  <si>
    <t>https://drive.google.com/file/d/1FmwL6c_ME2tTjsfrarw5o-iKbw63c0_T/view?usp=drivesdk</t>
  </si>
  <si>
    <t>26/8/1380</t>
  </si>
  <si>
    <t>https://drive.google.com/file/d/1XPbVHEcZPk35nlXHikzucu_XOqVSxsfx/view?usp=drivesdk</t>
  </si>
  <si>
    <t>29/8/1380</t>
  </si>
  <si>
    <t>https://drive.google.com/file/d/1ECBLEZKmInXwvcO-iwfRUAy5pGN_3gE9/view?usp=drivesdk</t>
  </si>
  <si>
    <t>3/9/1380</t>
  </si>
  <si>
    <t>34.pdf</t>
  </si>
  <si>
    <t>https://drive.google.com/file/d/1n1fXOcAI72tuqdJ8dhvr4ZexP7wMSVSi/view?usp=drivesdk</t>
  </si>
  <si>
    <t>6/9/1380</t>
  </si>
  <si>
    <t>https://drive.google.com/file/d/1NV0avYHZRhflEuw0hLK9oI7Cptmmt4mv/view?usp=drivesdk</t>
  </si>
  <si>
    <t>10/9/1380</t>
  </si>
  <si>
    <t>https://drive.google.com/file/d/1q-VYdO3kgKijhTYtr6L0L2m8tTqj1cUN/view?usp=drivesdk</t>
  </si>
  <si>
    <t>مسعود شاهمرادی</t>
  </si>
  <si>
    <t>13/9/1380</t>
  </si>
  <si>
    <t>https://drive.google.com/file/d/16_eqPlQpurD_ifg47L0QR2BUT3p4HDHO/view?usp=drivesdk</t>
  </si>
  <si>
    <t>17/9/1380</t>
  </si>
  <si>
    <t>38.pdf</t>
  </si>
  <si>
    <t>https://drive.google.com/file/d/1Umm_S0Q_-y5Iw6kZVtCV4kQ16s6YDVES/view?usp=drivesdk</t>
  </si>
  <si>
    <t>20/9/1380</t>
  </si>
  <si>
    <t>https://drive.google.com/file/d/1Mk9Joh3CRkOBBiXL56gU86N6-0KR5-v0/view?usp=drivesdk</t>
  </si>
  <si>
    <t>24/9/1380</t>
  </si>
  <si>
    <t>https://drive.google.com/file/d/1appsrMgbPShqbq134b3q69tuwXotPIhO/view?usp=drivesdk</t>
  </si>
  <si>
    <t>20/11/1380</t>
  </si>
  <si>
    <t>https://drive.google.com/file/d/1UkBLMUkQZZm_n7SLq6rLEu39JjmyrKDM/view?usp=drivesdk</t>
  </si>
  <si>
    <t>23/11/1380</t>
  </si>
  <si>
    <t>47.pdf</t>
  </si>
  <si>
    <t>https://drive.google.com/file/d/1ICex4dUXjZIgT_0pmk5foC_rgaurc0F2/view?usp=drivesdk</t>
  </si>
  <si>
    <t>27/11/1380</t>
  </si>
  <si>
    <t>https://drive.google.com/file/d/1kMsJXf1b5plTVLCO5jR5TjrI1r4HZK64/view?usp=drivesdk</t>
  </si>
  <si>
    <t>7/12/1380</t>
  </si>
  <si>
    <t>https://drive.google.com/file/d/1PP0J9NcCN8M9nA2JyqDden4arQ_F26nX/view?usp=drivesdk</t>
  </si>
  <si>
    <t>11/12/1380</t>
  </si>
  <si>
    <t>https://drive.google.com/file/d/1jpGcHngxZLTtiw8UZUOW5zm0TwuKRifs/view?usp=drivesdk</t>
  </si>
  <si>
    <t>14/12/1380</t>
  </si>
  <si>
    <t>https://drive.google.com/file/d/1HrKw3oen-kh69dU2ZLmXYcxIU6nJTYTF/view?usp=drivesdk</t>
  </si>
  <si>
    <t>18/12/1380</t>
  </si>
  <si>
    <t>https://drive.google.com/file/d/10-XZ0lzSW09QNFBE7JBB0eXzqpSWQzMT/view?usp=drivesdk</t>
  </si>
  <si>
    <t>21/12/1380</t>
  </si>
  <si>
    <t>https://drive.google.com/file/d/17KWcz7Au-knj5ZmDhynY2JvWT_VvXkrB/view?usp=drivesdk</t>
  </si>
  <si>
    <t>20/1/1381</t>
  </si>
  <si>
    <t>https://drive.google.com/file/d/1PrxxNyHmIvlD5yvbuRNsTR6ei71XE9xF/view?usp=drivesdk</t>
  </si>
  <si>
    <t>24/1/1381</t>
  </si>
  <si>
    <t>https://drive.google.com/file/d/199w0zTTcnnq2BrZ48Rsvbr8ToG-I0KVs/view?usp=drivesdk</t>
  </si>
  <si>
    <t>27/1/1381</t>
  </si>
  <si>
    <t>https://drive.google.com/file/d/1HKowsm25Lp8sGOBr8O1cHgQM5FlLw4k_/view?usp=drivesdk</t>
  </si>
  <si>
    <t>31/1/1381</t>
  </si>
  <si>
    <t>https://drive.google.com/file/d/14IhdofMFVBHHIZTGpeXS5W_Pp6_LeMFR/view?usp=drivesdk</t>
  </si>
  <si>
    <t>3/2/1381</t>
  </si>
  <si>
    <t>58.pdf</t>
  </si>
  <si>
    <t>https://drive.google.com/file/d/1MsnCloXMBl5YRLryn8Dj8JetEee-bY9F/view?usp=drivesdk</t>
  </si>
  <si>
    <t>7/2/1381</t>
  </si>
  <si>
    <t>https://drive.google.com/file/d/1vbffU2E5dvPKVLKpvMCkP7ipsHEMAjW9/view?usp=drivesdk</t>
  </si>
  <si>
    <t>10/2/1381</t>
  </si>
  <si>
    <t>60.pdf</t>
  </si>
  <si>
    <t>https://drive.google.com/file/d/1SLFFLQmZ9B2YU7vGg70f6kWxI7VBrvp5/view?usp=drivesdk</t>
  </si>
  <si>
    <t>14/2/1381</t>
  </si>
  <si>
    <t>61.pdf</t>
  </si>
  <si>
    <t>https://drive.google.com/file/d/1lWzKOP5r0rWGbJLVPj63zcg6eYKW8ri_/view?usp=drivesdk</t>
  </si>
  <si>
    <t>17/2/1381</t>
  </si>
  <si>
    <t>62.pdf</t>
  </si>
  <si>
    <t>https://drive.google.com/file/d/1IJCIhnFCTFh7JsUr_YkT0sPxntzDuV7T/view?usp=drivesdk</t>
  </si>
  <si>
    <t>24/2/1381</t>
  </si>
  <si>
    <t>https://drive.google.com/file/d/1porc5qCCdDO1ocEfgojVcB_sEG2EgEJc/view?usp=drivesdk</t>
  </si>
  <si>
    <t>28/2/1381</t>
  </si>
  <si>
    <t>https://drive.google.com/file/d/1Y0ghQvtd2Y_ruXKDnkbBuo79iAOyJec6/view?usp=drivesdk</t>
  </si>
  <si>
    <t>31/2/1381</t>
  </si>
  <si>
    <t>https://drive.google.com/file/d/1VfqUWMMsB3SFKLZ4YepJJuYFfOS6dX-t/view?usp=drivesdk</t>
  </si>
  <si>
    <t>4/3/1381</t>
  </si>
  <si>
    <t>66.pdf</t>
  </si>
  <si>
    <t>https://drive.google.com/file/d/1y-f1xvip7SaGKm8gUeDJnRi0fHTHxOFQ/view?usp=drivesdk</t>
  </si>
  <si>
    <t>7/3/1381</t>
  </si>
  <si>
    <t>67.pdf</t>
  </si>
  <si>
    <t>https://drive.google.com/file/d/1RTeCNeD0hi_f7vSh8l5TDgygNGYfOLG4/view?usp=drivesdk</t>
  </si>
  <si>
    <t>18/3/1381</t>
  </si>
  <si>
    <t>https://drive.google.com/file/d/1G6Sgr7ZpM7sZNk4lRUAYGBBVJGN2I9CH/view?usp=drivesdk</t>
  </si>
  <si>
    <t>21/3/1381</t>
  </si>
  <si>
    <t>https://drive.google.com/file/d/1LuFoQaCG2ntVD71Q9LZz6uBEoWzTBk5g/view?usp=drivesdk</t>
  </si>
  <si>
    <t>18/4/1381</t>
  </si>
  <si>
    <t>70.pdf</t>
  </si>
  <si>
    <t>https://drive.google.com/file/d/1Jt1q4-MK9d3nBdJjF-96DeuiEUak4uQZ/view?usp=drivesdk</t>
  </si>
  <si>
    <t>1/5/1381</t>
  </si>
  <si>
    <t>71.pdf</t>
  </si>
  <si>
    <t>https://drive.google.com/file/d/1vCkaq42gEw1ZFf-iXBPcgpHRykN0htoD/view?usp=drivesdk</t>
  </si>
  <si>
    <t>15/5/1381</t>
  </si>
  <si>
    <t>https://drive.google.com/file/d/1kqGvT0h0283oiDKGI8AkkSqNs1-Xwrmu/view?usp=drivesdk</t>
  </si>
  <si>
    <t>29/5/1381</t>
  </si>
  <si>
    <t>https://drive.google.com/file/d/1TOV7pfGl9ChTaG5aWzHN_cQJjF42-UQr/view?usp=drivesdk</t>
  </si>
  <si>
    <t>16/6/1381</t>
  </si>
  <si>
    <t>74.pdf</t>
  </si>
  <si>
    <t>https://drive.google.com/file/d/18hv1oBWQvdI-t2Y4LXk3EQnXXTTtOBsM/view?usp=drivesdk</t>
  </si>
  <si>
    <t>75.pdf</t>
  </si>
  <si>
    <t>https://drive.google.com/file/d/1P0ya8coIK9ikf3NPASCveoA37XJj7U7S/view?usp=drivesdk</t>
  </si>
  <si>
    <t>26/6/1381</t>
  </si>
  <si>
    <t>76.pdf</t>
  </si>
  <si>
    <t>https://drive.google.com/file/d/18CacFtHZkGaoT7vo8RdHCicfuH58lKbO/view?usp=drivesdk</t>
  </si>
  <si>
    <t>https://drive.google.com/file/d/1zLfxYpTCKgKBZNeWuOMprMUibBtt7huR/view?usp=drivesdk</t>
  </si>
  <si>
    <t>2/7/1381</t>
  </si>
  <si>
    <t>https://drive.google.com/file/d/1L_jqHK37c0BBduEFuHJCqV7so3ApE8lZ/view?usp=drivesdk</t>
  </si>
  <si>
    <t>6/7/1381</t>
  </si>
  <si>
    <t>https://drive.google.com/file/d/1Wbd5ZBbszbXqROleI4D_aQeBDtZ3iKS1/view?usp=drivesdk</t>
  </si>
  <si>
    <t>9/7/1381</t>
  </si>
  <si>
    <t>https://drive.google.com/file/d/1-14KZLu6Qa6Curgf3aPfapK68DusWuyJ/view?usp=drivesdk</t>
  </si>
  <si>
    <t>16/7/1381</t>
  </si>
  <si>
    <t>https://drive.google.com/file/d/1K1gbWLWzu3r1yxN5JhVLzBhG6ByMv8w3/view?usp=drivesdk</t>
  </si>
  <si>
    <t>20/7/1381</t>
  </si>
  <si>
    <t>https://drive.google.com/file/d/1iobq532BaDpymdj1T4BlZuwhEM4NaGlk/view?usp=drivesdk</t>
  </si>
  <si>
    <t>23/7/1381</t>
  </si>
  <si>
    <t>83.pdf</t>
  </si>
  <si>
    <t>https://drive.google.com/file/d/14u4x_cnoVaK99QAdRUUR3xlEnU7GRmtm/view?usp=drivesdk</t>
  </si>
  <si>
    <t>27/7/1381</t>
  </si>
  <si>
    <t>https://drive.google.com/file/d/1xy8HgJDyEEui3QLRyshrsKAbWXCQepuF/view?usp=drivesdk</t>
  </si>
  <si>
    <t>4/8/1381</t>
  </si>
  <si>
    <t>https://drive.google.com/file/d/1m3i5rzHiLjt14KyE0CViIoHRdGhumnE9/view?usp=drivesdk</t>
  </si>
  <si>
    <t>7/8/1381</t>
  </si>
  <si>
    <t>https://drive.google.com/file/d/1bxooI-Rc03Ty5b4A5KLzO-8kjnamMAf1/view?usp=drivesdk</t>
  </si>
  <si>
    <t>11/8/1381</t>
  </si>
  <si>
    <t>https://drive.google.com/file/d/1B8XFFcZu6vFyfp7R08mF8fBpn0NGmWe1/view?usp=drivesdk</t>
  </si>
  <si>
    <t>14/8/1381</t>
  </si>
  <si>
    <t>https://drive.google.com/file/d/1JXIb9XNZ8gVpsh2mPlCyorNvUmlAInzu/view?usp=drivesdk</t>
  </si>
  <si>
    <t>18/8/1381</t>
  </si>
  <si>
    <t>89.pdf</t>
  </si>
  <si>
    <t>https://drive.google.com/file/d/1WMyPceEISfCeJtWsIkdGOZ9WrbPwbR_N/view?usp=drivesdk</t>
  </si>
  <si>
    <t>21/8/1381</t>
  </si>
  <si>
    <t>https://drive.google.com/file/d/1gFZb-ZdnPmvNkHa9wUg6ynFl22X8-Itb/view?usp=drivesdk</t>
  </si>
  <si>
    <t>25/8/1381</t>
  </si>
  <si>
    <t>https://drive.google.com/file/d/1hZBqvnfaHZ9XnTTzhVq0BrG5AJ6MjVfe/view?usp=drivesdk</t>
  </si>
  <si>
    <t>2/9/1381</t>
  </si>
  <si>
    <t>https://drive.google.com/file/d/1VShE3m7w4F_A8dUIZZXBwYU_8kOYW4OD/view?usp=drivesdk</t>
  </si>
  <si>
    <t>5/9/1381</t>
  </si>
  <si>
    <t>https://drive.google.com/file/d/1bzKjLaawIvIkhqjNn1VmdjQNqCTo0E__/view?usp=drivesdk</t>
  </si>
  <si>
    <t>12/9/1381</t>
  </si>
  <si>
    <t>95.pdf</t>
  </si>
  <si>
    <t>https://drive.google.com/file/d/1wBjhJQw7GioaWutfQN-VFUqJLZ-OxSpC/view?usp=drivesdk</t>
  </si>
  <si>
    <t>16/9/1381</t>
  </si>
  <si>
    <t>96.pdf</t>
  </si>
  <si>
    <t>https://drive.google.com/file/d/1zCkO61_dYmtMkPYDTmfl-LMm5vueUklt/view?usp=drivesdk</t>
  </si>
  <si>
    <t>19/9/1381</t>
  </si>
  <si>
    <t>97.pdf</t>
  </si>
  <si>
    <t>https://drive.google.com/file/d/1NXdcN_KGvE0vghSrLPkEmmX_qRRl10Nx/view?usp=drivesdk</t>
  </si>
  <si>
    <t>23/9/1381</t>
  </si>
  <si>
    <t>98.pdf</t>
  </si>
  <si>
    <t>https://drive.google.com/file/d/1ALLVu_qIbdsqRTr_4bv-zGadzcTdMpQF/view?usp=drivesdk</t>
  </si>
  <si>
    <t>26/9/1381</t>
  </si>
  <si>
    <t>https://drive.google.com/file/d/18d16C1eYUu5WX5l8eDM0gffo5N_iCCFv/view?usp=drivesdk</t>
  </si>
  <si>
    <t>30/9/1381</t>
  </si>
  <si>
    <t>https://drive.google.com/file/d/1h8yPXuIBDeCv8zbyHewkgd_J4VITxVVO/view?usp=drivesdk</t>
  </si>
  <si>
    <t>7/10/1381</t>
  </si>
  <si>
    <t>https://drive.google.com/file/d/1lg4vK1nurSgmxX6ZJV1kiN3Bf2MgJ3BG/view?usp=drivesdk</t>
  </si>
  <si>
    <t>12/11/1381</t>
  </si>
  <si>
    <t>https://drive.google.com/file/d/1Vb-Wz3gjh4KyETzY65l89O4Z5OQvQj9K/view?usp=drivesdk</t>
  </si>
  <si>
    <t>15/11/1381</t>
  </si>
  <si>
    <t>https://drive.google.com/file/d/1F5bwCmOmqVnGGntophM8xjrXdse0coua/view?usp=drivesdk</t>
  </si>
  <si>
    <t>19/11/1381</t>
  </si>
  <si>
    <t>https://drive.google.com/file/d/1wXBoA9fnqVTv_ItLMgXKHcmzaedNuUOJ/view?usp=drivesdk</t>
  </si>
  <si>
    <t>26/11/1381</t>
  </si>
  <si>
    <t>https://drive.google.com/file/d/123F9a5kIztKrt_dkYud0hSQM8Mj3sUDe/view?usp=drivesdk</t>
  </si>
  <si>
    <t>29/11/1381</t>
  </si>
  <si>
    <t>https://drive.google.com/file/d/1EpxRVbschcu2aYvGIf_e9ZjCQctcoCxR/view?usp=drivesdk</t>
  </si>
  <si>
    <t>3/12/1381</t>
  </si>
  <si>
    <t>https://drive.google.com/file/d/1jZwtDOl7YK8nxfB0se6QfSGscMxkIs1n/view?usp=drivesdk</t>
  </si>
  <si>
    <t>6/12/1381</t>
  </si>
  <si>
    <t>https://drive.google.com/file/d/1zh6a1NdR28cVjmg06HBMgvqbSpvvZ4NR/view?usp=drivesdk</t>
  </si>
  <si>
    <t>10/12/1381</t>
  </si>
  <si>
    <t>109.pdf</t>
  </si>
  <si>
    <t>https://drive.google.com/file/d/1IXQ_3yfG_0n0G1CxOYWA6Ds81JPoOCYj/view?usp=drivesdk</t>
  </si>
  <si>
    <t>13/12/1381</t>
  </si>
  <si>
    <t>110.pdf</t>
  </si>
  <si>
    <t>https://drive.google.com/file/d/1hf4pZHvcpa2lxg7fLBPdrdHVB1RMSKMu/view?usp=drivesdk</t>
  </si>
  <si>
    <t>17/12/1381</t>
  </si>
  <si>
    <t>111.pdf</t>
  </si>
  <si>
    <t>https://drive.google.com/file/d/1uwocSKMQwMBqTCmxD5O6ZVrQUaym9-65/view?usp=drivesdk</t>
  </si>
  <si>
    <t>20/12/1381</t>
  </si>
  <si>
    <t>112.pdf</t>
  </si>
  <si>
    <t>https://drive.google.com/file/d/1QZdzQ9iM9z3TtEE2eCKEPBNnHztFgfK7/view?usp=drivesdk</t>
  </si>
  <si>
    <t>19/1/1382</t>
  </si>
  <si>
    <t>https://drive.google.com/file/d/1IajQLgQ2clj-k0uq9XES6w4hqLBCqWwQ/view?usp=drivesdk</t>
  </si>
  <si>
    <t>23/1/1382</t>
  </si>
  <si>
    <t>114.pdf</t>
  </si>
  <si>
    <t>https://drive.google.com/file/d/1A6ivIwxlaLNJJyLr2qI6PHjmJxs2auhk/view?usp=drivesdk</t>
  </si>
  <si>
    <t>26/1/1382</t>
  </si>
  <si>
    <t>https://drive.google.com/file/d/1uykDGrNKkC_1MkbNd2kf7Lny6N3B885q/view?usp=drivesdk</t>
  </si>
  <si>
    <t>30/1/1382</t>
  </si>
  <si>
    <t>https://drive.google.com/file/d/1gdk5oUExFgty-m0YbLob7Z3-BVLvjZaz/view?usp=drivesdk</t>
  </si>
  <si>
    <t>2/2/1382</t>
  </si>
  <si>
    <t>https://drive.google.com/file/d/1c7nEOMWu7U9Qtmz9Yr5iA0WhiZtSwRrl/view?usp=drivesdk</t>
  </si>
  <si>
    <t>6/2/1382</t>
  </si>
  <si>
    <t>https://drive.google.com/file/d/16T7-ymEB6O21wyiaKPkiO_W52GGl8SwB/view?usp=drivesdk</t>
  </si>
  <si>
    <t>9/2/1382</t>
  </si>
  <si>
    <t>https://drive.google.com/file/d/1dYlfrpVQUycaU9aDYNZfg243QTEqva9m/view?usp=drivesdk</t>
  </si>
  <si>
    <t>13/2/1382</t>
  </si>
  <si>
    <t>https://drive.google.com/file/d/1HaymJjolfHRwp4T3PrpeKhxxORZeTTIN/view?usp=drivesdk</t>
  </si>
  <si>
    <t>16/2/1382</t>
  </si>
  <si>
    <t>121.pdf</t>
  </si>
  <si>
    <t>https://drive.google.com/file/d/1sF9_6OYuIQkIqvvkA7bVR0HoW_Sbw22f/view?usp=drivesdk</t>
  </si>
  <si>
    <t>21/2/1382</t>
  </si>
  <si>
    <t>122.pdf</t>
  </si>
  <si>
    <t>https://drive.google.com/file/d/1C22LcRT9jgdT7_tFoIhMqpwpdb_dsu8G/view?usp=drivesdk</t>
  </si>
  <si>
    <t>23/2/1382</t>
  </si>
  <si>
    <t>https://drive.google.com/file/d/1VJlAA48HkfAMRwFfQ9WDBXC7ppLWP_2N/view?usp=drivesdk</t>
  </si>
  <si>
    <t>27/2/1382</t>
  </si>
  <si>
    <t>124.pdf</t>
  </si>
  <si>
    <t>https://drive.google.com/file/d/1QDd92R5HWZwV0V3A3fiaivZFoqn3BhBs/view?usp=drivesdk</t>
  </si>
  <si>
    <t>30/2/1382</t>
  </si>
  <si>
    <t>https://drive.google.com/file/d/1WQyR9wanZadM_QTTSumaqVDrP1UT7-h1/view?usp=drivesdk</t>
  </si>
  <si>
    <t>3/3/1382</t>
  </si>
  <si>
    <t>126.pdf</t>
  </si>
  <si>
    <t>https://drive.google.com/file/d/1U0h3ykcivUN9fsUWo36yuEE_xXj43VMx/view?usp=drivesdk</t>
  </si>
  <si>
    <t>6/3/1382</t>
  </si>
  <si>
    <t>https://drive.google.com/file/d/1azAvTAbrx4jtkIxMZFcjzE2nENd-7xsm/view?usp=drivesdk</t>
  </si>
  <si>
    <t>10/4/1382</t>
  </si>
  <si>
    <t>https://drive.google.com/file/d/19V5NgAk8dTA4uGIzNrqUBg4RtezVzyAc/view?usp=drivesdk</t>
  </si>
  <si>
    <t>24/4/1382</t>
  </si>
  <si>
    <t>129.pdf</t>
  </si>
  <si>
    <t>https://drive.google.com/file/d/18g3AajASqf7cR2e-lqvr5aPdVMk0cVMe/view?usp=drivesdk</t>
  </si>
  <si>
    <t>31/4/1382</t>
  </si>
  <si>
    <t>130.pdf</t>
  </si>
  <si>
    <t>https://drive.google.com/file/d/1CjW1oOFABajJwAqm-oMB_p0xgwkIEKdj/view?usp=drivesdk</t>
  </si>
  <si>
    <t>7/5/1382</t>
  </si>
  <si>
    <t>131.pdf</t>
  </si>
  <si>
    <t>https://drive.google.com/file/d/1D4oDQSizbF6KXhON_dofJ3s-SWwTakqn/view?usp=drivesdk</t>
  </si>
  <si>
    <t>14/5/1382</t>
  </si>
  <si>
    <t>https://drive.google.com/file/d/1AeM-OKYFH11yX59pRimnkm2NPg32o9aP/view?usp=drivesdk</t>
  </si>
  <si>
    <t>21/5/1382</t>
  </si>
  <si>
    <t>133.pdf</t>
  </si>
  <si>
    <t>https://drive.google.com/file/d/1xPwoDvI9ouokfoGz4SzeXM38gZ9ce0K0/view?usp=drivesdk</t>
  </si>
  <si>
    <t>28/5/1382</t>
  </si>
  <si>
    <t>134.pdf</t>
  </si>
  <si>
    <t>https://drive.google.com/file/d/1HR6vSZBXKLMY0bRyIjcNZKrUym76Mcpz/view?usp=drivesdk</t>
  </si>
  <si>
    <t>4/6/1382</t>
  </si>
  <si>
    <t>https://drive.google.com/file/d/12yQ-MSj4puz-mQCt3ViuAsPq2znAUSUr/view?usp=drivesdk</t>
  </si>
  <si>
    <t>11/6/1382</t>
  </si>
  <si>
    <t>https://drive.google.com/file/d/1eyNf2SRJp68jRik2uBhVj2xk-TehEtMa/view?usp=drivesdk</t>
  </si>
  <si>
    <t>18/6/1382</t>
  </si>
  <si>
    <t>137.pdf</t>
  </si>
  <si>
    <t>https://drive.google.com/file/d/1uMu3p9ChWVTdHqScGnsVb4e-88FfERIf/view?usp=drivesdk</t>
  </si>
  <si>
    <t>25/6/1382</t>
  </si>
  <si>
    <t>138.pdf</t>
  </si>
  <si>
    <t>https://drive.google.com/file/d/19MiCUCqKxxXNTpVGLwWRiJgMt1KEV7xZ/view?usp=drivesdk</t>
  </si>
  <si>
    <t>27/6/1382</t>
  </si>
  <si>
    <t>139.pdf</t>
  </si>
  <si>
    <t>https://drive.google.com/file/d/1cPLHwpgK56xWxXbx69Kt8y-3g1alqz6R/view?usp=drivesdk</t>
  </si>
  <si>
    <t>29/6/1382</t>
  </si>
  <si>
    <t>https://drive.google.com/file/d/1SaYuHVnC5lByxzqd4uJBoPLEisGptjd7/view?usp=drivesdk</t>
  </si>
  <si>
    <t>1/7/1382</t>
  </si>
  <si>
    <t>141.pdf</t>
  </si>
  <si>
    <t>https://drive.google.com/file/d/1myBXoX_dGcce2DMw5QOPOVKvcOCEfIuk/view?usp=drivesdk</t>
  </si>
  <si>
    <t>5/7/1382</t>
  </si>
  <si>
    <t>142.pdf</t>
  </si>
  <si>
    <t>https://drive.google.com/file/d/1WSYWDpHDMTzKPcwbt1-zcksPuwkcvRtH/view?usp=drivesdk</t>
  </si>
  <si>
    <t>8/7/1382</t>
  </si>
  <si>
    <t>https://drive.google.com/file/d/1a3XdHAcIFhygicnW3E8D2VECMkiSPOY4/view?usp=drivesdk</t>
  </si>
  <si>
    <t>12/7/1382</t>
  </si>
  <si>
    <t>https://drive.google.com/file/d/1wGod-5Sk7m1xa0dmVjNH7DpLtq0MQtRZ/view?usp=drivesdk</t>
  </si>
  <si>
    <t>https://drive.google.com/file/d/1AMuvvIw_h4_OqTFVjCSCx60JLeyfVF2_/view?usp=drivesdk</t>
  </si>
  <si>
    <t>19/7/1382</t>
  </si>
  <si>
    <t>https://drive.google.com/file/d/1y7Xpdbht9vnj2ZxyBQENrNCv-dGXELMr/view?usp=drivesdk</t>
  </si>
  <si>
    <t>22/7/1382</t>
  </si>
  <si>
    <t>https://drive.google.com/file/d/1y2xm-OOPgPFl0RkuJ8tU8SRal9XnxnMi/view?usp=drivesdk</t>
  </si>
  <si>
    <t>26/7/1382</t>
  </si>
  <si>
    <t>https://drive.google.com/file/d/1_JjnS_4DpkogBJqh1YNDPSDn8Bkm6XHf/view?usp=drivesdk</t>
  </si>
  <si>
    <t>29/7/1382</t>
  </si>
  <si>
    <t>https://drive.google.com/file/d/1Q_fsOvx3TSzAQ8DtKZowzXR1qhV4m9wJ/view?usp=drivesdk</t>
  </si>
  <si>
    <t>3/8/1382</t>
  </si>
  <si>
    <t>https://drive.google.com/file/d/1mx-BAiEyy6iQn8wby8i5uW56AIEwTGYs/view?usp=drivesdk</t>
  </si>
  <si>
    <t>10/8/1382</t>
  </si>
  <si>
    <t>https://drive.google.com/file/d/1PDiToEkFkb-rumfJiR-1cllSS7Ir6j6y/view?usp=drivesdk</t>
  </si>
  <si>
    <t>13/8/1382</t>
  </si>
  <si>
    <t>152.pdf</t>
  </si>
  <si>
    <t>https://drive.google.com/file/d/1D4qz8J_uEzUKSefqkrigOVBLF2EPL8_F/view?usp=drivesdk</t>
  </si>
  <si>
    <t>17/8/1382</t>
  </si>
  <si>
    <t>https://drive.google.com/file/d/1Ofp-24-7bZ2YnstPdA1P4ERfWDv8Or92/view?usp=drivesdk</t>
  </si>
  <si>
    <t>20/8/1382</t>
  </si>
  <si>
    <t>https://drive.google.com/file/d/12FkzcsnvoWu5Nyc_RljJ5exiq73eippo/view?usp=drivesdk</t>
  </si>
  <si>
    <t>24/8/1382</t>
  </si>
  <si>
    <t>https://drive.google.com/file/d/1SnfzcKjV02nLSuMe5a8_tVH37NdSrmhV/view?usp=drivesdk</t>
  </si>
  <si>
    <t>1/9/1382</t>
  </si>
  <si>
    <t>https://drive.google.com/file/d/1aITdivN8bq2OhZeO6KIH1TNpPkDq9zPz/view?usp=drivesdk</t>
  </si>
  <si>
    <t>4/9/1382</t>
  </si>
  <si>
    <t>https://drive.google.com/file/d/12AmcUpYLUdDOn5V9481X9b8ePR3gpekr/view?usp=drivesdk</t>
  </si>
  <si>
    <t>8/9/1382</t>
  </si>
  <si>
    <t>https://drive.google.com/file/d/1RvgArQ7cWZsFnxzaX5FWip34oIbNJc7V/view?usp=drivesdk</t>
  </si>
  <si>
    <t>11/9/1382</t>
  </si>
  <si>
    <t>https://drive.google.com/file/d/1op0spXw8HhtVC3-sof1LbSAG--FOb5Qr/view?usp=drivesdk</t>
  </si>
  <si>
    <t>15/9/1382</t>
  </si>
  <si>
    <t>https://drive.google.com/file/d/1gqi8I_cQVWLFRBP5qRyodv_JYXZKJ1o2/view?usp=drivesdk</t>
  </si>
  <si>
    <t>18/9/1382</t>
  </si>
  <si>
    <t>161.pdf</t>
  </si>
  <si>
    <t>https://drive.google.com/file/d/168hJLJ1dyib1iww5FCSHENtTJLWAZl-g/view?usp=drivesdk</t>
  </si>
  <si>
    <t>22/9/1382</t>
  </si>
  <si>
    <t>https://drive.google.com/file/d/1UbMgq4DeDipNZI0J_bzhRyNBmbbzeMVg/view?usp=drivesdk</t>
  </si>
  <si>
    <t>25/9/1382</t>
  </si>
  <si>
    <t>https://drive.google.com/file/d/1qx0xh-QwuKtydvOv70rOVFkK6SIIouA8/view?usp=drivesdk</t>
  </si>
  <si>
    <t>2/10/1382</t>
  </si>
  <si>
    <t>https://drive.google.com/file/d/1X_4MbXUM2OL0KbVLsKLjYee5nB6B7L_s/view?usp=drivesdk</t>
  </si>
  <si>
    <t>6/10/1382</t>
  </si>
  <si>
    <t>https://drive.google.com/file/d/1G2dCPJdw3zhKbtrn0xgkSouZElDz_Fpo/view?usp=drivesdk</t>
  </si>
  <si>
    <t>9/10/1382</t>
  </si>
  <si>
    <t>https://drive.google.com/file/d/1CFk-rNTkFLT2d19zEmpvnXGbkUi-zYPU/view?usp=drivesdk</t>
  </si>
  <si>
    <t>11/11/1382</t>
  </si>
  <si>
    <t>https://drive.google.com/file/d/1x_vD8IZyB0T4LdKIS2Pll0IK8LSMh6bE/view?usp=drivesdk</t>
  </si>
  <si>
    <t>14/11/1382</t>
  </si>
  <si>
    <t>https://drive.google.com/file/d/1KiOLONcvCuDN0AjdSu1Wt7ivujPSkx7L/view?usp=drivesdk</t>
  </si>
  <si>
    <t>18/11/1382</t>
  </si>
  <si>
    <t>https://drive.google.com/file/d/1sD171Mal-E6WsamSQI_xTt-M6h7siPC7/view?usp=drivesdk</t>
  </si>
  <si>
    <t>25/11/1382</t>
  </si>
  <si>
    <t>https://drive.google.com/file/d/1wGrTwYOrZWOmPoU2kmufyWi3gfkdLwZR/view?usp=drivesdk</t>
  </si>
  <si>
    <t>28/11/1382</t>
  </si>
  <si>
    <t>https://drive.google.com/file/d/1TEZB6XYbNEDI6ybGYoQayvTdG6IBaM66/view?usp=drivesdk</t>
  </si>
  <si>
    <t>2/12/1382</t>
  </si>
  <si>
    <t>https://drive.google.com/file/d/1G_5gaRcW0uM6-T2WmBDTyrNaVZ53LQC7/view?usp=drivesdk</t>
  </si>
  <si>
    <t>5/12/1382</t>
  </si>
  <si>
    <t>173.pdf</t>
  </si>
  <si>
    <t>https://drive.google.com/file/d/1wDYDFWMmujLvp6gFDM4j-hvBAH98OLh7/view?usp=drivesdk</t>
  </si>
  <si>
    <t>9/12/1382</t>
  </si>
  <si>
    <t>https://drive.google.com/file/d/1HlggGxe8McjgJkqVr9gqzR06anpr0Hby/view?usp=drivesdk</t>
  </si>
  <si>
    <t>16/12/1382</t>
  </si>
  <si>
    <t>https://drive.google.com/file/d/1LhQAtypgGNF3_CduVBrGI0_IAvdWkbhp/view?usp=drivesdk</t>
  </si>
  <si>
    <t>19/12/1382</t>
  </si>
  <si>
    <t>https://drive.google.com/file/d/1zApOEFm5oULNAUEhgEMQZI79jZq5ZpY9/view?usp=drivesdk</t>
  </si>
  <si>
    <t>23/12/1382</t>
  </si>
  <si>
    <t>https://drive.google.com/file/d/1N0dd_4bdM1qSt0KUND1mLdgZPvmcg35N/view?usp=drivesdk</t>
  </si>
  <si>
    <t>18/1/1383</t>
  </si>
  <si>
    <t>https://drive.google.com/file/d/1kRiUfIBSp39k9H_2qT0RfT15SOzcG5v8/view?usp=drivesdk</t>
  </si>
  <si>
    <t>22/1/1383</t>
  </si>
  <si>
    <t>https://drive.google.com/file/d/1u3lEZp4Yi1o7RnsgvE7AyDI-wS0n6MsQ/view?usp=drivesdk</t>
  </si>
  <si>
    <t>25/1/1383</t>
  </si>
  <si>
    <t>https://drive.google.com/file/d/1f-9nca9p50ZzdOoh7kdo04Y3VW_2t_63/view?usp=drivesdk</t>
  </si>
  <si>
    <t>29/1/1383</t>
  </si>
  <si>
    <t>https://drive.google.com/file/d/1HymNdDpx3aed_5VMJeHuk7zTSwmjit90/view?usp=drivesdk</t>
  </si>
  <si>
    <t>5/2/1383</t>
  </si>
  <si>
    <t>https://drive.google.com/file/d/1dNkR9lVotpj0M2s0XdIStx8s-FOJmpdU/view?usp=drivesdk</t>
  </si>
  <si>
    <t>8/2/1383</t>
  </si>
  <si>
    <t>https://drive.google.com/file/d/1SXp6xhUOn3vmp3bP4lJunggxrpHgI6b7/view?usp=drivesdk</t>
  </si>
  <si>
    <t>12/2/1383</t>
  </si>
  <si>
    <t>https://drive.google.com/file/d/1_XBJ8jI1pcwgGwDfyIlw0H_SrnX-5Qey/view?usp=drivesdk</t>
  </si>
  <si>
    <t>https://drive.google.com/file/d/1in5GtTcqJ3Dn5oN9uYv_vtO5_9VP4SbC/view?usp=drivesdk</t>
  </si>
  <si>
    <t>19/2/1383</t>
  </si>
  <si>
    <t>https://drive.google.com/file/d/14sGqzmfsZtiCfhMGtKGmi2dlwmgRAT4g/view?usp=drivesdk</t>
  </si>
  <si>
    <t>22/2/1383</t>
  </si>
  <si>
    <t>https://drive.google.com/file/d/110wr_GR396aDS7QXMDmqP812r_5qPdHP/view?usp=drivesdk</t>
  </si>
  <si>
    <t>26/2/1383</t>
  </si>
  <si>
    <t>https://drive.google.com/file/d/10gLlEfZjmlrqJOBPXXESv7Dq7UuzXpNW/view?usp=drivesdk</t>
  </si>
  <si>
    <t>29/2/1383</t>
  </si>
  <si>
    <t>https://drive.google.com/file/d/13umQDqqzUIEYDqv1d4SJJHFaBuzylHIL/view?usp=drivesdk</t>
  </si>
  <si>
    <t>2/3/1383</t>
  </si>
  <si>
    <t>https://drive.google.com/file/d/10uedJjWA058PDMNl40vYEKgYbEP2e6sD/view?usp=drivesdk</t>
  </si>
  <si>
    <t>5/3/1383</t>
  </si>
  <si>
    <t>https://drive.google.com/file/d/1WbPD12LF5m_OZ9Vj9aoU9F013qbsBHQ5/view?usp=drivesdk</t>
  </si>
  <si>
    <t>9/3/1383</t>
  </si>
  <si>
    <t>https://drive.google.com/file/d/1L90I60OJekSa4clNQc3SZyNGFLdPnMGg/view?usp=drivesdk</t>
  </si>
  <si>
    <t>محمدهادی مظاهری</t>
  </si>
  <si>
    <t>مهدی قاسمی، ایمان جلیلی، هما کبیری</t>
  </si>
  <si>
    <t>23/4/1383</t>
  </si>
  <si>
    <t>https://drive.google.com/file/d/1O8TXTuMQierBacbhuqC0dmSaDU5-Jdd6/view?usp=drivesdk</t>
  </si>
  <si>
    <t>30/4/1383</t>
  </si>
  <si>
    <t>https://drive.google.com/file/d/1_BtTxVThXWUKuW3f1345nqjyR17Od-o1/view?usp=drivesdk</t>
  </si>
  <si>
    <t>6/5/1383</t>
  </si>
  <si>
    <t>https://drive.google.com/file/d/1NXUaZVUbJcJ0q1ZICioA1CZu_q3pyI41/view?usp=drivesdk</t>
  </si>
  <si>
    <t>13/5/1383</t>
  </si>
  <si>
    <t>https://drive.google.com/file/d/1vRdYxXfiI0PzjagW42BGmSpadYN-NvCF/view?usp=drivesdk</t>
  </si>
  <si>
    <t>20/5/1383</t>
  </si>
  <si>
    <t>https://drive.google.com/file/d/1I-M9l1-LeNe0uyNVoKzWjTr3okMGoj5s/view?usp=drivesdk</t>
  </si>
  <si>
    <t>27/5/1383</t>
  </si>
  <si>
    <t>https://drive.google.com/file/d/1ac8RS66M-qXioGJlkk9vmu7NLfBbLmL9/view?usp=drivesdk</t>
  </si>
  <si>
    <t>3/6/1383</t>
  </si>
  <si>
    <t>https://drive.google.com/file/d/17cXznlOrjH9rMs1KwA_sysfkDS6C9lKZ/view?usp=drivesdk</t>
  </si>
  <si>
    <t>10/6/1383</t>
  </si>
  <si>
    <t>https://drive.google.com/file/d/1s8SoQoRypUQchQ1O7hpfBj_B0l9af6fz/view?usp=drivesdk</t>
  </si>
  <si>
    <t>17/6/1383</t>
  </si>
  <si>
    <t>https://drive.google.com/file/d/1-6rl-4q4FQewdgX4uEyTT4w17zaHUHWI/view?usp=drivesdk</t>
  </si>
  <si>
    <t>24/6/1383</t>
  </si>
  <si>
    <t>https://drive.google.com/file/d/1pazF1B118gFEGwBX3A8JQYL33XJLn25c/view?usp=drivesdk</t>
  </si>
  <si>
    <t>31/6/1383</t>
  </si>
  <si>
    <t>https://drive.google.com/file/d/1QX75Huk12rPwF0smYIU2avXL5tBcAfI8/view?usp=drivesdk</t>
  </si>
  <si>
    <t>4/7/1383</t>
  </si>
  <si>
    <t>https://drive.google.com/file/d/1ayKwFEJ4JaGoVIQODDwK_88cH1yedfZs/view?usp=drivesdk</t>
  </si>
  <si>
    <t>7/7/1383</t>
  </si>
  <si>
    <t>https://drive.google.com/file/d/1nDoUGSWnPle_wpMItchwTURjvZwoYkZp/view?usp=drivesdk</t>
  </si>
  <si>
    <t>11/7/1383</t>
  </si>
  <si>
    <t>https://drive.google.com/file/d/1qUeanwTRphwo0NsT51hVukPRwkzESeyS/view?usp=drivesdk</t>
  </si>
  <si>
    <t>14/7/1383</t>
  </si>
  <si>
    <t>https://drive.google.com/file/d/1jSksCM-Vv4w22_xJ0vNBjIWoQtjqMh3G/view?usp=drivesdk</t>
  </si>
  <si>
    <t>18/7/1383</t>
  </si>
  <si>
    <t>https://drive.google.com/file/d/171toMQcCTOhCegwU5d8Pbm20197T6uiZ/view?usp=drivesdk</t>
  </si>
  <si>
    <t>21/7/1383</t>
  </si>
  <si>
    <t>https://drive.google.com/file/d/1snqG1XopzNKAdG_lSXlO3WiAh5zqn-hK/view?usp=drivesdk</t>
  </si>
  <si>
    <t>25/7/1383</t>
  </si>
  <si>
    <t>210.pdf</t>
  </si>
  <si>
    <t>https://drive.google.com/file/d/1TWhG9I3gcbUpdshOVbHmb2jANqc5xoAb/view?usp=drivesdk</t>
  </si>
  <si>
    <t>28/7/1383</t>
  </si>
  <si>
    <t>211.pdf</t>
  </si>
  <si>
    <t>https://drive.google.com/file/d/1Pp3Xx2ZUpRPCnsyySRWdyIOOaMZQBHvB/view?usp=drivesdk</t>
  </si>
  <si>
    <t>2/8/1383</t>
  </si>
  <si>
    <t>212.pdf</t>
  </si>
  <si>
    <t>https://drive.google.com/file/d/15nWltkGdVJQrRC2_SvWwGEiP-a17OT6Q/view?usp=drivesdk</t>
  </si>
  <si>
    <t>5/8/1383</t>
  </si>
  <si>
    <t>213.pdf</t>
  </si>
  <si>
    <t>https://drive.google.com/file/d/1X6vCSkxVjL8DCqif4htmYRgK6k7JyepT/view?usp=drivesdk</t>
  </si>
  <si>
    <t>9/8/1383</t>
  </si>
  <si>
    <t>214.pdf</t>
  </si>
  <si>
    <t>https://drive.google.com/file/d/1d_HEdwjjUwkmB2KGyWDxshnG30TzIiFB/view?usp=drivesdk</t>
  </si>
  <si>
    <t>12/8/1383</t>
  </si>
  <si>
    <t>215.pdf</t>
  </si>
  <si>
    <t>https://drive.google.com/file/d/15Egv42h-6QO8De2LlKJb6A8Ic6i2fBmW/view?usp=drivesdk</t>
  </si>
  <si>
    <t>16/8/1383</t>
  </si>
  <si>
    <t>216.pdf</t>
  </si>
  <si>
    <t>https://drive.google.com/file/d/1Lx_OjR8WqkCh32ayklS86NJ99AsrQIg1/view?usp=drivesdk</t>
  </si>
  <si>
    <t>19/8/1383</t>
  </si>
  <si>
    <t>217.pdf</t>
  </si>
  <si>
    <t>https://drive.google.com/file/d/15ObHHstwAccnQMKviNRFTIRFRTaqMb9y/view?usp=drivesdk</t>
  </si>
  <si>
    <t>23/8/1383</t>
  </si>
  <si>
    <t>218.pdf</t>
  </si>
  <si>
    <t>https://drive.google.com/file/d/1A1wDazTUMy9B5TrQfJqaZDvqpr5s5dHn/view?usp=drivesdk</t>
  </si>
  <si>
    <t>30/8/1383</t>
  </si>
  <si>
    <t>219.pdf</t>
  </si>
  <si>
    <t>https://drive.google.com/file/d/1VGYbCgk_aCg_SfC9Q_wTUy1k5WCGO18H/view?usp=drivesdk</t>
  </si>
  <si>
    <t>7/9/1383</t>
  </si>
  <si>
    <t>220.pdf</t>
  </si>
  <si>
    <t>https://drive.google.com/file/d/1az87ixaZY9SgvZMeQYzVZl_k74kHruKq/view?usp=drivesdk</t>
  </si>
  <si>
    <t>221.pdf</t>
  </si>
  <si>
    <t>https://drive.google.com/file/d/1PjV88C-khTaMhXaJw6M64jr7_WZZT9Uv/view?usp=drivesdk</t>
  </si>
  <si>
    <t>10/9/1383</t>
  </si>
  <si>
    <t>222.pdf</t>
  </si>
  <si>
    <t>https://drive.google.com/file/d/1J1rY3W_X44c-gD-lXecRgpJzEp1PFdIc/view?usp=drivesdk</t>
  </si>
  <si>
    <t>14/9/1383</t>
  </si>
  <si>
    <t>223.pdf</t>
  </si>
  <si>
    <t>https://drive.google.com/file/d/1VjVr-AOfmd9h2qkQa3-qGuzH94Az8eGo/view?usp=drivesdk</t>
  </si>
  <si>
    <t>17/9/1383</t>
  </si>
  <si>
    <t>224.pdf</t>
  </si>
  <si>
    <t>https://drive.google.com/file/d/1joKskiKzmqJjkHU8Mq74TCNOiLBqq-1r/view?usp=drivesdk</t>
  </si>
  <si>
    <t>21/9/1383</t>
  </si>
  <si>
    <t>225.pdf</t>
  </si>
  <si>
    <t>https://drive.google.com/file/d/1sXsrMur_EmU2Tny6F9AREzwkcK_zItVM/view?usp=drivesdk</t>
  </si>
  <si>
    <t>24/9/1383</t>
  </si>
  <si>
    <t>226.pdf</t>
  </si>
  <si>
    <t>https://drive.google.com/file/d/1fAt9aFr_dG5pFP9z3V0d_IVWQHlra0KO/view?usp=drivesdk</t>
  </si>
  <si>
    <t>28/9/1383</t>
  </si>
  <si>
    <t>227.pdf</t>
  </si>
  <si>
    <t>https://drive.google.com/file/d/1-kovRoGKvupRBHBKzeBL6H-7Lhw4sYUf/view?usp=drivesdk</t>
  </si>
  <si>
    <t>1/10/1383</t>
  </si>
  <si>
    <t>228.pdf</t>
  </si>
  <si>
    <t>https://drive.google.com/file/d/1PTHMnPw2TfcxvSbu0C-bzcIM2tjCmjFQ/view?usp=drivesdk</t>
  </si>
  <si>
    <t>5/10/1383</t>
  </si>
  <si>
    <t>229.pdf</t>
  </si>
  <si>
    <t>https://drive.google.com/file/d/1KioC7LHJRpnHKfbfFtdp0WYzfL8y7461/view?usp=drivesdk</t>
  </si>
  <si>
    <t>8/10/1383</t>
  </si>
  <si>
    <t>230.pdf</t>
  </si>
  <si>
    <t>https://drive.google.com/file/d/1IYcFgmeGvihLlqBHyaB4lokWi3Iytlsz/view?usp=drivesdk</t>
  </si>
  <si>
    <t>12/10/1383</t>
  </si>
  <si>
    <t>231.pdf</t>
  </si>
  <si>
    <t>https://drive.google.com/file/d/1JhSVOlluJrtwDc7p5HNa5rCf6jeygXgc/view?usp=drivesdk</t>
  </si>
  <si>
    <t>13/11/1383</t>
  </si>
  <si>
    <t>232.pdf</t>
  </si>
  <si>
    <t>https://drive.google.com/file/d/1N-ErnIYTnY0CJLNKjCB5M8fY9ylY8YZ6/view?usp=drivesdk</t>
  </si>
  <si>
    <t>17/11/1383</t>
  </si>
  <si>
    <t>233.pdf</t>
  </si>
  <si>
    <t>https://drive.google.com/file/d/1KpCYD3ERP6ymw3-DvdmmYURH29Mi8PIo/view?usp=drivesdk</t>
  </si>
  <si>
    <t>20/11/1383</t>
  </si>
  <si>
    <t>234.pdf</t>
  </si>
  <si>
    <t>https://drive.google.com/file/d/10SEdKyR1NSvOPJPPexZKj2r3fb0QKQWf/view?usp=drivesdk</t>
  </si>
  <si>
    <t>24/11/1383</t>
  </si>
  <si>
    <t>235.pdf</t>
  </si>
  <si>
    <t>https://drive.google.com/file/d/1WhjCWLwHqrMfqNnzFmNyeWduSPxV11XV/view?usp=drivesdk</t>
  </si>
  <si>
    <t>27/11/1383</t>
  </si>
  <si>
    <t>236.pdf</t>
  </si>
  <si>
    <t>https://drive.google.com/file/d/1iQNOiR2lIRT4LP0OWGzdc_X_PDtAR0wp/view?usp=drivesdk</t>
  </si>
  <si>
    <t>4/12/1383</t>
  </si>
  <si>
    <t>237.pdf</t>
  </si>
  <si>
    <t>https://drive.google.com/file/d/1Oegaet8j1FIzHqC_wD5NWE9NVf7_mA--/view?usp=drivesdk</t>
  </si>
  <si>
    <t>8/12/1383</t>
  </si>
  <si>
    <t>238.pdf</t>
  </si>
  <si>
    <t>https://drive.google.com/file/d/1eS9fTWrq2QWJFHEml-6bJAeneUE2VZQL/view?usp=drivesdk</t>
  </si>
  <si>
    <t>11/12/1383</t>
  </si>
  <si>
    <t>239.pdf</t>
  </si>
  <si>
    <t>https://drive.google.com/file/d/1EGCuhvtrVlRE7nPqRaGhLYlwVAzC9hrz/view?usp=drivesdk</t>
  </si>
  <si>
    <t>15/12/1383</t>
  </si>
  <si>
    <t>240.pdf</t>
  </si>
  <si>
    <t>https://drive.google.com/file/d/1DmmWekA95adUVmrPkkbQlJKBRGErBVP8/view?usp=drivesdk</t>
  </si>
  <si>
    <t>18/12/1383</t>
  </si>
  <si>
    <t>241.pdf</t>
  </si>
  <si>
    <t>https://drive.google.com/file/d/16mfoD-3GCPSiN1xCadt0hd-JYz2zriqE/view?usp=drivesdk</t>
  </si>
  <si>
    <t>22/12/1383</t>
  </si>
  <si>
    <t>242.pdf</t>
  </si>
  <si>
    <t>https://drive.google.com/file/d/1JDAWSBFf1Y8_GEr3nt_n6vrOQOl8z6YE/view?usp=drivesdk</t>
  </si>
  <si>
    <t>16/1/1384</t>
  </si>
  <si>
    <t>243.pdf</t>
  </si>
  <si>
    <t>https://drive.google.com/file/d/1MxWW96Kc5jlhURL4tv9fO78qmyzMhzff/view?usp=drivesdk</t>
  </si>
  <si>
    <t>23/1/1384</t>
  </si>
  <si>
    <t>244.pdf</t>
  </si>
  <si>
    <t>https://drive.google.com/file/d/1B8quFljTrDYtB7dt96qYook8nYR9vlBP/view?usp=drivesdk</t>
  </si>
  <si>
    <t>27/1/1384</t>
  </si>
  <si>
    <t>245.pdf</t>
  </si>
  <si>
    <t>https://drive.google.com/file/d/1j9ieoDvXe0mQpudA_wGTsJmo3ljjkw2Q/view?usp=drivesdk</t>
  </si>
  <si>
    <t>30/1/1384</t>
  </si>
  <si>
    <t>246.pdf</t>
  </si>
  <si>
    <t>https://drive.google.com/file/d/1SfKBm60wHRWs6Hdlockn9dpp2WDFh3jf/view?usp=drivesdk</t>
  </si>
  <si>
    <t>3/2/1384</t>
  </si>
  <si>
    <t>247.pdf</t>
  </si>
  <si>
    <t>https://drive.google.com/file/d/1CZipdKSa49HYbWlip_M92VB-yLqnNhcL/view?usp=drivesdk</t>
  </si>
  <si>
    <t>10/2/1384</t>
  </si>
  <si>
    <t>248.pdf</t>
  </si>
  <si>
    <t>https://drive.google.com/file/d/1Oba9bWL4ZMXJIZZSlppBTBv6Cjg9Su09/view?usp=drivesdk</t>
  </si>
  <si>
    <t>13/2/1384</t>
  </si>
  <si>
    <t>249.pdf</t>
  </si>
  <si>
    <t>https://drive.google.com/file/d/1lNEalKv2m81248oVZgyuNDeZo4TM1QgR/view?usp=drivesdk</t>
  </si>
  <si>
    <t>17/2/1384</t>
  </si>
  <si>
    <t>250.pdf</t>
  </si>
  <si>
    <t>https://drive.google.com/file/d/1GKFiC5OvO7q12yQluq2L8Lla3iAUa34X/view?usp=drivesdk</t>
  </si>
  <si>
    <t>20/2/1384</t>
  </si>
  <si>
    <t>251.pdf</t>
  </si>
  <si>
    <t>https://drive.google.com/file/d/1293PNsPf52mhwygzvrjGKcROeD5w1as3/view?usp=drivesdk</t>
  </si>
  <si>
    <t>24/2/1384</t>
  </si>
  <si>
    <t>252.pdf</t>
  </si>
  <si>
    <t>https://drive.google.com/file/d/1MK-ralDnM6SUJbJsj_7ZeJoVt9omhxnG/view?usp=drivesdk</t>
  </si>
  <si>
    <t>27/2/1384</t>
  </si>
  <si>
    <t>253.pdf</t>
  </si>
  <si>
    <t>https://drive.google.com/file/d/1pIkYq4qiiM4ikbuNos-U6aTW4b4lvK9G/view?usp=drivesdk</t>
  </si>
  <si>
    <t>31/2/1384</t>
  </si>
  <si>
    <t>254.pdf</t>
  </si>
  <si>
    <t>https://drive.google.com/file/d/1T1TLlN9lxP0koMqcBQPhS62yWBAG1n6q/view?usp=drivesdk</t>
  </si>
  <si>
    <t>3/3/1384</t>
  </si>
  <si>
    <t>255.pdf</t>
  </si>
  <si>
    <t>https://drive.google.com/file/d/1OP3yMpsZTwKbf-Y8WXP-5yZandCGu_wN/view?usp=drivesdk</t>
  </si>
  <si>
    <t>7/3/1384</t>
  </si>
  <si>
    <t>256.pdf</t>
  </si>
  <si>
    <t>https://drive.google.com/file/d/135_tiAbszvFuLSRxD9z28mZN-EGoOGrH/view?usp=drivesdk</t>
  </si>
  <si>
    <t>10/3/1384</t>
  </si>
  <si>
    <t>257.pdf</t>
  </si>
  <si>
    <t>https://drive.google.com/file/d/1_7PDl4xdZ_nLd4riSeA_1Tc6p454KRW6/view?usp=drivesdk</t>
  </si>
  <si>
    <t>سید احسان عمادی</t>
  </si>
  <si>
    <t>21/4/1384</t>
  </si>
  <si>
    <t>258.pdf</t>
  </si>
  <si>
    <t>https://drive.google.com/file/d/1m7_ZGmOl6bLZwbHPwH1pB5hvqVJ0lfvY/view?usp=drivesdk</t>
  </si>
  <si>
    <t>28/4/1384</t>
  </si>
  <si>
    <t>259.pdf</t>
  </si>
  <si>
    <t>https://drive.google.com/file/d/1ryuFpV3KtQInrMgtcYGFDlcKS0IUmrCv/view?usp=drivesdk</t>
  </si>
  <si>
    <t>4/5/1384</t>
  </si>
  <si>
    <t>260.pdf</t>
  </si>
  <si>
    <t>https://drive.google.com/file/d/1KhVNldttWWHeW0FMr24HViIHJcjxNtnU/view?usp=drivesdk</t>
  </si>
  <si>
    <t>11/5/1384</t>
  </si>
  <si>
    <t>261.pdf</t>
  </si>
  <si>
    <t>https://drive.google.com/file/d/1YsFjkN0idVsYK5vEAYu7yRAM9h5r_lgd/view?usp=drivesdk</t>
  </si>
  <si>
    <t>18/5/1384</t>
  </si>
  <si>
    <t>262.pdf</t>
  </si>
  <si>
    <t>https://drive.google.com/file/d/1zeoQUD9WrNwfCCMSc6LbxZ8w0ThtPr9n/view?usp=drivesdk</t>
  </si>
  <si>
    <t>25/5/1384</t>
  </si>
  <si>
    <t>263.pdf</t>
  </si>
  <si>
    <t>https://drive.google.com/file/d/11KSyZEmBvkr1IujB2rtIJP9QHXNa-bo9/view?usp=drivesdk</t>
  </si>
  <si>
    <t>1/6/1384</t>
  </si>
  <si>
    <t>264.pdf</t>
  </si>
  <si>
    <t>https://drive.google.com/file/d/1FeBSMU6ovrfWbW83zR9qMRAOChgYvkip/view?usp=drivesdk</t>
  </si>
  <si>
    <t>8/6/1384</t>
  </si>
  <si>
    <t>265.pdf</t>
  </si>
  <si>
    <t>https://drive.google.com/file/d/1oA2dk7Ln0L7Bq8naQPJ273veTwnGK1n1/view?usp=drivesdk</t>
  </si>
  <si>
    <t>266.pdf</t>
  </si>
  <si>
    <t>https://drive.google.com/file/d/1LtSxMmvV2ZQ7lUhNvY46XCe8lqJ4cWhK/view?usp=drivesdk</t>
  </si>
  <si>
    <t>22/6/1384</t>
  </si>
  <si>
    <t>267.pdf</t>
  </si>
  <si>
    <t>https://drive.google.com/file/d/1X7F7Ul4QloFJ52QDex9Ol2ItfDZLxhJR/view?usp=drivesdk</t>
  </si>
  <si>
    <t>26/6/1384</t>
  </si>
  <si>
    <t>268.pdf</t>
  </si>
  <si>
    <t>https://drive.google.com/file/d/1hFmHNzX6os12N86FsBmZgqHqcH-7HPaZ/view?usp=drivesdk</t>
  </si>
  <si>
    <t>2/7/1384</t>
  </si>
  <si>
    <t>269.pdf</t>
  </si>
  <si>
    <t>https://drive.google.com/file/d/1DTLnh5V71DocMdo0YqQbVYajSwlGjt2j/view?usp=drivesdk</t>
  </si>
  <si>
    <t>5/7/1384</t>
  </si>
  <si>
    <t>270.pdf</t>
  </si>
  <si>
    <t>https://drive.google.com/file/d/1WHegs3-l1hQc5tnlqzTzysxS1b6L65uu/view?usp=drivesdk</t>
  </si>
  <si>
    <t>9/7/1384</t>
  </si>
  <si>
    <t>271.pdf</t>
  </si>
  <si>
    <t>https://drive.google.com/file/d/1MZNmALR_R3MqsT1o5B3ncNcIH8g6ix0W/view?usp=drivesdk</t>
  </si>
  <si>
    <t>12/7/1384</t>
  </si>
  <si>
    <t>272.pdf</t>
  </si>
  <si>
    <t>https://drive.google.com/file/d/1GzBI69Ei4SW13KSwQ98RPIqaTBjbG-mc/view?usp=drivesdk</t>
  </si>
  <si>
    <t>16/7/1384</t>
  </si>
  <si>
    <t>273.pdf</t>
  </si>
  <si>
    <t>https://drive.google.com/file/d/1dLY4JVnWAxyU3NxD9zylQGiSc5F8K_6X/view?usp=drivesdk</t>
  </si>
  <si>
    <t>19/7/1384</t>
  </si>
  <si>
    <t>274.pdf</t>
  </si>
  <si>
    <t>https://drive.google.com/file/d/1kfZzV8DhxNt6Al3NIJZg1Y313VhxLy0e/view?usp=drivesdk</t>
  </si>
  <si>
    <t>23/7/1384</t>
  </si>
  <si>
    <t>275.pdf</t>
  </si>
  <si>
    <t>https://drive.google.com/file/d/1w5k7ifWdpmi_6oGIxLPymKBTXX4ox-fD/view?usp=drivesdk</t>
  </si>
  <si>
    <t>26/7/1384</t>
  </si>
  <si>
    <t>276.pdf</t>
  </si>
  <si>
    <t>https://drive.google.com/file/d/18VnhQbxfUwspNXIHXA7TQYd0hZ-t6o4F/view?usp=drivesdk</t>
  </si>
  <si>
    <t>30/7/1384</t>
  </si>
  <si>
    <t>277.pdf</t>
  </si>
  <si>
    <t>https://drive.google.com/file/d/11IYJ_p_fQRMS8BcOvipTk3Vh1aNkiBuQ/view?usp=drivesdk</t>
  </si>
  <si>
    <t>7/8/1384</t>
  </si>
  <si>
    <t>278.pdf</t>
  </si>
  <si>
    <t>https://drive.google.com/file/d/1dFJYg_bTIFNYd4UIoeNWi-uRDCENsWOI/view?usp=drivesdk</t>
  </si>
  <si>
    <t>10/8/1384</t>
  </si>
  <si>
    <t>279.pdf</t>
  </si>
  <si>
    <t>https://drive.google.com/file/d/14zRm9ulchWaHCzgYMV4_z8VPi_EwwXE1/view?usp=drivesdk</t>
  </si>
  <si>
    <t>14/8/1384</t>
  </si>
  <si>
    <t>280.pdf</t>
  </si>
  <si>
    <t>https://drive.google.com/file/d/1mUNj4WHd7FyIN_lbXxGVj2Nb18-a4no4/view?usp=drivesdk</t>
  </si>
  <si>
    <t>17/8/1384</t>
  </si>
  <si>
    <t>281.pdf</t>
  </si>
  <si>
    <t>https://drive.google.com/file/d/1EYBG7M1t3gTT4gjMyzswyzoJMXXosZbk/view?usp=drivesdk</t>
  </si>
  <si>
    <t>21/8/1384</t>
  </si>
  <si>
    <t>282.pdf</t>
  </si>
  <si>
    <t>https://drive.google.com/file/d/1AkPsfVXouhN6sMxO4s06KfZ_6Bph44DN/view?usp=drivesdk</t>
  </si>
  <si>
    <t>24/8/1384</t>
  </si>
  <si>
    <t>283.pdf</t>
  </si>
  <si>
    <t>https://drive.google.com/file/d/1pCi84W8EEn8AYnKqnbYbURa2a6OKQUt_/view?usp=drivesdk</t>
  </si>
  <si>
    <t>28/8/1384</t>
  </si>
  <si>
    <t>284.pdf</t>
  </si>
  <si>
    <t>https://drive.google.com/file/d/1QiFBjKAIQ_XowhPow2851_qIzLFAiIe-/view?usp=drivesdk</t>
  </si>
  <si>
    <t>1/9/1384</t>
  </si>
  <si>
    <t>285.pdf</t>
  </si>
  <si>
    <t>https://drive.google.com/file/d/1T-OeZOOhQedAkZxHy2PsJJRrRv8FAmVY/view?usp=drivesdk</t>
  </si>
  <si>
    <t>5/9/1384</t>
  </si>
  <si>
    <t>286.pdf</t>
  </si>
  <si>
    <t>https://drive.google.com/file/d/1QQGp6Nb_0RTGfUMuvbAa9IN3vsPrdjNA/view?usp=drivesdk</t>
  </si>
  <si>
    <t>8/9/1384</t>
  </si>
  <si>
    <t>287.pdf</t>
  </si>
  <si>
    <t>https://drive.google.com/file/d/1CpQ89dXCE5lp3Uu8l-UUDNuNp1PkZoZv/view?usp=drivesdk</t>
  </si>
  <si>
    <t>12/9/1384</t>
  </si>
  <si>
    <t>288.pdf</t>
  </si>
  <si>
    <t>https://drive.google.com/file/d/11xYOjTT5mT8SHAjwAjYWyMqlKMEHIjtP/view?usp=drivesdk</t>
  </si>
  <si>
    <t>289.pdf</t>
  </si>
  <si>
    <t>https://drive.google.com/file/d/1qbbs06LEHAvAZdycBKFvdd7pX2AoVP9V/view?usp=drivesdk</t>
  </si>
  <si>
    <t>22/9/1384</t>
  </si>
  <si>
    <t>290.pdf</t>
  </si>
  <si>
    <t>https://drive.google.com/file/d/1xp582SYcFpppcH4EsnPNNpIJptw5qHgQ/view?usp=drivesdk</t>
  </si>
  <si>
    <t>26/9/1384</t>
  </si>
  <si>
    <t>291.pdf</t>
  </si>
  <si>
    <t>https://drive.google.com/file/d/1GfS9khFvNWvs4VIpxMZ-NLXIagU49-4V/view?usp=drivesdk</t>
  </si>
  <si>
    <t>29/9/1384</t>
  </si>
  <si>
    <t>292.pdf</t>
  </si>
  <si>
    <t>https://drive.google.com/file/d/1BowidRlRCkMY6OKmH_JwTPrSSasAOiQx/view?usp=drivesdk</t>
  </si>
  <si>
    <t>293.pdf</t>
  </si>
  <si>
    <t>https://drive.google.com/file/d/1jbwlQE5c8bKni62Xk9QhpjD6jHtogJ2f/view?usp=drivesdk</t>
  </si>
  <si>
    <t>6/10/1384</t>
  </si>
  <si>
    <t>294.pdf</t>
  </si>
  <si>
    <t>https://drive.google.com/file/d/1geEFeTPL1SM6iidBWHjp42D7FbWkeaOG/view?usp=drivesdk</t>
  </si>
  <si>
    <t>15/11/1384</t>
  </si>
  <si>
    <t>295.pdf</t>
  </si>
  <si>
    <t>https://drive.google.com/file/d/16DyCJOd65Fa94ELDjfZ8ottRjAS_7sjG/view?usp=drivesdk</t>
  </si>
  <si>
    <t>296.pdf</t>
  </si>
  <si>
    <t>https://drive.google.com/file/d/1Pz7Hz8MLPJ5qBLQHx5H8jFvyqR2nX3WE/view?usp=drivesdk</t>
  </si>
  <si>
    <t>297.pdf</t>
  </si>
  <si>
    <t>https://drive.google.com/file/d/1lttM39qFxP_5iWOG1FU1Ab1wEt2uWOvP/view?usp=drivesdk</t>
  </si>
  <si>
    <t>29/11/1384</t>
  </si>
  <si>
    <t>298.pdf</t>
  </si>
  <si>
    <t>https://drive.google.com/file/d/1oRww_4bSgBFUKOxtLhi_RiDbuGqexyNl/view?usp=drivesdk</t>
  </si>
  <si>
    <t>2/12/1384</t>
  </si>
  <si>
    <t>299.pdf</t>
  </si>
  <si>
    <t>https://drive.google.com/file/d/1q3koaFgjiOSksAsuGF7oocEUtuXC23bc/view?usp=drivesdk</t>
  </si>
  <si>
    <t>6/12/1384</t>
  </si>
  <si>
    <t>300.pdf</t>
  </si>
  <si>
    <t>https://drive.google.com/file/d/1obZ2mY1XExNw5sManQ53deUIHdGwE5_S/view?usp=drivesdk</t>
  </si>
  <si>
    <t>9/12/1384</t>
  </si>
  <si>
    <t>301.pdf</t>
  </si>
  <si>
    <t>https://drive.google.com/file/d/1S0cFJZ9vNMyVUZxL7b4NZwKawCZl_I0P/view?usp=drivesdk</t>
  </si>
  <si>
    <t>13/12/1384</t>
  </si>
  <si>
    <t>302.pdf</t>
  </si>
  <si>
    <t>https://drive.google.com/file/d/1-MThw71pN-pLMlcDgSb-OZ1F7cq_oMpQ/view?usp=drivesdk</t>
  </si>
  <si>
    <t>16/12/1384</t>
  </si>
  <si>
    <t>303.pdf</t>
  </si>
  <si>
    <t>https://drive.google.com/file/d/1yS6iK-1UXzZCoxfgIdvD1ENeum114Uy4/view?usp=drivesdk</t>
  </si>
  <si>
    <t>20/12/1384</t>
  </si>
  <si>
    <t>304.pdf</t>
  </si>
  <si>
    <t>https://drive.google.com/file/d/12JRy89I-yjbMZJSl_vvFOZBMENq_1YTi/view?usp=drivesdk</t>
  </si>
  <si>
    <t>19/1/1385</t>
  </si>
  <si>
    <t>305.pdf</t>
  </si>
  <si>
    <t>https://drive.google.com/file/d/1FeULVpYnrPXpKxZ8IBGlU7oqP0nco349/view?usp=drivesdk</t>
  </si>
  <si>
    <t>22/1/1385</t>
  </si>
  <si>
    <t>306.pdf</t>
  </si>
  <si>
    <t>https://drive.google.com/file/d/1C9F2gClxCKOzGRCniZSu2q-8AZAVuKHD/view?usp=drivesdk</t>
  </si>
  <si>
    <t>26/1/1385</t>
  </si>
  <si>
    <t>307.pdf</t>
  </si>
  <si>
    <t>https://drive.google.com/file/d/1lM7rlkylnIwvQ7R7XgPrGiUGoUhgjiwP/view?usp=drivesdk</t>
  </si>
  <si>
    <t>308.pdf</t>
  </si>
  <si>
    <t>https://drive.google.com/file/d/1HtGpbkUKbiOH410U20rgqZlaxGvYUSaK/view?usp=drivesdk</t>
  </si>
  <si>
    <t>2/2/1385</t>
  </si>
  <si>
    <t>309.pdf</t>
  </si>
  <si>
    <t>https://drive.google.com/file/d/14kp1buMz39oQow7eIzCHsAr7GbJ79Rjy/view?usp=drivesdk</t>
  </si>
  <si>
    <t>5/2/1385</t>
  </si>
  <si>
    <t>310.pdf</t>
  </si>
  <si>
    <t>https://drive.google.com/file/d/1ISOoU6M3AntoaH9rXkOtb52Sxq1gbvmU/view?usp=drivesdk</t>
  </si>
  <si>
    <t>9/2/1385</t>
  </si>
  <si>
    <t>311.pdf</t>
  </si>
  <si>
    <t>https://drive.google.com/file/d/1c-SO6bFgL5ozXlKBumuDUJIrAEj6NvD9/view?usp=drivesdk</t>
  </si>
  <si>
    <t>12/2/1385</t>
  </si>
  <si>
    <t>312.pdf</t>
  </si>
  <si>
    <t>https://drive.google.com/file/d/1dRrWeMHJKSO-SgO9ajJJsGi4cGEVvDEO/view?usp=drivesdk</t>
  </si>
  <si>
    <t>16/2/1385</t>
  </si>
  <si>
    <t>313.pdf</t>
  </si>
  <si>
    <t>https://drive.google.com/file/d/1PEkBNCI6YvhAW6tAwK8_Sd-wfW7FvMXE/view?usp=drivesdk</t>
  </si>
  <si>
    <t>19/2/1385</t>
  </si>
  <si>
    <t>314.pdf</t>
  </si>
  <si>
    <t>https://drive.google.com/file/d/1bnckCpyr44FD-DM3LvHJA4Bf6L1QkWa3/view?usp=drivesdk</t>
  </si>
  <si>
    <t>23/2/1385</t>
  </si>
  <si>
    <t>315.pdf</t>
  </si>
  <si>
    <t>https://drive.google.com/file/d/164-Vx4ZWMAZalnE_9cfy6junfGyRP5zy/view?usp=drivesdk</t>
  </si>
  <si>
    <t>26/2/1385</t>
  </si>
  <si>
    <t>316.pdf</t>
  </si>
  <si>
    <t>https://drive.google.com/file/d/1oLBQTGgS2E-iQ8PUBs-OBO1KlQ7x3gkQ/view?usp=drivesdk</t>
  </si>
  <si>
    <t>30/2/1385</t>
  </si>
  <si>
    <t>317.pdf</t>
  </si>
  <si>
    <t>https://drive.google.com/file/d/1flDlk4VEvo59i56Nw9nc2nW0FH_XBwQy/view?usp=drivesdk</t>
  </si>
  <si>
    <t>2/3/1385</t>
  </si>
  <si>
    <t>318.pdf</t>
  </si>
  <si>
    <t>https://drive.google.com/file/d/1K6ttW9EAbIXi-HGrS96z52AfNJuhFy-P/view?usp=drivesdk</t>
  </si>
  <si>
    <t>319.pdf</t>
  </si>
  <si>
    <t>https://drive.google.com/file/d/110cyHiX6ilWF0yWXDPrUOEvtPwBsu5PH/view?usp=drivesdk</t>
  </si>
  <si>
    <t>9/3/1385</t>
  </si>
  <si>
    <t>320.pdf</t>
  </si>
  <si>
    <t>https://drive.google.com/file/d/1C_vDrsZ5eyS6zL39tRlfw4FUpWdfV_8f/view?usp=drivesdk</t>
  </si>
  <si>
    <t>13/3/1385</t>
  </si>
  <si>
    <t>321.pdf</t>
  </si>
  <si>
    <t>https://drive.google.com/file/d/1VxqPgj7td9hiTkOE1gbRVx91x4qLSrxE/view?usp=drivesdk</t>
  </si>
  <si>
    <t>20/4/1385</t>
  </si>
  <si>
    <t>322.pdf</t>
  </si>
  <si>
    <t>https://drive.google.com/file/d/1pWZ2NFUMWq-PgS70sisKmvlqemJ35lKc/view?usp=drivesdk</t>
  </si>
  <si>
    <t>27/4/1385</t>
  </si>
  <si>
    <t>323.pdf</t>
  </si>
  <si>
    <t>https://drive.google.com/file/d/1scB7xqXhAoU3jl8WbxHZZ0kjMt2u7lk7/view?usp=drivesdk</t>
  </si>
  <si>
    <t>3/5/1385</t>
  </si>
  <si>
    <t>324.pdf</t>
  </si>
  <si>
    <t>https://drive.google.com/file/d/1M9-L20a1pBcUhUc6zLuzMNpiy6G_47Xl/view?usp=drivesdk</t>
  </si>
  <si>
    <t>10/5/1385</t>
  </si>
  <si>
    <t>325.pdf</t>
  </si>
  <si>
    <t>https://drive.google.com/file/d/1a7oKM74sHdCOt-ErfALRudlOL3HYVAp5/view?usp=drivesdk</t>
  </si>
  <si>
    <t>24/5/1385</t>
  </si>
  <si>
    <t>326.pdf</t>
  </si>
  <si>
    <t>https://drive.google.com/file/d/1Twpe925cwySmJuXCCiUSU0GaNTNiKlcf/view?usp=drivesdk</t>
  </si>
  <si>
    <t>30/5/1385</t>
  </si>
  <si>
    <t>327.pdf</t>
  </si>
  <si>
    <t>https://drive.google.com/file/d/1a8u5mP6sJF2YN6AnzsrBmSZpycmcLUJk/view?usp=drivesdk</t>
  </si>
  <si>
    <t>7/6/1385</t>
  </si>
  <si>
    <t>328.pdf</t>
  </si>
  <si>
    <t>https://drive.google.com/file/d/1dzQv3DJo7XNgMtirpKBZubtzaKMpSvOV/view?usp=drivesdk</t>
  </si>
  <si>
    <t>14/6/1385</t>
  </si>
  <si>
    <t>329.pdf</t>
  </si>
  <si>
    <t>https://drive.google.com/file/d/1-WXcZKvS7mGndoeiyGyh5n9wR9sfRVLB/view?usp=drivesdk</t>
  </si>
  <si>
    <t>21/6/1385</t>
  </si>
  <si>
    <t>330.pdf</t>
  </si>
  <si>
    <t>https://drive.google.com/file/d/1kwUM7_TnIrVAKZv_ReAKw506VQqBXcqt/view?usp=drivesdk</t>
  </si>
  <si>
    <t>28/6/1385</t>
  </si>
  <si>
    <t>331.pdf</t>
  </si>
  <si>
    <t>https://drive.google.com/file/d/1yVhy7awrnBSn_EHT_lI2b-AsC7MzMYC2/view?usp=drivesdk</t>
  </si>
  <si>
    <t>29/6/1385</t>
  </si>
  <si>
    <t>332.pdf</t>
  </si>
  <si>
    <t>https://drive.google.com/file/d/1ppyMWLtCmkXPM6xMTuIpTUyHdiQjpUeY/view?usp=drivesdk</t>
  </si>
  <si>
    <t>333.pdf</t>
  </si>
  <si>
    <t>https://drive.google.com/file/d/1UgqwDmkT_t2vMl6WQUXf7aaF4fEhLyl1/view?usp=drivesdk</t>
  </si>
  <si>
    <t>4/7/1385</t>
  </si>
  <si>
    <t>334.pdf</t>
  </si>
  <si>
    <t>https://drive.google.com/file/d/1GdnGmkqnhzlBWoReIee51SuoAaBpyTCE/view?usp=drivesdk</t>
  </si>
  <si>
    <t>8/7/1385</t>
  </si>
  <si>
    <t>335.pdf</t>
  </si>
  <si>
    <t>https://drive.google.com/file/d/1DmrfK__wWjStKPMIc98GcNktaK97avQw/view?usp=drivesdk</t>
  </si>
  <si>
    <t>11/7/1385</t>
  </si>
  <si>
    <t>336.pdf</t>
  </si>
  <si>
    <t>https://drive.google.com/file/d/1qN6oCf6e7dXGEQoSFj0gdHhXySmdSKLu/view?usp=drivesdk</t>
  </si>
  <si>
    <t>337.pdf</t>
  </si>
  <si>
    <t>https://drive.google.com/file/d/1YlS7Omx2BQT_R4IYBthEy025GHm5PWhi/view?usp=drivesdk</t>
  </si>
  <si>
    <t>18/7/1385</t>
  </si>
  <si>
    <t>338.pdf</t>
  </si>
  <si>
    <t>https://drive.google.com/file/d/1ardQEybKRKjUbZ0b2PFHMUbiGeDjkFk9/view?usp=drivesdk</t>
  </si>
  <si>
    <t>22/7/1385</t>
  </si>
  <si>
    <t>339.pdf</t>
  </si>
  <si>
    <t>https://drive.google.com/file/d/1k5jGOEAl2PNNuA6o8uNM5-EtGU1_ZI76/view?usp=drivesdk</t>
  </si>
  <si>
    <t>29/7/1385</t>
  </si>
  <si>
    <t>340.pdf</t>
  </si>
  <si>
    <t>https://drive.google.com/file/d/1uRYs7D27y4syNCGpC3EfKaya-ehMgHp-/view?usp=drivesdk</t>
  </si>
  <si>
    <t>6/8/1385</t>
  </si>
  <si>
    <t>341.pdf</t>
  </si>
  <si>
    <t>https://drive.google.com/file/d/16Pe30kcQ3P2_0FUT6OJYoUQzgDgbi6Xv/view?usp=drivesdk</t>
  </si>
  <si>
    <t>9/8/1385</t>
  </si>
  <si>
    <t>342.pdf</t>
  </si>
  <si>
    <t>https://drive.google.com/file/d/18IdySjgN-X0HN1r7FmpcmIzkkw5_uYed/view?usp=drivesdk</t>
  </si>
  <si>
    <t>13/8/1385</t>
  </si>
  <si>
    <t>343.pdf</t>
  </si>
  <si>
    <t>https://drive.google.com/file/d/1YI4IvH_IbDrngrgY41-ShBPJtwryDNiq/view?usp=drivesdk</t>
  </si>
  <si>
    <t>16/8/1385</t>
  </si>
  <si>
    <t>344.pdf</t>
  </si>
  <si>
    <t>https://drive.google.com/file/d/1OWZqIZU20OyZEn04kV663td_XvBAVxRq/view?usp=drivesdk</t>
  </si>
  <si>
    <t>20/8/1385</t>
  </si>
  <si>
    <t>345.pdf</t>
  </si>
  <si>
    <t>https://drive.google.com/file/d/1ntPRXIhtwUPw-s0q2J9BxQS6rSNMvN_U/view?usp=drivesdk</t>
  </si>
  <si>
    <t>346.pdf</t>
  </si>
  <si>
    <t>https://drive.google.com/file/d/13ILyevtkBr7ks0uPrZhSA_v9mriX9ni9/view?usp=drivesdk</t>
  </si>
  <si>
    <t>347.pdf</t>
  </si>
  <si>
    <t>https://drive.google.com/file/d/1YZn9uz4zksjZyywI5gzvm7NqiG1-qa9f/view?usp=drivesdk</t>
  </si>
  <si>
    <t>27/8/1385</t>
  </si>
  <si>
    <t>348.pdf</t>
  </si>
  <si>
    <t>https://drive.google.com/file/d/1C-uP2Nd4QKrJ0PRYyQp0HYI_WhnKhdjy/view?usp=drivesdk</t>
  </si>
  <si>
    <t>30/8/1385</t>
  </si>
  <si>
    <t>349.pdf</t>
  </si>
  <si>
    <t>https://drive.google.com/file/d/1sqBJHsKGdvAgrCMZLKRx1dfV81aMceWE/view?usp=drivesdk</t>
  </si>
  <si>
    <t>4/9/1385</t>
  </si>
  <si>
    <t>350.pdf</t>
  </si>
  <si>
    <t>https://drive.google.com/file/d/1y65VxlCgB7LqdiBHQvgH7sbtVFT0Ras3/view?usp=drivesdk</t>
  </si>
  <si>
    <t>7/9/1385</t>
  </si>
  <si>
    <t>351.pdf</t>
  </si>
  <si>
    <t>https://drive.google.com/file/d/1tWOGxUxpHrvd1pNi8S_NjuhR9I6oqe6o/view?usp=drivesdk</t>
  </si>
  <si>
    <t>11/9/1385</t>
  </si>
  <si>
    <t>352.pdf</t>
  </si>
  <si>
    <t>https://drive.google.com/file/d/15cwFz2Oyf7gU8qxh0vHPqkNXxcGt3bPE/view?usp=drivesdk</t>
  </si>
  <si>
    <t>353.pdf</t>
  </si>
  <si>
    <t>https://drive.google.com/file/d/16s9xomQK9uA8KgIs7dSrDbyQGU5zg5Rt/view?usp=drivesdk</t>
  </si>
  <si>
    <t>18/9/1385</t>
  </si>
  <si>
    <t>354.pdf</t>
  </si>
  <si>
    <t>https://drive.google.com/file/d/1cuB0IJ7Gex_eveAyYqwerVjByYQmRR1p/view?usp=drivesdk</t>
  </si>
  <si>
    <t>21/9/1385</t>
  </si>
  <si>
    <t>355.pdf</t>
  </si>
  <si>
    <t>https://drive.google.com/file/d/1jLVqpkGnAxsO40Y43-mxSKU3hBkC38dB/view?usp=drivesdk</t>
  </si>
  <si>
    <t>25/9/1385</t>
  </si>
  <si>
    <t>356.pdf</t>
  </si>
  <si>
    <t>https://drive.google.com/file/d/1_kYRxJaf3a2V72M9nv75l4XSbmeMheHt/view?usp=drivesdk</t>
  </si>
  <si>
    <t>28/9/1385</t>
  </si>
  <si>
    <t>357.pdf</t>
  </si>
  <si>
    <t>https://drive.google.com/file/d/19wAi2EPxERzpkITBJG83-2YBRMD3Iy4d/view?usp=drivesdk</t>
  </si>
  <si>
    <t>2/10/1385</t>
  </si>
  <si>
    <t>358.pdf</t>
  </si>
  <si>
    <t>https://drive.google.com/file/d/1WnW13J1xF3o347tmKqnL2uoBlKxa8d6j/view?usp=drivesdk</t>
  </si>
  <si>
    <t>5/10/1385</t>
  </si>
  <si>
    <t>359.pdf</t>
  </si>
  <si>
    <t>https://drive.google.com/file/d/1FYtaAjVY0GYueikzljItbgH5Nm8DPIMF/view?usp=drivesdk</t>
  </si>
  <si>
    <t>9/10/1385</t>
  </si>
  <si>
    <t>360.pdf</t>
  </si>
  <si>
    <t>https://drive.google.com/file/d/1UdZ0sLlP9i0ObruaK31cter6u26nkt5i/view?usp=drivesdk</t>
  </si>
  <si>
    <t>17/10/1385</t>
  </si>
  <si>
    <t>361.pdf</t>
  </si>
  <si>
    <t>https://drive.google.com/file/d/1WzXoDw7hbTdfDVODSeGZ-wP4WsLu0ZBj/view?usp=drivesdk</t>
  </si>
  <si>
    <t>24/11/1385</t>
  </si>
  <si>
    <t>362.pdf</t>
  </si>
  <si>
    <t>https://drive.google.com/file/d/1UDoCLLZR6gPymPGsOi5SACqAtmQIN_rx/view?usp=drivesdk</t>
  </si>
  <si>
    <t>28/11/1385</t>
  </si>
  <si>
    <t>363.pdf</t>
  </si>
  <si>
    <t>https://drive.google.com/file/d/1FXFpSS4cJcP0GPo3qBPnVkQdZ2tDP7dL/view?usp=drivesdk</t>
  </si>
  <si>
    <t>1/12/1385</t>
  </si>
  <si>
    <t>364.pdf</t>
  </si>
  <si>
    <t>https://drive.google.com/file/d/1frrXpFPScwdTxz6dbuWow8xoiyH9oO4y/view?usp=drivesdk</t>
  </si>
  <si>
    <t>5/12/1385</t>
  </si>
  <si>
    <t>365.pdf</t>
  </si>
  <si>
    <t>https://drive.google.com/file/d/110fk1lm1EeA8p_eM5tIxAeygI8JdMBva/view?usp=drivesdk</t>
  </si>
  <si>
    <t>8/12/1385</t>
  </si>
  <si>
    <t>366.pdf</t>
  </si>
  <si>
    <t>https://drive.google.com/file/d/1JYoletZ4TlAvqI2JF77__ubnYjUBvf5a/view?usp=drivesdk</t>
  </si>
  <si>
    <t>12/12/1385</t>
  </si>
  <si>
    <t>367.pdf</t>
  </si>
  <si>
    <t>https://drive.google.com/file/d/1T4O07tQC-uw51OrxCRA1s3l-2w7uH22V/view?usp=drivesdk</t>
  </si>
  <si>
    <t>368.pdf</t>
  </si>
  <si>
    <t>https://drive.google.com/file/d/1g2AwsccFEfP4b_uF-OK092Vj9pMZn3nX/view?usp=drivesdk</t>
  </si>
  <si>
    <t>22/12/1385</t>
  </si>
  <si>
    <t>369.pdf</t>
  </si>
  <si>
    <t>https://drive.google.com/file/d/1dMpzUL55oYgQYvT1ZFTZoQ4njdIe--DT/view?usp=drivesdk</t>
  </si>
  <si>
    <t>21/1/1386</t>
  </si>
  <si>
    <t>370.pdf</t>
  </si>
  <si>
    <t>https://drive.google.com/file/d/1Y1eXNXelDpQX87HeCmiCUzciXeKi9yTC/view?usp=drivesdk</t>
  </si>
  <si>
    <t>25/1/1386</t>
  </si>
  <si>
    <t>371.pdf</t>
  </si>
  <si>
    <t>https://drive.google.com/file/d/13A8mRCiFFCBGq5gfb2_f3FjPKSPDTOwJ/view?usp=drivesdk</t>
  </si>
  <si>
    <t>28/1/1386</t>
  </si>
  <si>
    <t>372.pdf</t>
  </si>
  <si>
    <t>https://drive.google.com/file/d/1Of2RRigl71hehbKJKzOkRNc98iBMDics/view?usp=drivesdk</t>
  </si>
  <si>
    <t>1/2/1386</t>
  </si>
  <si>
    <t>373.pdf</t>
  </si>
  <si>
    <t>https://drive.google.com/file/d/1gja1frpkaACsmImZHD5CDSkV6SK-H-GZ/view?usp=drivesdk</t>
  </si>
  <si>
    <t>4/2/1386</t>
  </si>
  <si>
    <t>374.pdf</t>
  </si>
  <si>
    <t>https://drive.google.com/file/d/1-RtKyGxrLLlepIWwNrNxZ0twU7z-_g8h/view?usp=drivesdk</t>
  </si>
  <si>
    <t>8/2/1386</t>
  </si>
  <si>
    <t>375.pdf</t>
  </si>
  <si>
    <t>https://drive.google.com/file/d/1my-1-I9fcalH3ONwY2TNsIzLwjkuSboR/view?usp=drivesdk</t>
  </si>
  <si>
    <t>11/2/1386</t>
  </si>
  <si>
    <t>376.pdf</t>
  </si>
  <si>
    <t>https://drive.google.com/file/d/1G39xJd_yXHV4CPFJrSZ3zYaMvv6EhRTt/view?usp=drivesdk</t>
  </si>
  <si>
    <t>377.pdf</t>
  </si>
  <si>
    <t>https://drive.google.com/file/d/1Tt0D46vBvI2D5BHiuHanePW04URzvDTT/view?usp=drivesdk</t>
  </si>
  <si>
    <t>18/2/1386</t>
  </si>
  <si>
    <t>378.pdf</t>
  </si>
  <si>
    <t>https://drive.google.com/file/d/1763p0h-5YY0k_Kk56LO9gPwofea4GzUT/view?usp=drivesdk</t>
  </si>
  <si>
    <t>22/2/1386</t>
  </si>
  <si>
    <t>379.pdf</t>
  </si>
  <si>
    <t>https://drive.google.com/file/d/1JeRkYItBrLkTEcInjHZVN_q4UhNol-v4/view?usp=drivesdk</t>
  </si>
  <si>
    <t>25/2/1386</t>
  </si>
  <si>
    <t>380.pdf</t>
  </si>
  <si>
    <t>https://drive.google.com/file/d/1cnpxIdRVu3IuY0eiL0OyzQfGanYmR1Uu/view?usp=drivesdk</t>
  </si>
  <si>
    <t>381.pdf</t>
  </si>
  <si>
    <t>https://drive.google.com/file/d/12-LwaXwngFnJQaMTU5dHdLgGNUegpz65/view?usp=drivesdk</t>
  </si>
  <si>
    <t>1/3/1386</t>
  </si>
  <si>
    <t>382.pdf</t>
  </si>
  <si>
    <t>https://drive.google.com/file/d/16MJ5rPS0fBxEewncd8THOoWmlf7hfjMO/view?usp=drivesdk</t>
  </si>
  <si>
    <t>5/3/1386</t>
  </si>
  <si>
    <t>383.pdf</t>
  </si>
  <si>
    <t>https://drive.google.com/file/d/1HFfqVQA0jFpvbQpMv1_NZYXXgqjkr7kR/view?usp=drivesdk</t>
  </si>
  <si>
    <t>8/3/1386</t>
  </si>
  <si>
    <t>384.pdf</t>
  </si>
  <si>
    <t>https://drive.google.com/file/d/1Ftilm_QaYTqqEUpIoXAxbGoobdi-BPYP/view?usp=drivesdk</t>
  </si>
  <si>
    <t>12/3/1386</t>
  </si>
  <si>
    <t>385.pdf</t>
  </si>
  <si>
    <t>https://drive.google.com/file/d/1S-EEHEyH_AjkW3vg0wYOi_kDHfKYgJRR/view?usp=drivesdk</t>
  </si>
  <si>
    <t>6/6/1386</t>
  </si>
  <si>
    <t>386.pdf</t>
  </si>
  <si>
    <t>https://drive.google.com/file/d/1ruvW_pWQ1aYgrVlirHOk-gQGYIulZqho/view?usp=drivesdk</t>
  </si>
  <si>
    <t>13/6/1386</t>
  </si>
  <si>
    <t>387.pdf</t>
  </si>
  <si>
    <t>https://drive.google.com/file/d/1E1a6-y-SaOqKm1UV33OPZVN9L6KHbgtj/view?usp=drivesdk</t>
  </si>
  <si>
    <t>20/6/1386</t>
  </si>
  <si>
    <t>388.pdf</t>
  </si>
  <si>
    <t>https://drive.google.com/file/d/1eUfc4p8Xj3G-0i0rOJByX7WX_dInRryw/view?usp=drivesdk</t>
  </si>
  <si>
    <t>27/6/1386</t>
  </si>
  <si>
    <t>390.pdf</t>
  </si>
  <si>
    <t>https://drive.google.com/file/d/1h_1MP4lVyc9hN8zT4lxC6BoTpzV8A9zD/view?usp=drivesdk</t>
  </si>
  <si>
    <t>31/6/1386</t>
  </si>
  <si>
    <t>391.pdf</t>
  </si>
  <si>
    <t>https://drive.google.com/file/d/1C9urSD6IgosXJpHx_ueYkHvHYd3cI1yi/view?usp=drivesdk</t>
  </si>
  <si>
    <t>3/7/1386</t>
  </si>
  <si>
    <t>392.pdf</t>
  </si>
  <si>
    <t>https://drive.google.com/file/d/1Soe1DXmwpPJavHpnIZDcTHaMmkFOjgZc/view?usp=drivesdk</t>
  </si>
  <si>
    <t>7/7/1386</t>
  </si>
  <si>
    <t>393.pdf</t>
  </si>
  <si>
    <t>https://drive.google.com/file/d/111naFMS_MPeQCud_9l3ALhce9jRWz8C6/view?usp=drivesdk</t>
  </si>
  <si>
    <t>10/7/1386</t>
  </si>
  <si>
    <t>394.pdf</t>
  </si>
  <si>
    <t>https://drive.google.com/file/d/1VE2s9Z43aFLtXwp_NbluvdhBjZmu6DC7/view?usp=drivesdk</t>
  </si>
  <si>
    <t>رضا قربانی</t>
  </si>
  <si>
    <t>17/7/1386</t>
  </si>
  <si>
    <t>395.pdf</t>
  </si>
  <si>
    <t>https://drive.google.com/file/d/1MaZ88UdNXT3mELbjsTCQ6laToK4MxaPV/view?usp=drivesdk</t>
  </si>
  <si>
    <t>396.pdf</t>
  </si>
  <si>
    <t>https://drive.google.com/file/d/1L1OOOoJSZ8mTGiQdP-tp_gYqZR6Pr3d6/view?usp=drivesdk</t>
  </si>
  <si>
    <t>28/7/1386</t>
  </si>
  <si>
    <t>397.pdf</t>
  </si>
  <si>
    <t>https://drive.google.com/file/d/1awK43Ooe4_iuiCIhYpyZ0B4bYnqazH1B/view?usp=drivesdk</t>
  </si>
  <si>
    <t>1/8/1386</t>
  </si>
  <si>
    <t>398.pdf</t>
  </si>
  <si>
    <t>https://drive.google.com/file/d/1tUPe5tLHFs98q9FOENadGTvkMUZ5jpNK/view?usp=drivesdk</t>
  </si>
  <si>
    <t>5/8/1386</t>
  </si>
  <si>
    <t>399.pdf</t>
  </si>
  <si>
    <t>https://drive.google.com/file/d/1jtyQvh69Xj6bP-oTMKXylBDcEXZhqgSX/view?usp=drivesdk</t>
  </si>
  <si>
    <t>8/8/1386</t>
  </si>
  <si>
    <t>400.pdf</t>
  </si>
  <si>
    <t>https://drive.google.com/file/d/1N_S6Skl56_QtsF6EaiKMOxjZcH_StdLm/view?usp=drivesdk</t>
  </si>
  <si>
    <t>401.pdf</t>
  </si>
  <si>
    <t>https://drive.google.com/file/d/1tN5snd74x5SaAkJlY_O0_aOEijTsH0YG/view?usp=drivesdk</t>
  </si>
  <si>
    <t>19/8/1386</t>
  </si>
  <si>
    <t>402.pdf</t>
  </si>
  <si>
    <t>https://drive.google.com/file/d/1oy9EAwDiDsjMyi8k28UAe9DzEXSaOkYT/view?usp=drivesdk</t>
  </si>
  <si>
    <t>22/8/1386</t>
  </si>
  <si>
    <t>403.pdf</t>
  </si>
  <si>
    <t>https://drive.google.com/file/d/18-0MUXiJz-WiSW9DoCFb6B1yz1pBQ5u2/view?usp=drivesdk</t>
  </si>
  <si>
    <t>26/8/1386</t>
  </si>
  <si>
    <t>404.pdf</t>
  </si>
  <si>
    <t>https://drive.google.com/file/d/1IBM3vQGYWxGFk3wxV7PKUXrefmIagaF2/view?usp=drivesdk</t>
  </si>
  <si>
    <t>29/8/1386</t>
  </si>
  <si>
    <t>405.pdf</t>
  </si>
  <si>
    <t>https://drive.google.com/file/d/1mzUAjAL_1SaJZlvZmZqDYjofJ1w0T5KL/view?usp=drivesdk</t>
  </si>
  <si>
    <t>3/9/1386</t>
  </si>
  <si>
    <t>406.pdf</t>
  </si>
  <si>
    <t>https://drive.google.com/file/d/1JtJ1ydDDQPs9S8bTANHqJaPCFgxbbGBW/view?usp=drivesdk</t>
  </si>
  <si>
    <t>6/9/1386</t>
  </si>
  <si>
    <t>407.pdf</t>
  </si>
  <si>
    <t>https://drive.google.com/file/d/1Rs9VwndPX8oxpvT-afipskH4Poa51ERd/view?usp=drivesdk</t>
  </si>
  <si>
    <t>10/9/1386</t>
  </si>
  <si>
    <t>408.pdf</t>
  </si>
  <si>
    <t>https://drive.google.com/file/d/1dhs3uq5JZdCtE-L3aI6f84krS2rf02By/view?usp=drivesdk</t>
  </si>
  <si>
    <t>13/9/1386</t>
  </si>
  <si>
    <t>409.pdf</t>
  </si>
  <si>
    <t>https://drive.google.com/file/d/1IqkYE6KWYHd2HlAcxOSkfYDONSJq-Cpu/view?usp=drivesdk</t>
  </si>
  <si>
    <t>17/9/1386</t>
  </si>
  <si>
    <t>410.pdf</t>
  </si>
  <si>
    <t>https://drive.google.com/file/d/1QCwOVxR-MNMVLaQT9gCcih1kBFlH1m_w/view?usp=drivesdk</t>
  </si>
  <si>
    <t>20/9/1386</t>
  </si>
  <si>
    <t>411.pdf</t>
  </si>
  <si>
    <t>https://drive.google.com/file/d/1Ya9OaA6M5_EqmaM6wnBzKtdGA37zf2SE/view?usp=drivesdk</t>
  </si>
  <si>
    <t>24/9/1386</t>
  </si>
  <si>
    <t>412.pdf</t>
  </si>
  <si>
    <t>https://drive.google.com/file/d/1pt9fIGs-se3KwHEXNbUG2s5OUdlFPlJX/view?usp=drivesdk</t>
  </si>
  <si>
    <t>27/9/1386</t>
  </si>
  <si>
    <t>413.pdf</t>
  </si>
  <si>
    <t>https://drive.google.com/file/d/18qri-af2a_7lukiyvW1oCBWeXnmm2a5l/view?usp=drivesdk</t>
  </si>
  <si>
    <t>1/10/1386</t>
  </si>
  <si>
    <t>414.pdf</t>
  </si>
  <si>
    <t>https://drive.google.com/file/d/11lqE7F7jY1L5a3GqgnSjU0sGAeNhyUdD/view?usp=drivesdk</t>
  </si>
  <si>
    <t>23/11/1386</t>
  </si>
  <si>
    <t>415.pdf</t>
  </si>
  <si>
    <t>https://drive.google.com/file/d/1Y7HCoIPY2tqOGa5u2Ls32OoNS9_voByx/view?usp=drivesdk</t>
  </si>
  <si>
    <t>27/11/1386</t>
  </si>
  <si>
    <t>416.pdf</t>
  </si>
  <si>
    <t>https://drive.google.com/file/d/11ZJ3t_tp0N7fr0Nd8WR9mAHJGtn6m2TZ/view?usp=drivesdk</t>
  </si>
  <si>
    <t>30/11/1386</t>
  </si>
  <si>
    <t>417.pdf</t>
  </si>
  <si>
    <t>https://drive.google.com/file/d/1yC3M4ng1qPEJVafn9j0T17RD_vjiwN2u/view?usp=drivesdk</t>
  </si>
  <si>
    <t>4/12/1386</t>
  </si>
  <si>
    <t>418.pdf</t>
  </si>
  <si>
    <t>https://drive.google.com/file/d/1gOQ431VzfwrbjCIvvCocMFklGnMDdFlL/view?usp=drivesdk</t>
  </si>
  <si>
    <t>8/12/1386</t>
  </si>
  <si>
    <t>419.pdf</t>
  </si>
  <si>
    <t>https://drive.google.com/file/d/1KEq0WGNlEQjOhqCv8c7fPuHNguYRUG6y/view?usp=drivesdk</t>
  </si>
  <si>
    <t>11/12/1386</t>
  </si>
  <si>
    <t>420.pdf</t>
  </si>
  <si>
    <t>https://drive.google.com/file/d/1jVRu16V52xWDcK4JuXw69pkXR6-zEV3l/view?usp=drivesdk</t>
  </si>
  <si>
    <t>14/12/1386</t>
  </si>
  <si>
    <t>421.pdf</t>
  </si>
  <si>
    <t>https://drive.google.com/file/d/1fOJZeHX6hGzIocZvhM6Kf_c5xkkpuQLt/view?usp=drivesdk</t>
  </si>
  <si>
    <t>21/12/1386</t>
  </si>
  <si>
    <t>422.pdf</t>
  </si>
  <si>
    <t>https://drive.google.com/file/d/1OyF7Ewh9ACh8waw01oB0w5fJrB-K9npj/view?usp=drivesdk</t>
  </si>
  <si>
    <t>20/1/1387</t>
  </si>
  <si>
    <t>423.pdf</t>
  </si>
  <si>
    <t>https://drive.google.com/file/d/1Fw0yQ6uCmwmrZcGzMvGOzHDtZUTqfCVf/view?usp=drivesdk</t>
  </si>
  <si>
    <t>24/1/1387</t>
  </si>
  <si>
    <t>424.pdf</t>
  </si>
  <si>
    <t>https://drive.google.com/file/d/1jdyjUolvTEXimlZk89RwzE-L0R8Ofi4B/view?usp=drivesdk</t>
  </si>
  <si>
    <t>27/1/1387</t>
  </si>
  <si>
    <t>425.pdf</t>
  </si>
  <si>
    <t>https://drive.google.com/file/d/1mJBiNElJ47HQfbk0McZ0Ie-8OLcgjHOD/view?usp=drivesdk</t>
  </si>
  <si>
    <t>31/1/1387</t>
  </si>
  <si>
    <t>426.pdf</t>
  </si>
  <si>
    <t>https://drive.google.com/file/d/1rTJPBy3_VFiGw2AJL-wjxKAtTlGF3xBd/view?usp=drivesdk</t>
  </si>
  <si>
    <t>3/2/1387</t>
  </si>
  <si>
    <t>427.pdf</t>
  </si>
  <si>
    <t>https://drive.google.com/file/d/1VEWZamrYEVt-mxdqKnh8Sp6gj84Sx_vw/view?usp=drivesdk</t>
  </si>
  <si>
    <t>7/2/1387</t>
  </si>
  <si>
    <t>428.pdf</t>
  </si>
  <si>
    <t>https://drive.google.com/file/d/1jfn82Yj53h08LHs0pgcVzQzYnOif0xIr/view?usp=drivesdk</t>
  </si>
  <si>
    <t>10/2/1387</t>
  </si>
  <si>
    <t>429.pdf</t>
  </si>
  <si>
    <t>https://drive.google.com/file/d/16k7yZVJP1-amFMrzsgy2NvRhbZDisrmR/view?usp=drivesdk</t>
  </si>
  <si>
    <t>14/2/1387</t>
  </si>
  <si>
    <t>430.pdf</t>
  </si>
  <si>
    <t>https://drive.google.com/file/d/1_6U6zyRSrg0Z6topERv---hn8ayOKWgZ/view?usp=drivesdk</t>
  </si>
  <si>
    <t>17/2/1387</t>
  </si>
  <si>
    <t>431.pdf</t>
  </si>
  <si>
    <t>https://drive.google.com/file/d/1sXVlTs42SCM_5d1Ei08z3Kb375L2UuTh/view?usp=drivesdk</t>
  </si>
  <si>
    <t>21/2/1387</t>
  </si>
  <si>
    <t>432.pdf</t>
  </si>
  <si>
    <t>https://drive.google.com/file/d/1loPz5_m3mp8EXIA3DiqssM8L4ymr6Fe7/view?usp=drivesdk</t>
  </si>
  <si>
    <t>24/2/1387</t>
  </si>
  <si>
    <t>433.pdf</t>
  </si>
  <si>
    <t>https://drive.google.com/file/d/1MlFofmD3HyP4Lmn9Inc0RLvV30uJpOH8/view?usp=drivesdk</t>
  </si>
  <si>
    <t>28/2/1387</t>
  </si>
  <si>
    <t>434.pdf</t>
  </si>
  <si>
    <t>https://drive.google.com/file/d/13aLqKY8oDjEBipPaP4WlJrcJABlNss2N/view?usp=drivesdk</t>
  </si>
  <si>
    <t>31/2/1387</t>
  </si>
  <si>
    <t>435.pdf</t>
  </si>
  <si>
    <t>https://drive.google.com/file/d/1AFVr_gUzCautDqS32FbXKAarwHmDMEci/view?usp=drivesdk</t>
  </si>
  <si>
    <t>4/3/1387</t>
  </si>
  <si>
    <t>436.pdf</t>
  </si>
  <si>
    <t>https://drive.google.com/file/d/1Y9HdO5VArPgQFAjtkaokZhVVWfzCunve/view?usp=drivesdk</t>
  </si>
  <si>
    <t>7/3/1387</t>
  </si>
  <si>
    <t>437.pdf</t>
  </si>
  <si>
    <t>https://drive.google.com/file/d/1ZP2HLa0gXG8GGytnh6nq8ApTJzxHdR2C/view?usp=drivesdk</t>
  </si>
  <si>
    <t>15/5/1387</t>
  </si>
  <si>
    <t>438.pdf</t>
  </si>
  <si>
    <t>https://drive.google.com/file/d/1T9hLFpm2KwS4mMcKpCVwJ2XBTITSSW1T/view?usp=drivesdk</t>
  </si>
  <si>
    <t>22/5/1387</t>
  </si>
  <si>
    <t>439.pdf</t>
  </si>
  <si>
    <t>https://drive.google.com/file/d/1_6pMpp24sqVVMd_VMRwPBDHfi-D4SOXQ/view?usp=drivesdk</t>
  </si>
  <si>
    <t>5/6/1387</t>
  </si>
  <si>
    <t>440.pdf</t>
  </si>
  <si>
    <t>https://drive.google.com/file/d/1YT9pk6CCN6ty92ZHEyNbN5GV7QRmnDum/view?usp=drivesdk</t>
  </si>
  <si>
    <t>12/6/1387</t>
  </si>
  <si>
    <t>441.pdf</t>
  </si>
  <si>
    <t>https://drive.google.com/file/d/1951CBx8jHJW4dVCc0iVAFtAkn8oUdHSQ/view?usp=drivesdk</t>
  </si>
  <si>
    <t>19/6/1387</t>
  </si>
  <si>
    <t>442.pdf</t>
  </si>
  <si>
    <t>https://drive.google.com/file/d/18ZhxUFHx_SyEuZ5l0HJIIKyBhqX1slRb/view?usp=drivesdk</t>
  </si>
  <si>
    <t>26/6/1387</t>
  </si>
  <si>
    <t>443.pdf</t>
  </si>
  <si>
    <t>https://drive.google.com/file/d/1cZF2YeyEawRtD2yRlWuLRskfS7LcFtBh/view?usp=drivesdk</t>
  </si>
  <si>
    <t>6/7/1387</t>
  </si>
  <si>
    <t>444.pdf</t>
  </si>
  <si>
    <t>https://drive.google.com/file/d/1Nz5wTOoEdrj4eyab4m-B2QiVtXukA2LT/view?usp=drivesdk</t>
  </si>
  <si>
    <t>9/7/1387</t>
  </si>
  <si>
    <t>445.pdf</t>
  </si>
  <si>
    <t>https://drive.google.com/file/d/1ymkl8y2ALCVL966kaJcRVgh2xHY8mGiq/view?usp=drivesdk</t>
  </si>
  <si>
    <t>16/7/1387</t>
  </si>
  <si>
    <t>446.pdf</t>
  </si>
  <si>
    <t>https://drive.google.com/file/d/1gj0AanqwE0J7H7gCdaLdVQXzX0tOwyRY/view?usp=drivesdk</t>
  </si>
  <si>
    <t>20/7/1387</t>
  </si>
  <si>
    <t>447.pdf</t>
  </si>
  <si>
    <t>https://drive.google.com/file/d/1TogTy-x9fMkA7XPERXqdLJEe2MIwUyyd/view?usp=drivesdk</t>
  </si>
  <si>
    <t>مهدی حق‌باعلی</t>
  </si>
  <si>
    <t>23/7/1387</t>
  </si>
  <si>
    <t>448.pdf</t>
  </si>
  <si>
    <t>https://drive.google.com/file/d/1IkI6O5rGD6WX8p-mQHlmKNESte5YF8uU/view?usp=drivesdk</t>
  </si>
  <si>
    <t>27/7/1387</t>
  </si>
  <si>
    <t>449.pdf</t>
  </si>
  <si>
    <t>https://drive.google.com/file/d/1ES5nf7NI5yKSZeTUNa6afnubjN8SKmzf/view?usp=drivesdk</t>
  </si>
  <si>
    <t>450.pdf</t>
  </si>
  <si>
    <t>https://drive.google.com/file/d/1PACe3ge4zJ2vQIVTcrvxGgh3dEDzOQEf/view?usp=drivesdk</t>
  </si>
  <si>
    <t>451.pdf</t>
  </si>
  <si>
    <t>https://drive.google.com/file/d/1lhiNLzmKjmFkP1kr70p1azU0L9zq58dj/view?usp=drivesdk</t>
  </si>
  <si>
    <t>11/8/1387</t>
  </si>
  <si>
    <t>452.pdf</t>
  </si>
  <si>
    <t>https://drive.google.com/file/d/18usdGSH7iDASJztm31gP7f-qVHbUQy-7/view?usp=drivesdk</t>
  </si>
  <si>
    <t>453.pdf</t>
  </si>
  <si>
    <t>https://drive.google.com/file/d/1lkMxdgG-pe8TEcrri0wAi5yJlCNdkrii/view?usp=drivesdk</t>
  </si>
  <si>
    <t>18/8/1387</t>
  </si>
  <si>
    <t>454.pdf</t>
  </si>
  <si>
    <t>https://drive.google.com/file/d/1hOwIbO2nfwrzhNOajyMb6Zy4KiMlyIDM/view?usp=drivesdk</t>
  </si>
  <si>
    <t>21/8/1387</t>
  </si>
  <si>
    <t>455.pdf</t>
  </si>
  <si>
    <t>https://drive.google.com/file/d/16Wlt_kzdCYADXaytzInHVtrPSGanFsCD/view?usp=drivesdk</t>
  </si>
  <si>
    <t>456.pdf</t>
  </si>
  <si>
    <t>https://drive.google.com/file/d/133hXzjscRjfl3IJ1JzL-Pzv3zLEV1-TF/view?usp=drivesdk</t>
  </si>
  <si>
    <t>28/8/1387</t>
  </si>
  <si>
    <t>457.pdf</t>
  </si>
  <si>
    <t>https://drive.google.com/file/d/1_TD2AJFsiE66dodi6vuetOWl1uTM2nk7/view?usp=drivesdk</t>
  </si>
  <si>
    <t>2/9/1387</t>
  </si>
  <si>
    <t>458.pdf</t>
  </si>
  <si>
    <t>https://drive.google.com/file/d/1x0o_roHHKzeQNaHEQzd_ERMC_tFEmHuR/view?usp=drivesdk</t>
  </si>
  <si>
    <t>5/9/1387</t>
  </si>
  <si>
    <t>459.pdf</t>
  </si>
  <si>
    <t>https://drive.google.com/file/d/1YHumXxZluag4Ga118HNWatwFyjkLE-Xr/view?usp=drivesdk</t>
  </si>
  <si>
    <t>460.pdf</t>
  </si>
  <si>
    <t>https://drive.google.com/file/d/1VO-J6VRbB_SDsJJjDeGHgC0oBQy971cq/view?usp=drivesdk</t>
  </si>
  <si>
    <t>12/9/1387</t>
  </si>
  <si>
    <t>461.pdf</t>
  </si>
  <si>
    <t>https://drive.google.com/file/d/1TPq53uyrTsGTwinOfIsktRBPeiG-ADm4/view?usp=drivesdk</t>
  </si>
  <si>
    <t>23/9/1387</t>
  </si>
  <si>
    <t>462.pdf</t>
  </si>
  <si>
    <t>https://drive.google.com/file/d/15_joomUfLVqk6dZw61EvEpEW_Ca_pdVV/view?usp=drivesdk</t>
  </si>
  <si>
    <t>26/9/1387</t>
  </si>
  <si>
    <t>463.pdf</t>
  </si>
  <si>
    <t>https://drive.google.com/file/d/1oo388asE2hbMv7tXdNUTX5-bU_KhvVpa/view?usp=drivesdk</t>
  </si>
  <si>
    <t>3/10/1387</t>
  </si>
  <si>
    <t>464.pdf</t>
  </si>
  <si>
    <t>https://drive.google.com/file/d/1Kubmz_WLJKfch8vgot_JbEhig_6O1Uv0/view?usp=drivesdk</t>
  </si>
  <si>
    <t>19/11/1387</t>
  </si>
  <si>
    <t>465.pdf</t>
  </si>
  <si>
    <t>https://drive.google.com/file/d/1aFwXPkEPTjX9c93HsAYiOHzJYJwegVgI/view?usp=drivesdk</t>
  </si>
  <si>
    <t>26/11/1387</t>
  </si>
  <si>
    <t>466.pdf</t>
  </si>
  <si>
    <t>https://drive.google.com/file/d/1HnF7695H-QF2Jg7pDMeucJUScjG4QUfB/view?usp=drivesdk</t>
  </si>
  <si>
    <t>29/11/1387</t>
  </si>
  <si>
    <t>467.pdf</t>
  </si>
  <si>
    <t>https://drive.google.com/file/d/1RPN1zQTUnNm9gacLl4CJLDZwe-B44KZP/view?usp=drivesdk</t>
  </si>
  <si>
    <t>3/12/1387</t>
  </si>
  <si>
    <t>468.pdf</t>
  </si>
  <si>
    <t>https://drive.google.com/file/d/1dT8AmkbqXX5BKpIPEdH5CV_JNd9FES4W/view?usp=drivesdk</t>
  </si>
  <si>
    <t>13/12/1387</t>
  </si>
  <si>
    <t>469.pdf</t>
  </si>
  <si>
    <t>https://drive.google.com/file/d/1NPGo5HnLBhYLpLOcBCyEm3Hz1S4H5bsh/view?usp=drivesdk</t>
  </si>
  <si>
    <t>17/12/1387</t>
  </si>
  <si>
    <t>470.pdf</t>
  </si>
  <si>
    <t>https://drive.google.com/file/d/1QD9JY3HL7mA7WFn2fVhzk5PHMjsvvnim/view?usp=drivesdk</t>
  </si>
  <si>
    <t>471.pdf</t>
  </si>
  <si>
    <t>https://drive.google.com/file/d/1cOddSFp44g9f7mrI5bHJzmFbPCw_0iPr/view?usp=drivesdk</t>
  </si>
  <si>
    <t>مرتضی یاری</t>
  </si>
  <si>
    <t>محمدجواد شاکر</t>
  </si>
  <si>
    <t>20/8/1399</t>
  </si>
  <si>
    <t>472.pdf</t>
  </si>
  <si>
    <t>https://drive.google.com/file/d/1LXAGINIWYNHW5V3gNItuZlg9FyHV7Ahx/view?usp=drivesdk</t>
  </si>
  <si>
    <t>25/1/1388</t>
  </si>
  <si>
    <t>473.pdf</t>
  </si>
  <si>
    <t>https://drive.google.com/file/d/1oKrJHuSz4DGtHkcVjNwy2YBD6EvGqxc_/view?usp=drivesdk</t>
  </si>
  <si>
    <t>29/1/1388</t>
  </si>
  <si>
    <t>474.pdf</t>
  </si>
  <si>
    <t>https://drive.google.com/file/d/1OmMFgIVXzcA8VyJNbHXiSJLdvI5I0TbQ/view?usp=drivesdk</t>
  </si>
  <si>
    <t>475.pdf</t>
  </si>
  <si>
    <t>https://drive.google.com/file/d/10nq8nVLYpMxHkEbtoBY1UVUs3Sjf7zWS/view?usp=drivesdk</t>
  </si>
  <si>
    <t>5/2/1388</t>
  </si>
  <si>
    <t>476.pdf</t>
  </si>
  <si>
    <t>https://drive.google.com/file/d/1hVu668dB1ynCKy2aLvXwAtDqLh-B6Hof/view?usp=drivesdk</t>
  </si>
  <si>
    <t>8/2/1388</t>
  </si>
  <si>
    <t>477.pdf</t>
  </si>
  <si>
    <t>https://drive.google.com/file/d/19anADXghgY5S-kWUO-nW2NEpQtH56L7U/view?usp=drivesdk</t>
  </si>
  <si>
    <t>12/2/1388</t>
  </si>
  <si>
    <t>478.pdf</t>
  </si>
  <si>
    <t>https://drive.google.com/file/d/1QzI8ZdxbEhXB9hwKgOFYbwMJWyaiMaxC/view?usp=drivesdk</t>
  </si>
  <si>
    <t>479.pdf</t>
  </si>
  <si>
    <t>https://drive.google.com/file/d/1WvH5EH8kRGHhQnRmbrdmA0rxxv_mvwaN/view?usp=drivesdk</t>
  </si>
  <si>
    <t>19/2/1388</t>
  </si>
  <si>
    <t>480.pdf</t>
  </si>
  <si>
    <t>https://drive.google.com/file/d/1e3pW2c-AW1ULJUDzuvfeDOJfJCT3zQeM/view?usp=drivesdk</t>
  </si>
  <si>
    <t>22/2/1388</t>
  </si>
  <si>
    <t>481.pdf</t>
  </si>
  <si>
    <t>https://drive.google.com/file/d/1vobCsA_b56W7UX6rVjA-VrC_j9EDU7_r/view?usp=drivesdk</t>
  </si>
  <si>
    <t>26/2/1388</t>
  </si>
  <si>
    <t>482.pdf</t>
  </si>
  <si>
    <t>https://drive.google.com/file/d/1OzJWdiagLJ2PJko445YS9lNYiWt_e_uB/view?usp=drivesdk</t>
  </si>
  <si>
    <t>29/2/1388</t>
  </si>
  <si>
    <t>483.pdf</t>
  </si>
  <si>
    <t>https://drive.google.com/file/d/1M1PzjzvLeJZK0ZBoX_HYaeYeiY7Mm20t/view?usp=drivesdk</t>
  </si>
  <si>
    <t>2/3/1388</t>
  </si>
  <si>
    <t>484.pdf</t>
  </si>
  <si>
    <t>https://drive.google.com/file/d/1P69k7NdNymZ6UPSV9bDB36aDY-oKIi51/view?usp=drivesdk</t>
  </si>
  <si>
    <t>5/3/1388</t>
  </si>
  <si>
    <t>485.pdf</t>
  </si>
  <si>
    <t>https://drive.google.com/file/d/1RZpin-F99fKCR6B2QfjzQuTDwoxprWhj/view?usp=drivesdk</t>
  </si>
  <si>
    <t>9/3/1388</t>
  </si>
  <si>
    <t>486.pdf</t>
  </si>
  <si>
    <t>https://drive.google.com/file/d/15qL6-GuzLkXWAUyTyONFMIJNdPUi7LBt/view?usp=drivesdk</t>
  </si>
  <si>
    <t>12/3/1388</t>
  </si>
  <si>
    <t>487.pdf</t>
  </si>
  <si>
    <t>https://drive.google.com/file/d/1vtYeJibJpzBlvWJt8VtzZ3TaBA0JV8vn/view?usp=drivesdk</t>
  </si>
  <si>
    <t>24/6/1388</t>
  </si>
  <si>
    <t>488.pdf</t>
  </si>
  <si>
    <t>https://drive.google.com/file/d/1fGputbqOrMhXovfE8oFHAdRDim8PqhK1/view?usp=drivesdk</t>
  </si>
  <si>
    <t>31/6/1388</t>
  </si>
  <si>
    <t>489.pdf</t>
  </si>
  <si>
    <t>https://drive.google.com/file/d/1YhwhC-cTfOg2AsZbGw4DavmL3ScHYukb/view?usp=drivesdk</t>
  </si>
  <si>
    <t>4/7/1388</t>
  </si>
  <si>
    <t>490.pdf</t>
  </si>
  <si>
    <t>https://drive.google.com/file/d/1GAIeiKB9r4rdO32uzJs8HIRTmtdkz5gL/view?usp=drivesdk</t>
  </si>
  <si>
    <t>7/7/1388</t>
  </si>
  <si>
    <t>491.pdf</t>
  </si>
  <si>
    <t>https://drive.google.com/file/d/1vlXbRDKlUckuXWVdWM__w1BTX5sXPiPn/view?usp=drivesdk</t>
  </si>
  <si>
    <t>11/7/1388</t>
  </si>
  <si>
    <t>492.pdf</t>
  </si>
  <si>
    <t>https://drive.google.com/file/d/1uBvpe-9f-rrUMu_DPNqehZq1lO16_CSP/view?usp=drivesdk</t>
  </si>
  <si>
    <t>14/7/1388</t>
  </si>
  <si>
    <t>493.pdf</t>
  </si>
  <si>
    <t>https://drive.google.com/file/d/1__yM6z6WEjkQFB1BFnT08j-_jr0MlvNy/view?usp=drivesdk</t>
  </si>
  <si>
    <t>18/7/1388</t>
  </si>
  <si>
    <t>494.pdf</t>
  </si>
  <si>
    <t>https://drive.google.com/file/d/1BdoJSd6SBB2IXVwTlExGlphmw9nC2fiG/view?usp=drivesdk</t>
  </si>
  <si>
    <t>21/7/1388</t>
  </si>
  <si>
    <t>495.pdf</t>
  </si>
  <si>
    <t>https://drive.google.com/file/d/1npMtmLV0TOc3KjSCs30cnLIuZjswocc0/view?usp=drivesdk</t>
  </si>
  <si>
    <t>28/7/1388</t>
  </si>
  <si>
    <t>496.pdf</t>
  </si>
  <si>
    <t>https://drive.google.com/file/d/10gpfGPomm_jpPiFStGKihUxHALBHu9iB/view?usp=drivesdk</t>
  </si>
  <si>
    <t>2/8/1388</t>
  </si>
  <si>
    <t>497.pdf</t>
  </si>
  <si>
    <t>https://drive.google.com/file/d/1Z-KrvspzaCJS-l7JlF8ovGzPoxJmCXo2/view?usp=drivesdk</t>
  </si>
  <si>
    <t>5/8/1388</t>
  </si>
  <si>
    <t>498.pdf</t>
  </si>
  <si>
    <t>https://drive.google.com/file/d/1tIkJLyXswgHuMza8NPAiSDdQjiEcbKPw/view?usp=drivesdk</t>
  </si>
  <si>
    <t>499.pdf</t>
  </si>
  <si>
    <t>https://drive.google.com/file/d/1pdaXxZhClgSIkakEPT7dyEtI87crHTYV/view?usp=drivesdk</t>
  </si>
  <si>
    <t>12/8/1388</t>
  </si>
  <si>
    <t>500.pdf</t>
  </si>
  <si>
    <t>https://drive.google.com/file/d/16o3zlbWxygrdBMKkuoh9Z5sEec62dHR3/view?usp=drivesdk</t>
  </si>
  <si>
    <t>16/8/1388</t>
  </si>
  <si>
    <t>501.pdf</t>
  </si>
  <si>
    <t>https://drive.google.com/file/d/1IFJdZBclzQSR1c5ax2Av4VVtYqhhlmJw/view?usp=drivesdk</t>
  </si>
  <si>
    <t>19/8/1388</t>
  </si>
  <si>
    <t>502.pdf</t>
  </si>
  <si>
    <t>https://drive.google.com/file/d/19GFgxmAPemv95Jk79kusOs_6ORJZRgQZ/view?usp=drivesdk</t>
  </si>
  <si>
    <t>23/8/1388</t>
  </si>
  <si>
    <t>503.pdf</t>
  </si>
  <si>
    <t>https://drive.google.com/file/d/1jCeu_sFGYpazY97PfepXR7_xvsaO1GTD/view?usp=drivesdk</t>
  </si>
  <si>
    <t>26/8/1388</t>
  </si>
  <si>
    <t>504.pdf</t>
  </si>
  <si>
    <t>https://drive.google.com/file/d/1AB-JoavFnFWfMFJPQvuiv-BOHIxX8ZDK/view?usp=drivesdk</t>
  </si>
  <si>
    <t>30/8/1388</t>
  </si>
  <si>
    <t>505.pdf</t>
  </si>
  <si>
    <t>https://drive.google.com/file/d/1luE8Nu62mNNAT7QvW6ZKbyptnl2NvGgL/view?usp=drivesdk</t>
  </si>
  <si>
    <t>3/9/1388</t>
  </si>
  <si>
    <t>506.pdf</t>
  </si>
  <si>
    <t>https://drive.google.com/file/d/1mIbzLBEV7-HvnubmV8nIETT0QcldQ-dN/view?usp=drivesdk</t>
  </si>
  <si>
    <t>10/9/1388</t>
  </si>
  <si>
    <t>507.pdf</t>
  </si>
  <si>
    <t>https://drive.google.com/file/d/1ITOD2k3FsUkd2n-E0LcDgNjfFZHwBfR3/view?usp=drivesdk</t>
  </si>
  <si>
    <t>17/9/1388</t>
  </si>
  <si>
    <t>508.pdf</t>
  </si>
  <si>
    <t>https://drive.google.com/file/d/1bZJ8Oht8a8hjV55seq7xVRwvw-G3KMd8/view?usp=drivesdk</t>
  </si>
  <si>
    <t>18/9/1388</t>
  </si>
  <si>
    <t>509.pdf</t>
  </si>
  <si>
    <t>https://drive.google.com/file/d/1tw0IME404Cq1mFpCbJvfvnl0iVFnttk9/view?usp=drivesdk</t>
  </si>
  <si>
    <t>19/9/1388</t>
  </si>
  <si>
    <t>510.pdf</t>
  </si>
  <si>
    <t>https://drive.google.com/file/d/1YeyK2wfkOFc1KN9J_TBP9edA1s7jUm_F/view?usp=drivesdk</t>
  </si>
  <si>
    <t>511.pdf</t>
  </si>
  <si>
    <t>https://drive.google.com/file/d/1uboo8cr-g69_WXfejZbe3E1qZ2n6SKMu/view?usp=drivesdk</t>
  </si>
  <si>
    <t>512.pdf</t>
  </si>
  <si>
    <t>https://drive.google.com/file/d/1s5_rFSSZChrHA6W3TQDsIVtJD9EJpdwf/view?usp=drivesdk</t>
  </si>
  <si>
    <t>25/9/1388</t>
  </si>
  <si>
    <t>513.pdf</t>
  </si>
  <si>
    <t>https://drive.google.com/file/d/1I83_Swan9_C2TbsZYoBXktQJh8gt3uyu/view?usp=drivesdk</t>
  </si>
  <si>
    <t>28/9/1388</t>
  </si>
  <si>
    <t>514.pdf</t>
  </si>
  <si>
    <t>https://drive.google.com/file/d/1o0ngnlG6V8vUb3Tl6t6G9v0dibz1QNc0/view?usp=drivesdk</t>
  </si>
  <si>
    <t>1/10/1388</t>
  </si>
  <si>
    <t>516.pdf</t>
  </si>
  <si>
    <t>https://drive.google.com/file/d/1JapQ0fFbh6fTZ485il4QqYrR_JUtybom/view?usp=drivesdk</t>
  </si>
  <si>
    <t>4/12/1388</t>
  </si>
  <si>
    <t>517.pdf</t>
  </si>
  <si>
    <t>https://drive.google.com/file/d/1PlIV-yzNlWccToaKEqXukYwabrAUzSqJ/view?usp=drivesdk</t>
  </si>
  <si>
    <t>11/12/1388</t>
  </si>
  <si>
    <t>518.pdf</t>
  </si>
  <si>
    <t>https://drive.google.com/file/d/1s_WdTOtkzDLcCTnsvdHGnsw_nxqz-zv9/view?usp=drivesdk</t>
  </si>
  <si>
    <t>15/12/1388</t>
  </si>
  <si>
    <t>519.pdf</t>
  </si>
  <si>
    <t>https://drive.google.com/file/d/1ZoLiEwbdy9qBcWJOvuHtwhX49dc4fcvX/view?usp=drivesdk</t>
  </si>
  <si>
    <t>18/12/1388</t>
  </si>
  <si>
    <t>520.pdf</t>
  </si>
  <si>
    <t>https://drive.google.com/file/d/1P-jJh6cqnn9EG65uWoPrUV12j--LB4FD/view?usp=drivesdk</t>
  </si>
  <si>
    <t>محمدحسین فاتحی</t>
  </si>
  <si>
    <t>21/1/1389</t>
  </si>
  <si>
    <t>521.pdf</t>
  </si>
  <si>
    <t>https://drive.google.com/file/d/1G-GNcpo3yQ7Rcta8Jisx80jJj2RY2Z6v/view?usp=drivesdk</t>
  </si>
  <si>
    <t>522.pdf</t>
  </si>
  <si>
    <t>https://drive.google.com/file/d/1_aZLfTXzeVAG7OhJz247XIs5q6UCfTPP/view?usp=drivesdk</t>
  </si>
  <si>
    <t>7/2/1389</t>
  </si>
  <si>
    <t>523.pdf</t>
  </si>
  <si>
    <t>https://drive.google.com/file/d/1qreypS9h8JIq6vyH-g8NztOFJg5nRwYU/view?usp=drivesdk</t>
  </si>
  <si>
    <t>14/2/1389</t>
  </si>
  <si>
    <t>524.pdf</t>
  </si>
  <si>
    <t>https://drive.google.com/file/d/18zouF6JwUwOeAp6Vm10PifP8QH3Zytjd/view?usp=drivesdk</t>
  </si>
  <si>
    <t>4/3/1389</t>
  </si>
  <si>
    <t>525.pdf</t>
  </si>
  <si>
    <t>https://drive.google.com/file/d/14I0LMAu3vy5OEuuQepOWEgPyscboDEBF/view?usp=drivesdk</t>
  </si>
  <si>
    <t>محسن رستمی</t>
  </si>
  <si>
    <t>526.pdf</t>
  </si>
  <si>
    <t>https://drive.google.com/file/d/1HICVHC8W7m-UV7gry5dzktQ48hqBeDfx/view?usp=drivesdk</t>
  </si>
  <si>
    <t>22/7/1391</t>
  </si>
  <si>
    <t>527.pdf</t>
  </si>
  <si>
    <t>https://drive.google.com/file/d/1wxuQwmdwXOmH8TDwwfpdVYIpMKipoZbi/view?usp=drivesdk</t>
  </si>
  <si>
    <t>29/7/1391</t>
  </si>
  <si>
    <t>528.pdf</t>
  </si>
  <si>
    <t>https://drive.google.com/file/d/1s6gfGVARz0C9E6wKo8O4lTy-yViUeeeP/view?usp=drivesdk</t>
  </si>
  <si>
    <t>6/8/1391</t>
  </si>
  <si>
    <t>529.pdf</t>
  </si>
  <si>
    <t>https://drive.google.com/file/d/18jvMU4s0E-3ad3EM44GZoKp74h4GuC8A/view?usp=drivesdk</t>
  </si>
  <si>
    <t>14/8/1391</t>
  </si>
  <si>
    <t>530.pdf</t>
  </si>
  <si>
    <t>https://drive.google.com/file/d/1zv1EFomu6duTWfcC9yaO9KnfzS9A7HIh/view?usp=drivesdk</t>
  </si>
  <si>
    <t>20/8/1391</t>
  </si>
  <si>
    <t>531.pdf</t>
  </si>
  <si>
    <t>https://drive.google.com/file/d/1KnT7UlPOrYugne1xxJicK-KV5qGWhxG1/view?usp=drivesdk</t>
  </si>
  <si>
    <t>27/8/1391</t>
  </si>
  <si>
    <t>532.pdf</t>
  </si>
  <si>
    <t>https://drive.google.com/file/d/1s8218oxtKFR94SD3aXpgJhHu0gpGAESU/view?usp=drivesdk</t>
  </si>
  <si>
    <t>11/9/1391</t>
  </si>
  <si>
    <t>533.pdf</t>
  </si>
  <si>
    <t>https://drive.google.com/file/d/145Z6hewMoQQEjpsv2D0Q332pr2xmWN5x/view?usp=drivesdk</t>
  </si>
  <si>
    <t>18/9/1391</t>
  </si>
  <si>
    <t>534.pdf</t>
  </si>
  <si>
    <t>https://drive.google.com/file/d/1TlDkSZei2D0Ic3jy1wiM7bmBW_BtepVZ/view?usp=drivesdk</t>
  </si>
  <si>
    <t>535.pdf</t>
  </si>
  <si>
    <t>https://drive.google.com/file/d/1RPNwuWo9tvjwB48lGZr46izpGSDSfD8j/view?usp=drivesdk</t>
  </si>
  <si>
    <t>2/10/1391</t>
  </si>
  <si>
    <t>536.pdf</t>
  </si>
  <si>
    <t>https://drive.google.com/file/d/18Qqr0V5uLViqvgPHibYbCHV26-laDFNM/view?usp=drivesdk</t>
  </si>
  <si>
    <t>24/11/1391</t>
  </si>
  <si>
    <t>537.pdf</t>
  </si>
  <si>
    <t>https://drive.google.com/file/d/1Ab-GgttHv5_8pBhjh57qXL4ozx-2SX0R/view?usp=drivesdk</t>
  </si>
  <si>
    <t>28/11/1391</t>
  </si>
  <si>
    <t>538.pdf</t>
  </si>
  <si>
    <t>https://drive.google.com/file/d/1dtB7gqGe3W4KMleAw-nycbHx-8FnJUyn/view?usp=drivesdk</t>
  </si>
  <si>
    <t>539.pdf</t>
  </si>
  <si>
    <t>https://drive.google.com/file/d/1pfl1w1ZKa5juWBXhtK6khhZwY_pDcnqP/view?usp=drivesdk</t>
  </si>
  <si>
    <t>5/12/1391</t>
  </si>
  <si>
    <t>540.pdf</t>
  </si>
  <si>
    <t>https://drive.google.com/file/d/1mGnxWtZSZP1dLbtuKP1HM42VHiBsTiRj/view?usp=drivesdk</t>
  </si>
  <si>
    <t>8/12/1391</t>
  </si>
  <si>
    <t>541.pdf</t>
  </si>
  <si>
    <t>https://drive.google.com/file/d/1ne0J5ubPz8indd7jx8UxNNMpveKTB49b/view?usp=drivesdk</t>
  </si>
  <si>
    <t>12/12/1391</t>
  </si>
  <si>
    <t>542.pdf</t>
  </si>
  <si>
    <t>https://drive.google.com/file/d/1qTPVPiiG9U6JeiLSPKNBmnoo6ATHmeg8/view?usp=drivesdk</t>
  </si>
  <si>
    <t>543.pdf</t>
  </si>
  <si>
    <t>https://drive.google.com/file/d/1ImF5C0GGfoyjZMDY6KEWPJOsVQb_xgy6/view?usp=drivesdk</t>
  </si>
  <si>
    <t>19/12/1391</t>
  </si>
  <si>
    <t>544.pdf</t>
  </si>
  <si>
    <t>https://drive.google.com/file/d/12j82_lTeGIbIHDzjCkdnYWtOVxrrnCIL/view?usp=drivesdk</t>
  </si>
  <si>
    <t>20/1/1392</t>
  </si>
  <si>
    <t>545.pdf</t>
  </si>
  <si>
    <t>https://drive.google.com/file/d/1wfNAUokuVizXRA8K3VzTuR6w2knVonLL/view?usp=drivesdk</t>
  </si>
  <si>
    <t>24/1/1392</t>
  </si>
  <si>
    <t>546.pdf</t>
  </si>
  <si>
    <t>https://drive.google.com/file/d/1KlTGMVUcQLBa2JE0UIrTiV3w99gFNx5P/view?usp=drivesdk</t>
  </si>
  <si>
    <t>27/1/1392</t>
  </si>
  <si>
    <t>547.pdf</t>
  </si>
  <si>
    <t>https://drive.google.com/file/d/1I7YlaiJo5T7Lr-4o1w_IL1_zMYyIFupz/view?usp=drivesdk</t>
  </si>
  <si>
    <t>31/1/1392</t>
  </si>
  <si>
    <t>548.pdf</t>
  </si>
  <si>
    <t>https://drive.google.com/file/d/15oRouy9iaPAuFS9JlaZ_OGqQQHvGbOlw/view?usp=drivesdk</t>
  </si>
  <si>
    <t>3/2/1392</t>
  </si>
  <si>
    <t>549.pdf</t>
  </si>
  <si>
    <t>https://drive.google.com/file/d/1wNDYJcSQ_HnTahhdsACdx_d_KBPWJI1s/view?usp=drivesdk</t>
  </si>
  <si>
    <t>7/2/1392</t>
  </si>
  <si>
    <t>550.pdf</t>
  </si>
  <si>
    <t>https://drive.google.com/file/d/1G4mPzGt6uO3G4h4fGMF9DQQzVOz8A5pR/view?usp=drivesdk</t>
  </si>
  <si>
    <t>10/2/1392</t>
  </si>
  <si>
    <t>551.pdf</t>
  </si>
  <si>
    <t>https://drive.google.com/file/d/17xm_IvcB7QmAZLgyLb9c_kh8bpjokrDd/view?usp=drivesdk</t>
  </si>
  <si>
    <t>14/2/1392</t>
  </si>
  <si>
    <t>552.pdf</t>
  </si>
  <si>
    <t>https://drive.google.com/file/d/1PsvCfI6H4zvDKhqlb_fT2-T2Id9ipdGZ/view?usp=drivesdk</t>
  </si>
  <si>
    <t>17/2/1392</t>
  </si>
  <si>
    <t>553.pdf</t>
  </si>
  <si>
    <t>https://drive.google.com/file/d/1fcMhpQCBDloNhuv3cmm5sdeW_BUgV49g/view?usp=drivesdk</t>
  </si>
  <si>
    <t>21/2/1392</t>
  </si>
  <si>
    <t>554.pdf</t>
  </si>
  <si>
    <t>https://drive.google.com/file/d/1JeipYzfZ2TU0ZN4KF5_d4YzCHBvyGLiV/view?usp=drivesdk</t>
  </si>
  <si>
    <t>24/2/1392</t>
  </si>
  <si>
    <t>555.pdf</t>
  </si>
  <si>
    <t>https://drive.google.com/file/d/1_IiHzg854gOeW4lVE5SrXgmT5eDnd8kE/view?usp=drivesdk</t>
  </si>
  <si>
    <t>28/2/1392</t>
  </si>
  <si>
    <t>556.pdf</t>
  </si>
  <si>
    <t>https://drive.google.com/file/d/1Tb6B8SqPdbn21hqcO88iikCRQ9dvb9kr/view?usp=drivesdk</t>
  </si>
  <si>
    <t>30/6/1392</t>
  </si>
  <si>
    <t>557.pdf</t>
  </si>
  <si>
    <t>https://drive.google.com/file/d/1qRhHC6eqcAGkgBQ4kQpZsYHAfgwI3eUk/view?usp=drivesdk</t>
  </si>
  <si>
    <t>2/7/1392</t>
  </si>
  <si>
    <t>558.pdf</t>
  </si>
  <si>
    <t>https://drive.google.com/file/d/1z-xRYoPBgYCwkueeTsNSb6xEHbbDsNrU/view?usp=drivesdk</t>
  </si>
  <si>
    <t>6/7/1392</t>
  </si>
  <si>
    <t>559.pdf</t>
  </si>
  <si>
    <t>https://drive.google.com/file/d/1ZO3ha_3p4kSi34JVrqqyIYRhHW3au5Xd/view?usp=drivesdk</t>
  </si>
  <si>
    <t>9/7/1392</t>
  </si>
  <si>
    <t>560.pdf</t>
  </si>
  <si>
    <t>https://drive.google.com/file/d/1JV-lBj4tabNMcshbanHLp9lPoh1e_VbQ/view?usp=drivesdk</t>
  </si>
  <si>
    <t>13/7/1392</t>
  </si>
  <si>
    <t>561.pdf</t>
  </si>
  <si>
    <t>https://drive.google.com/file/d/1ZQceB2-fE9JkTw37s7c9b-oCWoFr9-2E/view?usp=drivesdk</t>
  </si>
  <si>
    <t>16/7/1392</t>
  </si>
  <si>
    <t>562.pdf</t>
  </si>
  <si>
    <t>https://drive.google.com/file/d/1yK0w_UBcxp8a-BKhhM3jZMYhf978mC0f/view?usp=drivesdk</t>
  </si>
  <si>
    <t>20/7/1392</t>
  </si>
  <si>
    <t>563.pdf</t>
  </si>
  <si>
    <t>https://drive.google.com/file/d/1e-OIcmHrhKIIX8N_sdje7-J23WbMEvUd/view?usp=drivesdk</t>
  </si>
  <si>
    <t>23/7/1392</t>
  </si>
  <si>
    <t>564.pdf</t>
  </si>
  <si>
    <t>https://drive.google.com/file/d/1UWo7-mCmJ943ULCsoQRCQGbRS_HxnE_8/view?usp=drivesdk</t>
  </si>
  <si>
    <t>27/7/1392</t>
  </si>
  <si>
    <t>565.pdf</t>
  </si>
  <si>
    <t>https://drive.google.com/file/d/1RGaKRrHjyYjCBUJlv6xlx5Pn8FdxNGTr/view?usp=drivesdk</t>
  </si>
  <si>
    <t>30/7/1392</t>
  </si>
  <si>
    <t>566.pdf</t>
  </si>
  <si>
    <t>https://drive.google.com/file/d/1LYA0EHhOGmNt1MNyhXeUM2CxKAHYVMI1/view?usp=drivesdk</t>
  </si>
  <si>
    <t>4/8/1392</t>
  </si>
  <si>
    <t>567.pdf</t>
  </si>
  <si>
    <t>https://drive.google.com/file/d/1VG_O27_le6spG47dfV8m5RkCpe1ur6w1/view?usp=drivesdk</t>
  </si>
  <si>
    <t>11/8/1392</t>
  </si>
  <si>
    <t>568.pdf</t>
  </si>
  <si>
    <t>https://drive.google.com/file/d/1RYYusXg0ArBkYV6CU7Q73BQ8V_0DUd8m/view?usp=drivesdk</t>
  </si>
  <si>
    <t>14/8/1392</t>
  </si>
  <si>
    <t>569.pdf</t>
  </si>
  <si>
    <t>https://drive.google.com/file/d/1vyGEdj8c1IplEwqLlMYXhpfHMxcDzvu8/view?usp=drivesdk</t>
  </si>
  <si>
    <t>18/8/1392</t>
  </si>
  <si>
    <t>570.pdf</t>
  </si>
  <si>
    <t>https://drive.google.com/file/d/1JwgssvGjntgtTXGRsEZcb2YvX_nceYPn/view?usp=drivesdk</t>
  </si>
  <si>
    <t>21/8/1392</t>
  </si>
  <si>
    <t>571.pdf</t>
  </si>
  <si>
    <t>https://drive.google.com/file/d/1UVqqx0exElkz6kztsIxkbY8oRSc0vA5O/view?usp=drivesdk</t>
  </si>
  <si>
    <t>571- VijeName Moharram.pdf</t>
  </si>
  <si>
    <t>https://drive.google.com/file/d/1TXrshDLzDEWAsut_vySH959zErxzndjf/view?usp=drivesdk</t>
  </si>
  <si>
    <t>572.pdf</t>
  </si>
  <si>
    <t>https://drive.google.com/file/d/1r-skQmgaNd8EWme8Gk6yhX16A_ScFYQ5/view?usp=drivesdk</t>
  </si>
  <si>
    <t>573.pdf</t>
  </si>
  <si>
    <t>https://drive.google.com/file/d/1RfQhwdkBMVlvb9ZjxmVwH76HyHQ6cU4-/view?usp=drivesdk</t>
  </si>
  <si>
    <t>2/9/1392</t>
  </si>
  <si>
    <t>574.pdf</t>
  </si>
  <si>
    <t>https://drive.google.com/file/d/1xhTwIAdgJIFHahOKr88dWhAOty6fgNzj/view?usp=drivesdk</t>
  </si>
  <si>
    <t>5/9/1392</t>
  </si>
  <si>
    <t>575.pdf</t>
  </si>
  <si>
    <t>https://drive.google.com/file/d/1FsThEJs9r9VEVMa-TWCL_kSmR1Hbm_1K/view?usp=drivesdk</t>
  </si>
  <si>
    <t>9/9/1392</t>
  </si>
  <si>
    <t>576.pdf</t>
  </si>
  <si>
    <t>https://drive.google.com/file/d/1TdQT8CAQSyARYaMvtZqPh9WdB6lzCFMs/view?usp=drivesdk</t>
  </si>
  <si>
    <t>12/9/1392</t>
  </si>
  <si>
    <t>577.pdf</t>
  </si>
  <si>
    <t>https://drive.google.com/file/d/1PgV8z16mHQUwq0GGXKjbSLf2EYVNA6m1/view?usp=drivesdk</t>
  </si>
  <si>
    <t>16/9/1392</t>
  </si>
  <si>
    <t>578.pdf</t>
  </si>
  <si>
    <t>https://drive.google.com/file/d/1llXxac0txiJ0AcLT5O4akClIxuYqDxJq/view?usp=drivesdk</t>
  </si>
  <si>
    <t>19/9/1392</t>
  </si>
  <si>
    <t>579.pdf</t>
  </si>
  <si>
    <t>https://drive.google.com/file/d/1wZCfVNBeBpDBDb1dcvAZ8EhpS6BsXoUS/view?usp=drivesdk</t>
  </si>
  <si>
    <t>22/9/1392</t>
  </si>
  <si>
    <t>580.pdf</t>
  </si>
  <si>
    <t>https://drive.google.com/file/d/1cgP6p9dB_9FjNjKlwxCHZY_DDX386tPn/view?usp=drivesdk</t>
  </si>
  <si>
    <t>581.pdf</t>
  </si>
  <si>
    <t>https://drive.google.com/file/d/1rhUx9wA_lXC41gFnzzNJurTo9Xp81_Ge/view?usp=drivesdk</t>
  </si>
  <si>
    <t>30/9/1392</t>
  </si>
  <si>
    <t>583.pdf</t>
  </si>
  <si>
    <t>https://drive.google.com/file/d/16a7iXZtFDTICttKQM_ar9oZHx1g9XhQf/view?usp=drivesdk</t>
  </si>
  <si>
    <t>19/11/1392</t>
  </si>
  <si>
    <t>584.pdf</t>
  </si>
  <si>
    <t>https://drive.google.com/file/d/1GPldfE9IjrMxKaMHp1XmXN0XW2tjXOEP/view?usp=drivesdk</t>
  </si>
  <si>
    <t>26/11/1392</t>
  </si>
  <si>
    <t>585.pdf</t>
  </si>
  <si>
    <t>https://drive.google.com/file/d/1qXSk_0kSOVtB8s0PEtTKX98rHRU7faAM/view?usp=drivesdk</t>
  </si>
  <si>
    <t>29/11/1392</t>
  </si>
  <si>
    <t>586.pdf</t>
  </si>
  <si>
    <t>https://drive.google.com/file/d/1di1eEyJfXHaZTPc356ZVidOwI9yByVaa/view?usp=drivesdk</t>
  </si>
  <si>
    <t>3/12/1392</t>
  </si>
  <si>
    <t>587.pdf</t>
  </si>
  <si>
    <t>https://drive.google.com/file/d/1apDILVJM_mO_KRRTXMzS78EhPYu_k0Pd/view?usp=drivesdk</t>
  </si>
  <si>
    <t>6/12/1392</t>
  </si>
  <si>
    <t>588.pdf</t>
  </si>
  <si>
    <t>https://drive.google.com/file/d/1iY3vVFEImqmPCWgFtPRDOxsO_g3IL9EH/view?usp=drivesdk</t>
  </si>
  <si>
    <t>10/12/1392</t>
  </si>
  <si>
    <t>589.pdf</t>
  </si>
  <si>
    <t>https://drive.google.com/file/d/1F_17bIBJTWkzrLHxuxwXjEbPGvc1TW6w/view?usp=drivesdk</t>
  </si>
  <si>
    <t>13/12/1392</t>
  </si>
  <si>
    <t>590.pdf</t>
  </si>
  <si>
    <t>https://drive.google.com/file/d/1O5DM2aeLT2bSrEwf-3fRkeD2vNdFEGuq/view?usp=drivesdk</t>
  </si>
  <si>
    <t>17/12/1392</t>
  </si>
  <si>
    <t>591.pdf</t>
  </si>
  <si>
    <t>https://drive.google.com/file/d/1mQYexeCPwd_njLv4UKGR_WAAfIVjl2ob/view?usp=drivesdk</t>
  </si>
  <si>
    <t>20/12/1392</t>
  </si>
  <si>
    <t>592.pdf</t>
  </si>
  <si>
    <t>https://drive.google.com/file/d/1aS_toIL110PFv4AZ8gUYJDyJEY9rWol-/view?usp=drivesdk</t>
  </si>
  <si>
    <t>16/1/1393</t>
  </si>
  <si>
    <t>593.pdf</t>
  </si>
  <si>
    <t>https://drive.google.com/file/d/1n-FIFsZGzIS17DqNsSfYWljiYKT3X57S/view?usp=drivesdk</t>
  </si>
  <si>
    <t>19/1/1393</t>
  </si>
  <si>
    <t>594.pdf</t>
  </si>
  <si>
    <t>https://drive.google.com/file/d/1ZX_X7fCZuMDlvAebA-1dnMRsV1zlUbhr/view?usp=drivesdk</t>
  </si>
  <si>
    <t>23/1/1393</t>
  </si>
  <si>
    <t>595.pdf</t>
  </si>
  <si>
    <t>https://drive.google.com/file/d/1pbKiKQPgEw2FcVmJ6lwbOiKL6sQfI737/view?usp=drivesdk</t>
  </si>
  <si>
    <t>596.pdf</t>
  </si>
  <si>
    <t>https://drive.google.com/file/d/1gZDHatbiLrs3g45mOPDpSmQVV1CneMzE/view?usp=drivesdk</t>
  </si>
  <si>
    <t>30/1/1393</t>
  </si>
  <si>
    <t>597.pdf</t>
  </si>
  <si>
    <t>https://drive.google.com/file/d/1oHZv-l7EvANh9413mRPc2Lwrog0gXJgl/view?usp=drivesdk</t>
  </si>
  <si>
    <t>2/2/1393</t>
  </si>
  <si>
    <t>598.pdf</t>
  </si>
  <si>
    <t>https://drive.google.com/file/d/1p3FVzbUnUbhsc_PyY_EABWotUTB2kb_o/view?usp=drivesdk</t>
  </si>
  <si>
    <t>6/2/1393</t>
  </si>
  <si>
    <t>599.pdf</t>
  </si>
  <si>
    <t>https://drive.google.com/file/d/19EYT_oFrU8uQellnnMZGZVTPxy_dN_W7/view?usp=drivesdk</t>
  </si>
  <si>
    <t>9/2/1393</t>
  </si>
  <si>
    <t>600.pdf</t>
  </si>
  <si>
    <t>https://drive.google.com/file/d/1DhF4rXZ9AqFgPLEuwDF2fF5wsns7JfKR/view?usp=drivesdk</t>
  </si>
  <si>
    <t>13/2/1393</t>
  </si>
  <si>
    <t>601.pdf</t>
  </si>
  <si>
    <t>https://drive.google.com/file/d/1Nr9QXsgiURCxN07R-u3ik8-gOjYYC3LB/view?usp=drivesdk</t>
  </si>
  <si>
    <t>16/2/1393</t>
  </si>
  <si>
    <t>602.pdf</t>
  </si>
  <si>
    <t>https://drive.google.com/file/d/1M-g4qVR9XxSPqyRrLKuGyw5bc305kVMD/view?usp=drivesdk</t>
  </si>
  <si>
    <t>20/2/1393</t>
  </si>
  <si>
    <t>603.pdf</t>
  </si>
  <si>
    <t>https://drive.google.com/file/d/1Qm_6fyDKZxpdY9-Zglsd6fCsKqms811A/view?usp=drivesdk</t>
  </si>
  <si>
    <t>27/2/1393</t>
  </si>
  <si>
    <t>604.pdf</t>
  </si>
  <si>
    <t>https://drive.google.com/file/d/1AJg3YafLoeCBE3mkhp0a7lStG3RALBZu/view?usp=drivesdk</t>
  </si>
  <si>
    <t>30/2/1393</t>
  </si>
  <si>
    <t>605.pdf</t>
  </si>
  <si>
    <t>https://drive.google.com/file/d/1XlxUsm8pomG_6jBbwinsItBBkfo6KMre/view?usp=drivesdk</t>
  </si>
  <si>
    <t>3/3/1393</t>
  </si>
  <si>
    <t>606.pdf</t>
  </si>
  <si>
    <t>https://drive.google.com/file/d/1ueU651Noy9Gg0mpemduIm5tRDKKaZA6J/view?usp=drivesdk</t>
  </si>
  <si>
    <t>10/2/1393</t>
  </si>
  <si>
    <t>607.pdf</t>
  </si>
  <si>
    <t>https://drive.google.com/file/d/1cpQmW5rarxw8hwcz3yVZCFNbuY50qfJd/view?usp=drivesdk</t>
  </si>
  <si>
    <t>25/3/1393</t>
  </si>
  <si>
    <t>609.pdf</t>
  </si>
  <si>
    <t>https://drive.google.com/file/d/1f_sQwdQL2gD9jKNq3UJajaD20muhD1rl/view?usp=drivesdk</t>
  </si>
  <si>
    <t>29/6/1393</t>
  </si>
  <si>
    <t>610.pdf</t>
  </si>
  <si>
    <t>https://drive.google.com/file/d/17WCM-9qGI76VpnBo0E7nOOubNWrvPTnl/view?usp=drivesdk</t>
  </si>
  <si>
    <t>611.pdf</t>
  </si>
  <si>
    <t>https://drive.google.com/file/d/1z7tavBQnljyBdYKrvrJV8zdriJcsXJo7/view?usp=drivesdk</t>
  </si>
  <si>
    <t>5/7/1393</t>
  </si>
  <si>
    <t>612.pdf</t>
  </si>
  <si>
    <t>https://drive.google.com/file/d/1fgSZXG3PD2i2WE3GWDR1zGkPfsdXwlN7/view?usp=drivesdk</t>
  </si>
  <si>
    <t>8/7/1393</t>
  </si>
  <si>
    <t>613.pdf</t>
  </si>
  <si>
    <t>https://drive.google.com/file/d/1AzMSy4n-5_dj8bSTPQEmjIuKcbZ4wgqu/view?usp=drivesdk</t>
  </si>
  <si>
    <t>614.pdf</t>
  </si>
  <si>
    <t>https://drive.google.com/file/d/1abfowfHvPSFNuSi8uuGtY7rAbBNyWR-8/view?usp=drivesdk</t>
  </si>
  <si>
    <t>19/7/1393</t>
  </si>
  <si>
    <t>615.pdf</t>
  </si>
  <si>
    <t>https://drive.google.com/file/d/1jikWIfiDK8IqnzQrZs730BNglbWxY8lU/view?usp=drivesdk</t>
  </si>
  <si>
    <t>22/7/1393</t>
  </si>
  <si>
    <t>616.pdf</t>
  </si>
  <si>
    <t>https://drive.google.com/file/d/1mL6MNiMC_QPxqWKKzGii1fN5zrHjOo0O/view?usp=drivesdk</t>
  </si>
  <si>
    <t>26/7/1393</t>
  </si>
  <si>
    <t>617.pdf</t>
  </si>
  <si>
    <t>https://drive.google.com/file/d/19Pyif-Lat84lORiy68lV05hbg3siqARC/view?usp=drivesdk</t>
  </si>
  <si>
    <t>618.pdf</t>
  </si>
  <si>
    <t>https://drive.google.com/file/d/1u0snraKHhbMmaytHWu8WiDURY2H62XhE/view?usp=drivesdk</t>
  </si>
  <si>
    <t>3/8/1393</t>
  </si>
  <si>
    <t>619.pdf</t>
  </si>
  <si>
    <t>https://drive.google.com/file/d/1-Nmo5eSoQADi2LbgvKuZDIgWbA9HMqR6/view?usp=drivesdk</t>
  </si>
  <si>
    <t>6/8/1393</t>
  </si>
  <si>
    <t>620.pdf</t>
  </si>
  <si>
    <t>https://drive.google.com/file/d/1EUAY_BkPnJp8mnhwG_azXy3Sc63K23p7/view?usp=drivesdk</t>
  </si>
  <si>
    <t>10/8/1393</t>
  </si>
  <si>
    <t>621.pdf</t>
  </si>
  <si>
    <t>https://drive.google.com/file/d/179cH3sAbtcYF51Vwyli8_Ac8OnTN-4KE/view?usp=drivesdk</t>
  </si>
  <si>
    <t>622.pdf</t>
  </si>
  <si>
    <t>https://drive.google.com/file/d/1tURjxtMZ_zR8Iw0mNLhfQs0idDuFpSOk/view?usp=drivesdk</t>
  </si>
  <si>
    <t>24/8/1393</t>
  </si>
  <si>
    <t>623.pdf</t>
  </si>
  <si>
    <t>https://drive.google.com/file/d/1-9aaUjvkFXgtzDNLYidzLjEhXQ4lGYbE/view?usp=drivesdk</t>
  </si>
  <si>
    <t>27/8/1393</t>
  </si>
  <si>
    <t>624.pdf</t>
  </si>
  <si>
    <t>https://drive.google.com/file/d/1afSig5vMq6-aQ5vOSbK5KNSYbto7NpiR/view?usp=drivesdk</t>
  </si>
  <si>
    <t>1/9/1393</t>
  </si>
  <si>
    <t>625.pdf</t>
  </si>
  <si>
    <t>https://drive.google.com/file/d/1KMp-xviYVPDpz9V2QmhqI3TtLcUbiwwh/view?usp=drivesdk</t>
  </si>
  <si>
    <t>4/9/1393</t>
  </si>
  <si>
    <t>626.pdf</t>
  </si>
  <si>
    <t>https://drive.google.com/file/d/1HeYKufitwrkvkgknET0X6G4Zd00yrBtB/view?usp=drivesdk</t>
  </si>
  <si>
    <t>8/9/1393</t>
  </si>
  <si>
    <t>627.pdf</t>
  </si>
  <si>
    <t>https://drive.google.com/file/d/1xqCv0SmOLydvm-JWOaBqHYcReYxsNdq6/view?usp=drivesdk</t>
  </si>
  <si>
    <t>11/9/1393</t>
  </si>
  <si>
    <t>628.pdf</t>
  </si>
  <si>
    <t>https://drive.google.com/file/d/1HKVmhQGGkeQVGAoNkzrnGljjF_9bUXzH/view?usp=drivesdk</t>
  </si>
  <si>
    <t>629.pdf</t>
  </si>
  <si>
    <t>https://drive.google.com/file/d/1kVE9iVqfo-LSW7Hhe7J6fWpuk_f32e-M/view?usp=drivesdk</t>
  </si>
  <si>
    <t>18/9/1393</t>
  </si>
  <si>
    <t>630.pdf</t>
  </si>
  <si>
    <t>https://drive.google.com/file/d/1__Qe0uvp3egQGqwX6XQxljxt41AeucpN/view?usp=drivesdk</t>
  </si>
  <si>
    <t>25/9/1393</t>
  </si>
  <si>
    <t>631.pdf</t>
  </si>
  <si>
    <t>https://drive.google.com/file/d/1nODqjUU8GPD8y_1qE-uUyoLczRsRC3jJ/view?usp=drivesdk</t>
  </si>
  <si>
    <t>29/9/1393</t>
  </si>
  <si>
    <t>632.pdf</t>
  </si>
  <si>
    <t>https://drive.google.com/file/d/1qJzxsIdrMbCy8jXvWyCQRfofuN80AxnA/view?usp=drivesdk</t>
  </si>
  <si>
    <t>6/10/1393</t>
  </si>
  <si>
    <t>633.pdf</t>
  </si>
  <si>
    <t>https://drive.google.com/file/d/1qUVm79t_6o89U0dwIwXp2wI-o5zvncUI/view?usp=drivesdk</t>
  </si>
  <si>
    <t>9/10/1393</t>
  </si>
  <si>
    <t>634.pdf</t>
  </si>
  <si>
    <t>https://drive.google.com/file/d/1NC98x5ri3AW_QhIG5D8IpZ4SVIv_nxS3/view?usp=drivesdk</t>
  </si>
  <si>
    <t>14/11/1393</t>
  </si>
  <si>
    <t>635.pdf</t>
  </si>
  <si>
    <t>https://drive.google.com/file/d/1gUBlZ8Pvqxyoe7m0jKkM1HL8GxIIXiVv/view?usp=drivesdk</t>
  </si>
  <si>
    <t>636.pdf</t>
  </si>
  <si>
    <t>https://drive.google.com/file/d/1A4w9pVdFG3goShFQloG7OY9FOqlXKXp1/view?usp=drivesdk</t>
  </si>
  <si>
    <t>21/11/1393</t>
  </si>
  <si>
    <t>637.pdf</t>
  </si>
  <si>
    <t>https://drive.google.com/file/d/1YvBSDYLFknTtJFPfpN0-aynvfCmh7ooQ/view?usp=drivesdk</t>
  </si>
  <si>
    <t>25/11/1393</t>
  </si>
  <si>
    <t>638.pdf</t>
  </si>
  <si>
    <t>https://drive.google.com/file/d/1VDRkr6TGSCqPwOD_GsSo2CLYeCb2njDC/view?usp=drivesdk</t>
  </si>
  <si>
    <t>28/11/1393</t>
  </si>
  <si>
    <t>639.pdf</t>
  </si>
  <si>
    <t>https://drive.google.com/file/d/1YHH45SR0H0h2jQRDzsg8QAxyuLkus9pu/view?usp=drivesdk</t>
  </si>
  <si>
    <t>2/12/1393</t>
  </si>
  <si>
    <t>640 .pdf</t>
  </si>
  <si>
    <t>https://drive.google.com/file/d/1m9YkV3B0dsyHfPAerGgkl4xvmpLWUkAh/view?usp=drivesdk</t>
  </si>
  <si>
    <t>5/12/1393</t>
  </si>
  <si>
    <t>641.pdf</t>
  </si>
  <si>
    <t>https://drive.google.com/file/d/1sqvvPyCJ5o-NQUvYcAYBAzws69l1ej9h/view?usp=drivesdk</t>
  </si>
  <si>
    <t>9/12/1393</t>
  </si>
  <si>
    <t>642.pdf</t>
  </si>
  <si>
    <t>https://drive.google.com/file/d/1l8divplg4CnY5zHB047tby4gu2VL0SH-/view?usp=drivesdk</t>
  </si>
  <si>
    <t>12/12/1393</t>
  </si>
  <si>
    <t>643.pdf</t>
  </si>
  <si>
    <t>https://drive.google.com/file/d/1aRq5PnNx1UVV5WosDV4U4lsU3xwxw-gu/view?usp=drivesdk</t>
  </si>
  <si>
    <t>16/12/1393</t>
  </si>
  <si>
    <t>644.pdf</t>
  </si>
  <si>
    <t>https://drive.google.com/file/d/1lvUtDpFvlP-dUWZSy39qKfkLbnPPPdJi/view?usp=drivesdk</t>
  </si>
  <si>
    <t>19/12/1393</t>
  </si>
  <si>
    <t>645.pdf</t>
  </si>
  <si>
    <t>https://drive.google.com/file/d/1sgj-iNkC6pkkhbK0rs7RQTewgUQapKMp/view?usp=drivesdk</t>
  </si>
  <si>
    <t>18/1/1394</t>
  </si>
  <si>
    <t>646.pdf</t>
  </si>
  <si>
    <t>https://drive.google.com/file/d/1pfrYvbcIMhMmINbYCFPaUxyFKZ6udC8r/view?usp=drivesdk</t>
  </si>
  <si>
    <t>22/1/1394</t>
  </si>
  <si>
    <t>647.pdf</t>
  </si>
  <si>
    <t>https://drive.google.com/file/d/1XHdN-TlZvjV-Rg5QLFTy1NM5azBxAeb6/view?usp=drivesdk</t>
  </si>
  <si>
    <t>25/1/1394</t>
  </si>
  <si>
    <t>648.pdf</t>
  </si>
  <si>
    <t>https://drive.google.com/file/d/1Z2pxDcV5rpdKfvgSzpSTIqVGm3YGrIMp/view?usp=drivesdk</t>
  </si>
  <si>
    <t>29/1/1394</t>
  </si>
  <si>
    <t>649.pdf</t>
  </si>
  <si>
    <t>https://drive.google.com/file/d/1l2bzZKq7RXeqnsff0_Cq-LxVFCdX0mJs/view?usp=drivesdk</t>
  </si>
  <si>
    <t>650.pdf</t>
  </si>
  <si>
    <t>https://drive.google.com/file/d/14EcWrUFV9lnclIBhVYm_UzBlJNmq45wY/view?usp=drivesdk</t>
  </si>
  <si>
    <t>5/2/1394</t>
  </si>
  <si>
    <t>651.pdf</t>
  </si>
  <si>
    <t>https://drive.google.com/file/d/12y29s7oWNQAcXcyVHBdTW5cy4fb0FOY3/view?usp=drivesdk</t>
  </si>
  <si>
    <t>8/2/1394</t>
  </si>
  <si>
    <t>652.pdf</t>
  </si>
  <si>
    <t>https://drive.google.com/file/d/1VOD6jwFeaYp4bxrvQl7FgpROlfxxwt2J/view?usp=drivesdk</t>
  </si>
  <si>
    <t>653.pdf</t>
  </si>
  <si>
    <t>https://drive.google.com/file/d/1--O7Rm2MaN5f5_6gi7DGCVY5n4PhNWtR/view?usp=drivesdk</t>
  </si>
  <si>
    <t>19/2/1394</t>
  </si>
  <si>
    <t>654.pdf</t>
  </si>
  <si>
    <t>https://drive.google.com/file/d/1_CEeyT5LgavvsSlkylD64md0zpwTJ8eY/view?usp=drivesdk</t>
  </si>
  <si>
    <t>22/2/1394</t>
  </si>
  <si>
    <t>655.pdf</t>
  </si>
  <si>
    <t>https://drive.google.com/file/d/11FCHvZUrru2LBaJyAtdJznwPX_WC1jmE/view?usp=drivesdk</t>
  </si>
  <si>
    <t>29/2/1394</t>
  </si>
  <si>
    <t>656.pdf</t>
  </si>
  <si>
    <t>https://drive.google.com/file/d/1klis8A5FXBlPXhcyRsUqPEdQLGXCTbVA/view?usp=drivesdk</t>
  </si>
  <si>
    <t>2/3/1394</t>
  </si>
  <si>
    <t>657.pdf</t>
  </si>
  <si>
    <t>https://drive.google.com/file/d/1lZJUNJgVLXTnASaWm-LDPTkQqUfe_sEt/view?usp=drivesdk</t>
  </si>
  <si>
    <t>5/3/1394</t>
  </si>
  <si>
    <t>658.pdf</t>
  </si>
  <si>
    <t>https://drive.google.com/file/d/1b8Mq1pds6aLl8GLUImKdit_IQe925-uh/view?usp=drivesdk</t>
  </si>
  <si>
    <t>9/3/1394</t>
  </si>
  <si>
    <t>659.pdf</t>
  </si>
  <si>
    <t>https://drive.google.com/file/d/17JNyANSVx907Kd4JJvaNfwd4OUcBKuMi/view?usp=drivesdk</t>
  </si>
  <si>
    <t>21/7/1394</t>
  </si>
  <si>
    <t>660.pdf</t>
  </si>
  <si>
    <t>https://drive.google.com/file/d/1_3NWp7p9R8IO11LxTntocIcZKPLAVd_G/view?usp=drivesdk</t>
  </si>
  <si>
    <t>25/7/1394</t>
  </si>
  <si>
    <t>661.pdf</t>
  </si>
  <si>
    <t>https://drive.google.com/file/d/12iKFZYDaCCnqY0jocK-hCZ0yRL0DdT6E/view?usp=drivesdk</t>
  </si>
  <si>
    <t>662.pdf</t>
  </si>
  <si>
    <t>https://drive.google.com/file/d/1Vu-T8oraEwemolPgvTupjle5PuGwfNx6/view?usp=drivesdk</t>
  </si>
  <si>
    <t>5/8/1394</t>
  </si>
  <si>
    <t>663.pdf</t>
  </si>
  <si>
    <t>https://drive.google.com/file/d/14XeICWXx-UAzgo1_j9_exy8Wi8ZX4cOe/view?usp=drivesdk</t>
  </si>
  <si>
    <t>9/8/1394</t>
  </si>
  <si>
    <t>664.pdf</t>
  </si>
  <si>
    <t>https://drive.google.com/file/d/1CdwlcNSCTVVo7K8BOdQNU-n6vokynBz4/view?usp=drivesdk</t>
  </si>
  <si>
    <t>665.pdf</t>
  </si>
  <si>
    <t>https://drive.google.com/file/d/1iq5S_sLcyU30IiqGZY_sh0EgqC0FLoIa/view?usp=drivesdk</t>
  </si>
  <si>
    <t>16/8/1394</t>
  </si>
  <si>
    <t>666.pdf</t>
  </si>
  <si>
    <t>https://drive.google.com/file/d/1pmsHluFeI8p6HP0o9c7IE6iE26jEU6uq/view?usp=drivesdk</t>
  </si>
  <si>
    <t>19/8/1394</t>
  </si>
  <si>
    <t>667.pdf</t>
  </si>
  <si>
    <t>https://drive.google.com/file/d/1w_Pr7gdrByKHNIucK-o_ISthu-o7N4x5/view?usp=drivesdk</t>
  </si>
  <si>
    <t>23/8/1394</t>
  </si>
  <si>
    <t>668.pdf</t>
  </si>
  <si>
    <t>https://drive.google.com/file/d/1uEgRFAd5KaUbN08bk1fyM8xJdq4L7XIk/view?usp=drivesdk</t>
  </si>
  <si>
    <t>26/8/1394</t>
  </si>
  <si>
    <t>669.pdf</t>
  </si>
  <si>
    <t>https://drive.google.com/file/d/1wBchZe8PcNrUUNDkYZsI5r8vwKHCDYYm/view?usp=drivesdk</t>
  </si>
  <si>
    <t>30/8/1394</t>
  </si>
  <si>
    <t>670.pdf</t>
  </si>
  <si>
    <t>https://drive.google.com/file/d/1Ro-a5Pv8uo-0oUEXlfLfBWga1pGUC1Bs/view?usp=drivesdk</t>
  </si>
  <si>
    <t>3/9/1394</t>
  </si>
  <si>
    <t>671.pdf</t>
  </si>
  <si>
    <t>https://drive.google.com/file/d/1uKEk54qoBs1FMZ6CMW_tWYC-fHP4ecUt/view?usp=drivesdk</t>
  </si>
  <si>
    <t>7/9/1394</t>
  </si>
  <si>
    <t>672.pdf</t>
  </si>
  <si>
    <t>https://drive.google.com/file/d/1ooDjA1s9QJ0tSXq1Nw8v2enoXq6WovZ1/view?usp=drivesdk</t>
  </si>
  <si>
    <t>673.pdf</t>
  </si>
  <si>
    <t>https://drive.google.com/file/d/1ZqZHJIRSGJCGWkzSTGTqSAFbizU1mbPw/view?usp=drivesdk</t>
  </si>
  <si>
    <t>14/9/1394</t>
  </si>
  <si>
    <t>674.pdf</t>
  </si>
  <si>
    <t>https://drive.google.com/file/d/14qfePM3eFfB8AUt8MIJumlaN1a4R9H60/view?usp=drivesdk</t>
  </si>
  <si>
    <t>17/9/1394</t>
  </si>
  <si>
    <t>675.pdf</t>
  </si>
  <si>
    <t>https://drive.google.com/file/d/1k-Gl8oKi-mB63ZRCUEZkxyek4iRQU_4E/view?usp=drivesdk</t>
  </si>
  <si>
    <t>676.pdf</t>
  </si>
  <si>
    <t>https://drive.google.com/file/d/1dEqEx8pWVGx2ss_QutGKvN_bPo81a4lV/view?usp=drivesdk</t>
  </si>
  <si>
    <t>28/9/1394</t>
  </si>
  <si>
    <t>677.pdf</t>
  </si>
  <si>
    <t>https://drive.google.com/file/d/1s58IkRZStkvfs35j5QQGVGiPTbqVc-Ho/view?usp=drivesdk</t>
  </si>
  <si>
    <t>1/10/1394</t>
  </si>
  <si>
    <t>678.pdf</t>
  </si>
  <si>
    <t>https://drive.google.com/file/d/1fvm9uUGm8Ch_i5nIudUXaIceVv_8xsfV/view?usp=drivesdk</t>
  </si>
  <si>
    <t>1/12/1394</t>
  </si>
  <si>
    <t>679.pdf</t>
  </si>
  <si>
    <t>https://drive.google.com/file/d/1t3oJeDxZQB6w8k2g3KoZWXyxY2F7NvGC/view?usp=drivesdk</t>
  </si>
  <si>
    <t>4/12/1394</t>
  </si>
  <si>
    <t>680.pdf</t>
  </si>
  <si>
    <t>https://drive.google.com/file/d/1RO3aOn9B0IRf3uMS3GtnOC07gGmJPvSm/view?usp=drivesdk</t>
  </si>
  <si>
    <t>8/12/1394</t>
  </si>
  <si>
    <t>681.pdf</t>
  </si>
  <si>
    <t>https://drive.google.com/file/d/1v2y9qZq0LJTH12pYZTMpL-t1xgSj9l_X/view?usp=drivesdk</t>
  </si>
  <si>
    <t>11/12/1394</t>
  </si>
  <si>
    <t>682.pdf</t>
  </si>
  <si>
    <t>https://drive.google.com/file/d/1lDv3rIhwRjwpOGZWXJMGw-2CEAdk-I1A/view?usp=drivesdk</t>
  </si>
  <si>
    <t>683.pdf</t>
  </si>
  <si>
    <t>https://drive.google.com/file/d/1FNJeFFtn5_m-OGebGNOjXx-HtX6Q0w-X/view?usp=drivesdk</t>
  </si>
  <si>
    <t>684.pdf</t>
  </si>
  <si>
    <t>https://drive.google.com/file/d/1x7oOnRMFu2CLWAp4_klINpZ2f77WDhD0/view?usp=drivesdk</t>
  </si>
  <si>
    <t>17/1/1395</t>
  </si>
  <si>
    <t>685.pdf</t>
  </si>
  <si>
    <t>https://drive.google.com/file/d/1WPdfF1K6uH4vevF8Oe8Jyj_LCqTNwxIB/view?usp=drivesdk</t>
  </si>
  <si>
    <t>21/1/1395</t>
  </si>
  <si>
    <t>686.pdf</t>
  </si>
  <si>
    <t>https://drive.google.com/file/d/1BRLJK5dkEmGKt5K22vNNoDyjlRwTjHd-/view?usp=drivesdk</t>
  </si>
  <si>
    <t>24/1/1395</t>
  </si>
  <si>
    <t>687.pdf</t>
  </si>
  <si>
    <t>https://drive.google.com/file/d/1ImckUVSRQ7sHaFWvBjM6zSmtFZVYNTEZ/view?usp=drivesdk</t>
  </si>
  <si>
    <t>28/1/1395</t>
  </si>
  <si>
    <t>688.pdf</t>
  </si>
  <si>
    <t>https://drive.google.com/file/d/1NCYm2EBSycflIPrQLXRBh60vSxcRj1Ss/view?usp=drivesdk</t>
  </si>
  <si>
    <t>31/1/1395</t>
  </si>
  <si>
    <t>689.pdf</t>
  </si>
  <si>
    <t>https://drive.google.com/file/d/1WoVBjNGB2xiC2AaXeKgd4o6xHhbevK0S/view?usp=drivesdk</t>
  </si>
  <si>
    <t>4/2/1395</t>
  </si>
  <si>
    <t>690.pdf</t>
  </si>
  <si>
    <t>https://drive.google.com/file/d/1NoWvML7vQKNEi4KDdnaPPPag0frr_eYb/view?usp=drivesdk</t>
  </si>
  <si>
    <t>7/2/1395</t>
  </si>
  <si>
    <t>691.pdf</t>
  </si>
  <si>
    <t>https://drive.google.com/file/d/1vxCdA5gWdRaNBBRQ9tvqDGddXKwm01JD/view?usp=drivesdk</t>
  </si>
  <si>
    <t>11/2/1395</t>
  </si>
  <si>
    <t>692.pdf</t>
  </si>
  <si>
    <t>https://drive.google.com/file/d/1lGgKWQ8FNfnbbO2lLLme5noDMM6uLlsK/view?usp=drivesdk</t>
  </si>
  <si>
    <t>14/2/1395</t>
  </si>
  <si>
    <t>693.pdf</t>
  </si>
  <si>
    <t>https://drive.google.com/file/d/1FkR5gvzPT_iA2Hq1GKhkiaWtzTI41waV/view?usp=drivesdk</t>
  </si>
  <si>
    <t>18/2/1395</t>
  </si>
  <si>
    <t>694.pdf</t>
  </si>
  <si>
    <t>https://drive.google.com/file/d/1iKXGSswHGfG6eO4hoOsQ_HooO4fZZBsn/view?usp=drivesdk</t>
  </si>
  <si>
    <t>695.pdf</t>
  </si>
  <si>
    <t>https://drive.google.com/file/d/1WT9BWApaCuNpR0zoU5OSmcBFWDbBh-6P/view?usp=drivesdk</t>
  </si>
  <si>
    <t>25/2/1395</t>
  </si>
  <si>
    <t>696.pdf</t>
  </si>
  <si>
    <t>https://drive.google.com/file/d/1TBbLdIuolJ-udt_4uGGNcodkgy65WoEX/view?usp=drivesdk</t>
  </si>
  <si>
    <t>28/2/1395</t>
  </si>
  <si>
    <t>697.pdf</t>
  </si>
  <si>
    <t>https://drive.google.com/file/d/1IpFowDOfKeRhYQBof6zDw8PkFU7XN1zX/view?usp=drivesdk</t>
  </si>
  <si>
    <t>698.pdf</t>
  </si>
  <si>
    <t>https://drive.google.com/file/d/1Lh5q_30GcQmMgKth6xYZOxClIEKNPXnQ/view?usp=drivesdk</t>
  </si>
  <si>
    <t>1/3/1395</t>
  </si>
  <si>
    <t>699.pdf</t>
  </si>
  <si>
    <t>https://drive.google.com/file/d/1_71jFqFcTII0M6-VxLY4HNQKkRCPhLwG/view?usp=drivesdk</t>
  </si>
  <si>
    <t>4/3/1395</t>
  </si>
  <si>
    <t>700.pdf</t>
  </si>
  <si>
    <t>https://drive.google.com/file/d/1NEdE0hsrA-QYVH5lw0wYw-Kk2dh6NAO8/view?usp=drivesdk</t>
  </si>
  <si>
    <t>4/10/1395</t>
  </si>
  <si>
    <t>701.pdf</t>
  </si>
  <si>
    <t>https://drive.google.com/file/d/1q4kihNEzISq3u_vkOWcjEYokJIaErj-v/view?usp=drivesdk</t>
  </si>
  <si>
    <t>19/11/1395</t>
  </si>
  <si>
    <t>702.pdf</t>
  </si>
  <si>
    <t>https://drive.google.com/file/d/1L5TNGrz9iso0LJ36m0CBwkzGLDDHSweC/view?usp=drivesdk</t>
  </si>
  <si>
    <t>23/11/1395</t>
  </si>
  <si>
    <t>703.pdf</t>
  </si>
  <si>
    <t>https://drive.google.com/file/d/16kuAPlHMF-WOSRU1z7zC9H5En_IdjuOr/view?usp=drivesdk</t>
  </si>
  <si>
    <t>محمدصالح انصاری</t>
  </si>
  <si>
    <t>26/11/1395</t>
  </si>
  <si>
    <t>704.pdf</t>
  </si>
  <si>
    <t>https://drive.google.com/file/d/1_XnsmsPZI2H3mUoswjNqSFqIzcUG-08u/view?usp=drivesdk</t>
  </si>
  <si>
    <t>30/11/1395</t>
  </si>
  <si>
    <t>705.pdf</t>
  </si>
  <si>
    <t>https://drive.google.com/file/d/19Co45-Z_sXZKN_JWjpcVQB6QuTtpNp11/view?usp=drivesdk</t>
  </si>
  <si>
    <t>706.pdf</t>
  </si>
  <si>
    <t>https://drive.google.com/file/d/1KZHSnBUETrtKGg_Jg5BQWYW9dLEix14l/view?usp=drivesdk</t>
  </si>
  <si>
    <t>7/12/1395</t>
  </si>
  <si>
    <t>707.pdf</t>
  </si>
  <si>
    <t>https://drive.google.com/file/d/1bjtyPjFSJoAi4-PaqxGJFWYaBqjbaCT8/view?usp=drivesdk</t>
  </si>
  <si>
    <t>10/12/1395</t>
  </si>
  <si>
    <t>708.pdf</t>
  </si>
  <si>
    <t>https://drive.google.com/file/d/12eBu7TZYla4vxG0hT7WEOeWtQJWeRXYz/view?usp=drivesdk</t>
  </si>
  <si>
    <t>709.pdf</t>
  </si>
  <si>
    <t>https://drive.google.com/file/d/1IWv_VgqGYtAptQR4OfHBF_qdQ8wsfaVO/view?usp=drivesdk</t>
  </si>
  <si>
    <t>17/12/1395</t>
  </si>
  <si>
    <t>710.pdf</t>
  </si>
  <si>
    <t>https://drive.google.com/file/d/1mKBTbCtSqFBZH7_brCZruwVLcLBAhTfH/view?usp=drivesdk</t>
  </si>
  <si>
    <t>21/12/1395</t>
  </si>
  <si>
    <t>711.pdf</t>
  </si>
  <si>
    <t>https://drive.google.com/file/d/1KO9Aiuv3C3aEeRd_5J4c9YTQk2Eyjt5N/view?usp=drivesdk</t>
  </si>
  <si>
    <t>19/1/1396</t>
  </si>
  <si>
    <t>712.pdf</t>
  </si>
  <si>
    <t>https://drive.google.com/file/d/1ffxOFS2RC619t0fye9bzjoNG6bv8OHkJ/view?usp=drivesdk</t>
  </si>
  <si>
    <t>713.pdf</t>
  </si>
  <si>
    <t>https://drive.google.com/file/d/1KQYyKSp0HLUqRDsRYXc-uw_ufw7r6h6i/view?usp=drivesdk</t>
  </si>
  <si>
    <t>29/1/1396</t>
  </si>
  <si>
    <t>714.pdf</t>
  </si>
  <si>
    <t>https://drive.google.com/file/d/19AzzuFb1jJCceKBvwKxyrn_oPIZDgyac/view?usp=drivesdk</t>
  </si>
  <si>
    <t>2/2/1396</t>
  </si>
  <si>
    <t>715.pdf</t>
  </si>
  <si>
    <t>https://drive.google.com/file/d/19IAt7gBwJ8EBHuOPUEpZTa9xCH2pt6nE/view?usp=drivesdk</t>
  </si>
  <si>
    <t>9/2/1396</t>
  </si>
  <si>
    <t>716.pdf</t>
  </si>
  <si>
    <t>https://drive.google.com/file/d/19paCVCP61KO79ah8E7GPHgQaphA50yqu/view?usp=drivesdk</t>
  </si>
  <si>
    <t>12/2/1396</t>
  </si>
  <si>
    <t>717.pdf</t>
  </si>
  <si>
    <t>https://drive.google.com/file/d/1yZ5_GHEcjgAB6xgo7Nbp5GvAe64BaG5L/view?usp=drivesdk</t>
  </si>
  <si>
    <t>16/2/1396</t>
  </si>
  <si>
    <t>718.pdf</t>
  </si>
  <si>
    <t>https://drive.google.com/file/d/1l8YK5PS8rXLCgvxLPxFuC7h4Hf--viBy/view?usp=drivesdk</t>
  </si>
  <si>
    <t>19/2/1396</t>
  </si>
  <si>
    <t>719.pdf</t>
  </si>
  <si>
    <t>https://drive.google.com/file/d/1M9uLZzXnGZ0mexW9cewPN0k_IZ9VrcZK/view?usp=drivesdk</t>
  </si>
  <si>
    <t>720.pdf</t>
  </si>
  <si>
    <t>https://drive.google.com/file/d/1FOuYbH0ubUVVxWsVWHLoisewAUzePVHE/view?usp=drivesdk</t>
  </si>
  <si>
    <t>26/2/1396</t>
  </si>
  <si>
    <t>721.pdf</t>
  </si>
  <si>
    <t>https://drive.google.com/file/d/15eRALS07E5eaiMvxlc196lox_I9TE8Ns/view?usp=drivesdk</t>
  </si>
  <si>
    <t>31/2/1396</t>
  </si>
  <si>
    <t>722.pdf</t>
  </si>
  <si>
    <t>https://drive.google.com/file/d/1mSgM1JMaIN6HeqRLiaypAwmuusOz-CZV/view?usp=drivesdk</t>
  </si>
  <si>
    <t>2/3/1396</t>
  </si>
  <si>
    <t>723.pdf</t>
  </si>
  <si>
    <t>https://drive.google.com/file/d/1o_hXMSXSGZ3uEEtJ--yHTd_GsNjpecfP/view?usp=drivesdk</t>
  </si>
  <si>
    <t>6/3/1396</t>
  </si>
  <si>
    <t>724.pdf</t>
  </si>
  <si>
    <t>https://drive.google.com/file/d/1H_LePl04MaOLmvtym559tzwyG5WwTZ7B/view?usp=drivesdk</t>
  </si>
  <si>
    <t>9/3/1396</t>
  </si>
  <si>
    <t>725.pdf</t>
  </si>
  <si>
    <t>https://drive.google.com/file/d/1c9NahPf8wP0zR-DSTTzDftWSwvKfpkPN/view?usp=drivesdk</t>
  </si>
  <si>
    <t>21/5/1396</t>
  </si>
  <si>
    <t>726.pdf</t>
  </si>
  <si>
    <t>https://drive.google.com/file/d/12KmLywqVf1SJmVHU5NxNc0vCEpQ7dg-x/view?usp=drivesdk</t>
  </si>
  <si>
    <t>4/7/1396</t>
  </si>
  <si>
    <t>727.pdf</t>
  </si>
  <si>
    <t>https://drive.google.com/file/d/1OxvJC43KOVOhtkXTTLeDfLO77kkesfOm/view?usp=drivesdk</t>
  </si>
  <si>
    <t>11/7/1396</t>
  </si>
  <si>
    <t>728.pdf</t>
  </si>
  <si>
    <t>https://drive.google.com/file/d/1Zq47k3Ar6WMvv_9Ryky6BHUvWjY3IahM/view?usp=drivesdk</t>
  </si>
  <si>
    <t>729.pdf</t>
  </si>
  <si>
    <t>https://drive.google.com/file/d/1KTrO1UsKAc7wd4-PJHy7y0a5jxlYMf0j/view?usp=drivesdk</t>
  </si>
  <si>
    <t>18/7/1396</t>
  </si>
  <si>
    <t>730.pdf</t>
  </si>
  <si>
    <t>https://drive.google.com/file/d/1sVih9d3E7YtfXXXG8pBYTOCs6g32X9pC/view?usp=drivesdk</t>
  </si>
  <si>
    <t>731.pdf</t>
  </si>
  <si>
    <t>https://drive.google.com/file/d/1ABszOEPlsLQK7FaSUgHC7ONsqE_eEx3V/view?usp=drivesdk</t>
  </si>
  <si>
    <t>25/7/1396</t>
  </si>
  <si>
    <t>732.pdf</t>
  </si>
  <si>
    <t>https://drive.google.com/file/d/1rQAFULdoPXABUG5IkxePcWwIcKtYjUmw/view?usp=drivesdk</t>
  </si>
  <si>
    <t>733.pdf</t>
  </si>
  <si>
    <t>https://drive.google.com/file/d/1reFLjFly_lyjlBda-TKp6iZhpiezjd23/view?usp=drivesdk</t>
  </si>
  <si>
    <t>2/8/1396</t>
  </si>
  <si>
    <t>734.pdf</t>
  </si>
  <si>
    <t>https://drive.google.com/file/d/15QGWwvS6E_LLvOp47ljXgq5Fcoant8DK/view?usp=drivesdk</t>
  </si>
  <si>
    <t>735.pdf</t>
  </si>
  <si>
    <t>https://drive.google.com/file/d/1HRWyxIFtSJk092CA37bxG3lksC3jqFGm/view?usp=drivesdk</t>
  </si>
  <si>
    <t>9/8/1396</t>
  </si>
  <si>
    <t>736.pdf</t>
  </si>
  <si>
    <t>https://drive.google.com/file/d/15UU0QZAFl3RuffmpBiKw_jvXFQefoPEa/view?usp=drivesdk</t>
  </si>
  <si>
    <t>13/8/1396</t>
  </si>
  <si>
    <t>737.pdf</t>
  </si>
  <si>
    <t>https://drive.google.com/file/d/1eOr4N8GhPzyjq1vvmXj1Km6w5Cfc0zbl/view?usp=drivesdk</t>
  </si>
  <si>
    <t>16/8/1396</t>
  </si>
  <si>
    <t>738.pdf</t>
  </si>
  <si>
    <t>https://drive.google.com/file/d/17-nahq3obmWe5Fw-r8AzfO-Ou9noR_hT/view?usp=drivesdk</t>
  </si>
  <si>
    <t>739.pdf</t>
  </si>
  <si>
    <t>https://drive.google.com/file/d/1UB72AilyRxFYxphlJhALfaW3JfAkgCeu/view?usp=drivesdk</t>
  </si>
  <si>
    <t>23/8/1396</t>
  </si>
  <si>
    <t>740.pdf</t>
  </si>
  <si>
    <t>https://drive.google.com/file/d/1vbRAEYoHPpCw7h77bSdqhbcPr7Js-Cew/view?usp=drivesdk</t>
  </si>
  <si>
    <t>30/8/1396</t>
  </si>
  <si>
    <t>741.pdf</t>
  </si>
  <si>
    <t>https://drive.google.com/file/d/1qwnS8drH2BsrRL2S13B545JhsBuXb-37/view?usp=drivesdk</t>
  </si>
  <si>
    <t>4/9/1396</t>
  </si>
  <si>
    <t>742.pdf</t>
  </si>
  <si>
    <t>https://drive.google.com/file/d/1E_n_Gx_6GQWRCrPodytEzQa5MeLhlOHC/view?usp=drivesdk</t>
  </si>
  <si>
    <t>7/9/1396</t>
  </si>
  <si>
    <t>743.pdf</t>
  </si>
  <si>
    <t>https://drive.google.com/file/d/1Uiv54J0vpTKGewtkwLSUtrvjx8OwzPlK/view?usp=drivesdk</t>
  </si>
  <si>
    <t>744.pdf</t>
  </si>
  <si>
    <t>https://drive.google.com/file/d/1YAwoFDn1hRiprYOjOpHfnRuWxSmtyUvc/view?usp=drivesdk</t>
  </si>
  <si>
    <t>14/9/1396</t>
  </si>
  <si>
    <t>745.pdf</t>
  </si>
  <si>
    <t>https://drive.google.com/file/d/1hjo7DVZf1XA6xOOKHCt0GuTH3oOkX8eF/view?usp=drivesdk</t>
  </si>
  <si>
    <t>18/9/1396</t>
  </si>
  <si>
    <t>746.pdf</t>
  </si>
  <si>
    <t>https://drive.google.com/file/d/1lE1-hJkDxPTSS6MfgGRu37lZdiNB2-Mg/view?usp=drivesdk</t>
  </si>
  <si>
    <t>21/9/1396</t>
  </si>
  <si>
    <t>747.pdf</t>
  </si>
  <si>
    <t>https://drive.google.com/file/d/1mbbCiUBDIQaXLsi80OlkI7HlVdfExBL4/view?usp=drivesdk</t>
  </si>
  <si>
    <t>25/9/1396</t>
  </si>
  <si>
    <t>748.pdf</t>
  </si>
  <si>
    <t>https://drive.google.com/file/d/10IJYwwntR88hcPhOSx4YTNo3az11FbmJ/view?usp=drivesdk</t>
  </si>
  <si>
    <t>28/9/1396</t>
  </si>
  <si>
    <t>749.pdf</t>
  </si>
  <si>
    <t>https://drive.google.com/file/d/1uB1wNK8acdcxOR0lWWg6kQvnQ-wU08d2/view?usp=drivesdk</t>
  </si>
  <si>
    <t>750.pdf</t>
  </si>
  <si>
    <t>https://drive.google.com/file/d/1iKth6J8JWoN0HtNlUsIRHrkv0iI_noVx/view?usp=drivesdk</t>
  </si>
  <si>
    <t>5/10/1396</t>
  </si>
  <si>
    <t>751.pdf</t>
  </si>
  <si>
    <t>https://drive.google.com/file/d/1USxF57F_0ruvpch-7i5jkiT-9o8-M1HE/view?usp=drivesdk</t>
  </si>
  <si>
    <t>5/12/1396</t>
  </si>
  <si>
    <t>752.pdf</t>
  </si>
  <si>
    <t>https://drive.google.com/file/d/1s6yAK1tfwBkUqd-vqrcNf3h2XBV-oD5R/view?usp=drivesdk</t>
  </si>
  <si>
    <t>753.pdf</t>
  </si>
  <si>
    <t>https://drive.google.com/file/d/13rPMdB0r5HxdiFwkFQWo30HkTNHMxK89/view?usp=drivesdk</t>
  </si>
  <si>
    <t>754.pdf</t>
  </si>
  <si>
    <t>https://drive.google.com/file/d/1BHuJJ7cRTA7vJdFZe90XMmK6lJpguV18/view?usp=drivesdk</t>
  </si>
  <si>
    <t>19/12/1396</t>
  </si>
  <si>
    <t>755.pdf</t>
  </si>
  <si>
    <t>https://drive.google.com/file/d/11-3sXMU1k71beLB8D1-TVllOnoykrDbo/view?usp=drivesdk</t>
  </si>
  <si>
    <t>22/12/1396</t>
  </si>
  <si>
    <t>756.pdf</t>
  </si>
  <si>
    <t>https://drive.google.com/file/d/1z0CpgxOHzxyPxJm8OZjmw_oWgeIS5meH/view?usp=drivesdk</t>
  </si>
  <si>
    <t>21/1/1397</t>
  </si>
  <si>
    <t>757.pdf</t>
  </si>
  <si>
    <t>https://drive.google.com/file/d/1scmA-TtOO4_Ia7Lsqxsh1MI1n1kmKIXJ/view?usp=drivesdk</t>
  </si>
  <si>
    <t>28/1/1397</t>
  </si>
  <si>
    <t>758.pdf</t>
  </si>
  <si>
    <t>https://drive.google.com/file/d/1Eq-qi_iZZWl0Ueoe6j2WVGaVLiRZplxC/view?usp=drivesdk</t>
  </si>
  <si>
    <t>1/2/1397</t>
  </si>
  <si>
    <t>759.pdf</t>
  </si>
  <si>
    <t>https://drive.google.com/file/d/1JlHLltwFLyHDzjWjjjJ7lB4NHyvIPWy0/view?usp=drivesdk</t>
  </si>
  <si>
    <t>4/2/1397</t>
  </si>
  <si>
    <t>760.pdf</t>
  </si>
  <si>
    <t>https://drive.google.com/file/d/1N726Uz09zfOLw6dccDV1pQxHTB_itMM4/view?usp=drivesdk</t>
  </si>
  <si>
    <t>761.pdf</t>
  </si>
  <si>
    <t>https://drive.google.com/file/d/1Ju6hyUquiuOme7IXDW_Tx5_eJo8qDCj1/view?usp=drivesdk</t>
  </si>
  <si>
    <t>11/2/1397</t>
  </si>
  <si>
    <t>762.pdf</t>
  </si>
  <si>
    <t>https://drive.google.com/file/d/1SYC-LKu84JZ_FRobbmYz65_N9aGZSOIW/view?usp=drivesdk</t>
  </si>
  <si>
    <t>763.pdf</t>
  </si>
  <si>
    <t>https://drive.google.com/file/d/1AkcX9pWgWnyl-GHq8kE1ziNy8PrwLZea/view?usp=drivesdk</t>
  </si>
  <si>
    <t>18/2/1397</t>
  </si>
  <si>
    <t>764.pdf</t>
  </si>
  <si>
    <t>https://drive.google.com/file/d/1LVLlMwhe2VnRD1VYlZ0XKfHA5SYM3qFS/view?usp=drivesdk</t>
  </si>
  <si>
    <t>22/2/1397</t>
  </si>
  <si>
    <t>765.pdf</t>
  </si>
  <si>
    <t>https://drive.google.com/file/d/1lBUfxs2y8xESw_WRaY8AHT4_-8XBwweZ/view?usp=drivesdk</t>
  </si>
  <si>
    <t>25/2/1397</t>
  </si>
  <si>
    <t>766.pdf</t>
  </si>
  <si>
    <t>https://drive.google.com/file/d/1zAOi6fCJkVAuXFQKSnzD4KBGH_TQoFPw/view?usp=drivesdk</t>
  </si>
  <si>
    <t>29/2/1397</t>
  </si>
  <si>
    <t>767.pdf</t>
  </si>
  <si>
    <t>https://drive.google.com/file/d/1GQwUTpHdzhSPwqFopQVSPpHsobFLu7d9/view?usp=drivesdk</t>
  </si>
  <si>
    <t>1/3/1397</t>
  </si>
  <si>
    <t>768.pdf</t>
  </si>
  <si>
    <t>https://drive.google.com/file/d/1jfVKA8OitOs6cH-4x3lvR41GC4fvOWum/view?usp=drivesdk</t>
  </si>
  <si>
    <t>5/3/1397</t>
  </si>
  <si>
    <t>769.pdf</t>
  </si>
  <si>
    <t>https://drive.google.com/file/d/1b5BxninfCAx98R7uJs0LIN0EZa9VntKm/view?usp=drivesdk</t>
  </si>
  <si>
    <t>8/3/1397</t>
  </si>
  <si>
    <t>770.pdf</t>
  </si>
  <si>
    <t>https://drive.google.com/file/d/1MW_NaSdYx1KGvgxYGVOH7j7n5iGynEeA/view?usp=drivesdk</t>
  </si>
  <si>
    <t>30/3/1397</t>
  </si>
  <si>
    <t>771.pdf</t>
  </si>
  <si>
    <t>https://drive.google.com/file/d/1D74PaKrL-pgnyJ8JTFQNxV6tgx-XwfHK/view?usp=drivesdk</t>
  </si>
  <si>
    <t>9/4/1397</t>
  </si>
  <si>
    <t>772.pdf</t>
  </si>
  <si>
    <t>https://drive.google.com/file/d/1LrwLtVnSb2H2nelElLdgzE35vmBJ-bz1/view?usp=drivesdk</t>
  </si>
  <si>
    <t>5/6/1397</t>
  </si>
  <si>
    <t>773.pdf</t>
  </si>
  <si>
    <t>https://drive.google.com/file/d/12vA4fgjByV1FsN1I5a7bMlHrVMmwg13L/view?usp=drivesdk</t>
  </si>
  <si>
    <t>774.pdf</t>
  </si>
  <si>
    <t>https://drive.google.com/file/d/1YwMCTB6BhoNhnn-LYs3Li_W1CBsluP7c/view?usp=drivesdk</t>
  </si>
  <si>
    <t>3/7/1397</t>
  </si>
  <si>
    <t>775.pdf</t>
  </si>
  <si>
    <t>https://drive.google.com/file/d/1wklt-yxyiJfMs4kPVXOXi6xyagIEAdUk/view?usp=drivesdk</t>
  </si>
  <si>
    <t>7/7/1397</t>
  </si>
  <si>
    <t>776.pdf</t>
  </si>
  <si>
    <t>https://drive.google.com/file/d/1_HCd_YHK_vdEKphKdP5Gm--AJklATIhK/view?usp=drivesdk</t>
  </si>
  <si>
    <t>777.pdf</t>
  </si>
  <si>
    <t>https://drive.google.com/file/d/1ztA-RO4M-30v0Kn6otJbVme9KdAY27lX/view?usp=drivesdk</t>
  </si>
  <si>
    <t>14/7/1397</t>
  </si>
  <si>
    <t>778.pdf</t>
  </si>
  <si>
    <t>https://drive.google.com/file/d/1EiuJQhdpIT8h3IVyR04LYSdH41JVJbSH/view?usp=drivesdk</t>
  </si>
  <si>
    <t>17/7/1397</t>
  </si>
  <si>
    <t>779.pdf</t>
  </si>
  <si>
    <t>https://drive.google.com/file/d/1d-qvn_7h8obQeygQ4PWZaGrioAG2rZwv/view?usp=drivesdk</t>
  </si>
  <si>
    <t>21/7/1397</t>
  </si>
  <si>
    <t>780.pdf</t>
  </si>
  <si>
    <t>https://drive.google.com/file/d/1kRVZFBP_FyC9Ew4q0pVGEte4afyEC2mc/view?usp=drivesdk</t>
  </si>
  <si>
    <t>24/7/1397</t>
  </si>
  <si>
    <t>781.pdf</t>
  </si>
  <si>
    <t>https://drive.google.com/file/d/1pnwiuCEca1WPKdpSKxcXalSPLG8LSWOP/view?usp=drivesdk</t>
  </si>
  <si>
    <t>28/7/1397</t>
  </si>
  <si>
    <t>782.pdf</t>
  </si>
  <si>
    <t>https://drive.google.com/file/d/1sbjYZN6Sx0WTruSoTwye3F10hqtJdJyz/view?usp=drivesdk</t>
  </si>
  <si>
    <t>1/8/1397</t>
  </si>
  <si>
    <t>783.pdf</t>
  </si>
  <si>
    <t>https://drive.google.com/file/d/1IFqCpronHZ8XUlLuE1QlwF9IrvJT2Rri/view?usp=drivesdk</t>
  </si>
  <si>
    <t>784.pdf</t>
  </si>
  <si>
    <t>https://drive.google.com/file/d/1ABBiuaVOU46xpkvzLQfmqmz8VzzFsZVb/view?usp=drivesdk</t>
  </si>
  <si>
    <t>12/8/1397</t>
  </si>
  <si>
    <t>785.pdf</t>
  </si>
  <si>
    <t>https://drive.google.com/file/d/17tlShlaSQbLwzntlUSl0-dBIDkBAZQko/view?usp=drivesdk</t>
  </si>
  <si>
    <t>786.pdf</t>
  </si>
  <si>
    <t>https://drive.google.com/file/d/1QnkG225gc6tPTXZc9EvpfL9V7m8SGSVf/view?usp=drivesdk</t>
  </si>
  <si>
    <t>19/8/1397</t>
  </si>
  <si>
    <t>787.pdf</t>
  </si>
  <si>
    <t>https://drive.google.com/file/d/1yb42zpxkpiGd1-cTu_Jj4zEkcEAEW1Xn/view?usp=drivesdk</t>
  </si>
  <si>
    <t>788.pdf</t>
  </si>
  <si>
    <t>https://drive.google.com/file/d/1AinKn-1OEG8ojzofUAuCV8gROx6vjy2S/view?usp=drivesdk</t>
  </si>
  <si>
    <t>26/8/1397</t>
  </si>
  <si>
    <t>789.pdf</t>
  </si>
  <si>
    <t>https://drive.google.com/file/d/1DEiHiI2Q_vkgSrWKHi9zSbK-4xPBzfch/view?usp=drivesdk</t>
  </si>
  <si>
    <t>29/8/1397</t>
  </si>
  <si>
    <t>790.pdf</t>
  </si>
  <si>
    <t>https://drive.google.com/file/d/1reuytiCV1SgH9tctlZyLBIrE2c-3F6rq/view?usp=drivesdk</t>
  </si>
  <si>
    <t>791.pdf</t>
  </si>
  <si>
    <t>https://drive.google.com/file/d/14dgm0MBu9VABYuKO7B4qYNywLaIX_o8d/view?usp=drivesdk</t>
  </si>
  <si>
    <t>792.pdf</t>
  </si>
  <si>
    <t>https://drive.google.com/file/d/1nppd9RCtlTnY_LBC7td9qSEdJZF0gud0/view?usp=drivesdk</t>
  </si>
  <si>
    <t>793.pdf</t>
  </si>
  <si>
    <t>https://drive.google.com/file/d/1yLJqT7NAdG0Tl4XhjB4-EVxnWDW4CUw4/view?usp=drivesdk</t>
  </si>
  <si>
    <t>794.pdf</t>
  </si>
  <si>
    <t>https://drive.google.com/file/d/1n8Ik4P7a6kF_2_pFYbVY5KYQERxFJ8bM/view?usp=drivesdk</t>
  </si>
  <si>
    <t>20/9/1397</t>
  </si>
  <si>
    <t>795.pdf</t>
  </si>
  <si>
    <t>https://drive.google.com/file/d/1r9Vy-zrx08Ehv9soJJiOpnVytffozVvU/view?usp=drivesdk</t>
  </si>
  <si>
    <t>24/9/1397</t>
  </si>
  <si>
    <t>796.pdf</t>
  </si>
  <si>
    <t>https://drive.google.com/file/d/1967JXg4bSHmlpYmj-_cWNPpzn-mVtjjw/view?usp=drivesdk</t>
  </si>
  <si>
    <t>27/9/1397</t>
  </si>
  <si>
    <t>797.pdf</t>
  </si>
  <si>
    <t>https://drive.google.com/file/d/1NB6e_UUErJ4bk0j5RcwMbPbjqa7aX2SC/view?usp=drivesdk</t>
  </si>
  <si>
    <t>798.pdf</t>
  </si>
  <si>
    <t>https://drive.google.com/file/d/1gcnqtKtFfy87bviRvMYyfYpOr7jcvjN8/view?usp=drivesdk</t>
  </si>
  <si>
    <t>4/10/1397</t>
  </si>
  <si>
    <t>799.pdf</t>
  </si>
  <si>
    <t>https://drive.google.com/file/d/1eoWzHh5-QR7NRcUAdOUcc4hjjGoDE7qG/view?usp=drivesdk</t>
  </si>
  <si>
    <t>16/11/1397</t>
  </si>
  <si>
    <t>800.pdf</t>
  </si>
  <si>
    <t>https://drive.google.com/file/d/1hjnWmkcZS2LNhPv0BFWWPW_uA1aqmb5B/view?usp=drivesdk</t>
  </si>
  <si>
    <t>27/11/1397</t>
  </si>
  <si>
    <t>801.pdf</t>
  </si>
  <si>
    <t>https://drive.google.com/file/d/1zAR3Hl8HO6gyrXVdRR1My_Wk9ETViWQV/view?usp=drivesdk</t>
  </si>
  <si>
    <t>802.pdf</t>
  </si>
  <si>
    <t>https://drive.google.com/file/d/1BIweZ5hl1I3o6RR0BAAxrN_bnPGaqxyg/view?usp=drivesdk</t>
  </si>
  <si>
    <t>4/12/1397</t>
  </si>
  <si>
    <t>803.pdf</t>
  </si>
  <si>
    <t>https://drive.google.com/file/d/1EREIayYeg27Wb2VTXf8P7Y-8y-1MQesh/view?usp=drivesdk</t>
  </si>
  <si>
    <t>7/12/1397</t>
  </si>
  <si>
    <t>804.pdf</t>
  </si>
  <si>
    <t>https://drive.google.com/file/d/17YdKZdUfBKkbP4ouGfq9nUenm7tvveW4/view?usp=drivesdk</t>
  </si>
  <si>
    <t>11/12/1397</t>
  </si>
  <si>
    <t>805.pdf</t>
  </si>
  <si>
    <t>https://drive.google.com/file/d/1RxkpQUEwhxwOfA4GB0Ah9F9pdv3JKTlj/view?usp=drivesdk</t>
  </si>
  <si>
    <t>14/12/1397</t>
  </si>
  <si>
    <t>806.pdf</t>
  </si>
  <si>
    <t>https://drive.google.com/file/d/1M82YrPb5C8Nv2b--R68SXmnBYup-_fyK/view?usp=drivesdk</t>
  </si>
  <si>
    <t>18/12/1397</t>
  </si>
  <si>
    <t>807.pdf</t>
  </si>
  <si>
    <t>https://drive.google.com/file/d/1Hd8YrJv4sUX93W9MHVVtPJeIfmktrWTZ/view?usp=drivesdk</t>
  </si>
  <si>
    <t>808.pdf</t>
  </si>
  <si>
    <t>https://drive.google.com/file/d/1tdY1EeABc0qsF4JaMgplXY3JgEYGuhAF/view?usp=drivesdk</t>
  </si>
  <si>
    <t>20/1/1398</t>
  </si>
  <si>
    <t>809.pdf</t>
  </si>
  <si>
    <t>https://drive.google.com/file/d/1jqu8JJXq6cNDCe-hRjoQN-A5Zp8RkfCz/view?usp=drivesdk</t>
  </si>
  <si>
    <t>24/1/1398</t>
  </si>
  <si>
    <t>810.pdf</t>
  </si>
  <si>
    <t>https://drive.google.com/file/d/1gpNg0ZrSv7PyzihLnqI50DMS5MMk5HB5/view?usp=drivesdk</t>
  </si>
  <si>
    <t>27/1/1398</t>
  </si>
  <si>
    <t>811.pdf</t>
  </si>
  <si>
    <t>https://drive.google.com/file/d/13VsdxTAf0RC-08SHLB4a9qEo46QvUhov/view?usp=drivesdk</t>
  </si>
  <si>
    <t>3/2/1398</t>
  </si>
  <si>
    <t>812.pdf</t>
  </si>
  <si>
    <t>https://drive.google.com/file/d/1Zpb4uu4UB4oOVdjRnP-Ch217Y_Jqrf7q/view?usp=drivesdk</t>
  </si>
  <si>
    <t>7/2/1398</t>
  </si>
  <si>
    <t>813.pdf</t>
  </si>
  <si>
    <t>https://drive.google.com/file/d/1VQY_gL_I6bS3izIxVrb7kYyrtKvnnXBR/view?usp=drivesdk</t>
  </si>
  <si>
    <t>814.pdf</t>
  </si>
  <si>
    <t>https://drive.google.com/file/d/1I0lvoMCSZbWM90uhapv6TEiFFxBxtbxy/view?usp=drivesdk</t>
  </si>
  <si>
    <t>14/2/1398</t>
  </si>
  <si>
    <t>815.pdf</t>
  </si>
  <si>
    <t>https://drive.google.com/file/d/1gSsh8cNjYW2vP7vzCRRbDOPe2ezukuKL/view?usp=drivesdk</t>
  </si>
  <si>
    <t>816.pdf</t>
  </si>
  <si>
    <t>https://drive.google.com/file/d/1g61npyG1RChe3Ywl6CcyQywUmcHRqj_y/view?usp=drivesdk</t>
  </si>
  <si>
    <t>21/2/1398</t>
  </si>
  <si>
    <t>817.pdf</t>
  </si>
  <si>
    <t>https://drive.google.com/file/d/17WN2KG_UF_WnPRCJa6KskNvp3nm6PE7R/view?usp=drivesdk</t>
  </si>
  <si>
    <t>24/2/1398</t>
  </si>
  <si>
    <t>818.pdf</t>
  </si>
  <si>
    <t>https://drive.google.com/file/d/1n7gRhEi9izHP6cQs68UPhXE9ubzL8FVQ/view?usp=drivesdk</t>
  </si>
  <si>
    <t>28/2/1398</t>
  </si>
  <si>
    <t>819.pdf</t>
  </si>
  <si>
    <t>https://drive.google.com/file/d/1we0NzrKJ2IwG_8OuitvuS-mhA3wAyva2/view?usp=drivesdk</t>
  </si>
  <si>
    <t>31/2/1398</t>
  </si>
  <si>
    <t>820.pdf</t>
  </si>
  <si>
    <t>https://drive.google.com/file/d/1c3kMOZj-74VpCXxMokNaVcYFJ0J61ug3/view?usp=drivesdk</t>
  </si>
  <si>
    <t>821.pdf</t>
  </si>
  <si>
    <t>https://drive.google.com/file/d/115CbuYelEv8WbErWA3ZxMbhViHi7ZyCl/view?usp=drivesdk</t>
  </si>
  <si>
    <t>2/7/1398</t>
  </si>
  <si>
    <t>822.pdf</t>
  </si>
  <si>
    <t>https://drive.google.com/file/d/1eWzP1XLDcAodrl0DGy34VbaNfYbdWSjf/view?usp=drivesdk</t>
  </si>
  <si>
    <t>6/7/1398</t>
  </si>
  <si>
    <t>823.pdf</t>
  </si>
  <si>
    <t>https://drive.google.com/file/d/1kQkvxCtZjojo1BPYdNs1bwVv2leowHUZ/view?usp=drivesdk</t>
  </si>
  <si>
    <t>9/7/1398</t>
  </si>
  <si>
    <t>824.pdf</t>
  </si>
  <si>
    <t>https://drive.google.com/file/d/1HBjQGZunK0aDIVMxTJCPOL9c4uIsbZIa/view?usp=drivesdk</t>
  </si>
  <si>
    <t>825.pdf</t>
  </si>
  <si>
    <t>https://drive.google.com/file/d/1PUFcKHl56dYClmyO5WevRCUlUu8mqDV7/view?usp=drivesdk</t>
  </si>
  <si>
    <t>16/7/1398</t>
  </si>
  <si>
    <t>826.pdf</t>
  </si>
  <si>
    <t>https://drive.google.com/file/d/1LDFwML_mDEgDm0BNOpc2IX-e6RHYtmyu/view?usp=drivesdk</t>
  </si>
  <si>
    <t>20/7/1398</t>
  </si>
  <si>
    <t>827.pdf</t>
  </si>
  <si>
    <t>https://drive.google.com/file/d/1CDwf-QXvGwNWWMoJvV_QIJbAOgjrI4DW/view?usp=drivesdk</t>
  </si>
  <si>
    <t>23/7/1398</t>
  </si>
  <si>
    <t>828.pdf</t>
  </si>
  <si>
    <t>https://drive.google.com/file/d/1qO4-b2blojcjsowf6cT3Bdm2RyZEx52q/view?usp=drivesdk</t>
  </si>
  <si>
    <t>4/8/1398</t>
  </si>
  <si>
    <t>829.pdf</t>
  </si>
  <si>
    <t>https://drive.google.com/file/d/1bF7TyIfHWqCNc-5Xik1cLfM32rmhVH4H/view?usp=drivesdk</t>
  </si>
  <si>
    <t>11/8/1398</t>
  </si>
  <si>
    <t>830.pdf</t>
  </si>
  <si>
    <t>https://drive.google.com/file/d/1OZFl5iYUCuafhHZvabJEqszh0B6GuWqV/view?usp=drivesdk</t>
  </si>
  <si>
    <t>831.pdf</t>
  </si>
  <si>
    <t>https://drive.google.com/file/d/1WmUUetH4BNrvJ1uRt59sFQXh9pizO19k/view?usp=drivesdk</t>
  </si>
  <si>
    <t>18/8/1398</t>
  </si>
  <si>
    <t>832.pdf</t>
  </si>
  <si>
    <t>https://drive.google.com/file/d/1kOkmFEVph_8iPeixuVwtPV1LbBR8z14p/view?usp=drivesdk</t>
  </si>
  <si>
    <t>21/8/1398</t>
  </si>
  <si>
    <t>833.pdf</t>
  </si>
  <si>
    <t>https://drive.google.com/file/d/1tfFtN4Y16cbat_ORSlDLcWEgUzXd_HY-/view?usp=drivesdk</t>
  </si>
  <si>
    <t>25/8/1398</t>
  </si>
  <si>
    <t>834.pdf</t>
  </si>
  <si>
    <t>https://drive.google.com/file/d/1YHsmGBsHhOEqXRKNxSIM4-sOQQ8KCDHg/view?usp=drivesdk</t>
  </si>
  <si>
    <t>28/8/1398</t>
  </si>
  <si>
    <t>835.pdf</t>
  </si>
  <si>
    <t>https://drive.google.com/file/d/11oL4b22m4gmvLrq8CLleUfziPoGLz7nH/view?usp=drivesdk</t>
  </si>
  <si>
    <t>2/9/1398</t>
  </si>
  <si>
    <t>836.pdf</t>
  </si>
  <si>
    <t>https://drive.google.com/file/d/1lwatjhwgwx6VP117lwvB0LV7XbMtHJt-/view?usp=drivesdk</t>
  </si>
  <si>
    <t>5/9/1398</t>
  </si>
  <si>
    <t>837.pdf</t>
  </si>
  <si>
    <t>https://drive.google.com/file/d/15tIpqchnZo0JtDTh-oFj0P6lxbBfZSiV/view?usp=drivesdk</t>
  </si>
  <si>
    <t>9/9/1398</t>
  </si>
  <si>
    <t>838.pdf</t>
  </si>
  <si>
    <t>https://drive.google.com/file/d/124r4XKvi0JeQ1Nkhtih-2Mz_vnwZef1l/view?usp=drivesdk</t>
  </si>
  <si>
    <t>839.pdf</t>
  </si>
  <si>
    <t>https://drive.google.com/file/d/1AnEDcYCi6qiF6gBhaqlwPQrhinvBs0rc/view?usp=drivesdk</t>
  </si>
  <si>
    <t>840.pdf</t>
  </si>
  <si>
    <t>https://drive.google.com/file/d/1Vf8f9vTJv5xl364L6esC9mN2XxzqmwPc/view?usp=drivesdk</t>
  </si>
  <si>
    <t>841.pdf</t>
  </si>
  <si>
    <t>https://drive.google.com/file/d/1gi6nFvmSsHOHWrCkgig0DiYkDFPvFjnb/view?usp=drivesdk</t>
  </si>
  <si>
    <t>23/9/1398</t>
  </si>
  <si>
    <t>842.pdf</t>
  </si>
  <si>
    <t>https://drive.google.com/file/d/17lNog7Guuuie9pVv76a-yLVapgcmCCnx/view?usp=drivesdk</t>
  </si>
  <si>
    <t>26/9/1398</t>
  </si>
  <si>
    <t>843.pdf</t>
  </si>
  <si>
    <t>https://drive.google.com/file/d/1Zm3AefXzMSl8cpLkdndRA3x0csm4vvOc/view?usp=drivesdk</t>
  </si>
  <si>
    <t>3/10/1398</t>
  </si>
  <si>
    <t>844.pdf</t>
  </si>
  <si>
    <t>https://drive.google.com/file/d/1O92ZNxfRwiGLWmIGOJwO8ugH0t5id3Ay/view?usp=drivesdk</t>
  </si>
  <si>
    <t>7/10/1398</t>
  </si>
  <si>
    <t>845.pdf</t>
  </si>
  <si>
    <t>https://drive.google.com/file/d/1uIGjnUVnfBjIFyXk2Hy4kxRwzYYSIV6X/view?usp=drivesdk</t>
  </si>
  <si>
    <t>10/10/1398</t>
  </si>
  <si>
    <t>846.pdf</t>
  </si>
  <si>
    <t>https://drive.google.com/file/d/18819NMM15ozAKkjxmWfIoH7AMO6xaTlv/view?usp=drivesdk</t>
  </si>
  <si>
    <t>14/10/1398</t>
  </si>
  <si>
    <t>847.pdf</t>
  </si>
  <si>
    <t>https://drive.google.com/file/d/1Cd7pU-gIg9CRrCa4cjrivhVQvZkXCuPp/view?usp=drivesdk</t>
  </si>
  <si>
    <t>1/11/1398</t>
  </si>
  <si>
    <t>848.pdf</t>
  </si>
  <si>
    <t>https://drive.google.com/file/d/18_Oc0xJezb_VnJg4suGRCD_MrKWgN2kh/view?usp=drivesdk</t>
  </si>
  <si>
    <t>26/11/1398</t>
  </si>
  <si>
    <t>849.pdf</t>
  </si>
  <si>
    <t>https://drive.google.com/file/d/1XGYqhvapnWMTk274NcKfi3JWqLJpyeaU/view?usp=drivesdk</t>
  </si>
  <si>
    <t>850.pdf</t>
  </si>
  <si>
    <t>https://drive.google.com/file/d/1Qw0Ioar1mAExt5wlE7qZ-oZiHFBoG2wO/view?usp=drivesdk</t>
  </si>
  <si>
    <t>3/12/1398</t>
  </si>
  <si>
    <t>851.pdf</t>
  </si>
  <si>
    <t>https://drive.google.com/file/d/15UBn61CgsVWx9kpJgKx0hpUSnQZ4oZ6D/view?usp=drivesdk</t>
  </si>
  <si>
    <t>852.pdf</t>
  </si>
  <si>
    <t>https://drive.google.com/file/d/1Gpxy-YYzArUDVwIUbH_Od_QOBxG7dmfl/view?usp=drivesdk</t>
  </si>
  <si>
    <t>24/1/1399</t>
  </si>
  <si>
    <t>853.pdf</t>
  </si>
  <si>
    <t>https://drive.google.com/file/d/1hny5sX3E-xqC2riZXzQo4k0s7DZ7Jp7P/view?usp=drivesdk</t>
  </si>
  <si>
    <t>31/1/1399</t>
  </si>
  <si>
    <t>854.pdf</t>
  </si>
  <si>
    <t>https://drive.google.com/file/d/1RI5L8zB7mKy9ITUZ5EWTGjGJ_4Lm0FFJ/view?usp=drivesdk</t>
  </si>
  <si>
    <t>855.pdf</t>
  </si>
  <si>
    <t>https://drive.google.com/file/d/1iFcGHgCF3skr9JMr31whpNrPzwNDMKdM/view?usp=drivesdk</t>
  </si>
  <si>
    <t>856.pdf</t>
  </si>
  <si>
    <t>https://drive.google.com/file/d/1n5G1au62_Ajki0TYIxyxur-fG7H8gj07/view?usp=drivesdk</t>
  </si>
  <si>
    <t>24/2/1399</t>
  </si>
  <si>
    <t>857.pdf</t>
  </si>
  <si>
    <t>https://drive.google.com/file/d/18DOTJH_eDj4ivEHC0IvWhycKJ0eudGuY/view?usp=drivesdk</t>
  </si>
  <si>
    <t>3/3/1399</t>
  </si>
  <si>
    <t>858.pdf</t>
  </si>
  <si>
    <t>https://drive.google.com/file/d/1GS4sQm9eWp48jImVz9fNtpijV7ImJBIZ/view?usp=drivesdk</t>
  </si>
  <si>
    <t>14/3/1399</t>
  </si>
  <si>
    <t>859.pdf</t>
  </si>
  <si>
    <t>https://drive.google.com/file/d/10vs5sdLPdkSdGZD-fys4TiDL4QQUslV2/view?usp=drivesdk</t>
  </si>
  <si>
    <t>25/3/1399</t>
  </si>
  <si>
    <t>860.pdf</t>
  </si>
  <si>
    <t>https://drive.google.com/file/d/1jP7Ttu81MoOyGBtWtgbFsfV9d0r2ER4p/view?usp=drivesdk</t>
  </si>
  <si>
    <t>25/5/1399</t>
  </si>
  <si>
    <t>861.pdf</t>
  </si>
  <si>
    <t>https://drive.google.com/file/d/1Pcxpb1XU9iJMleAoSAxc6nH-mUkp3EHJ/view?usp=drivesdk</t>
  </si>
  <si>
    <t>16/7/1399</t>
  </si>
  <si>
    <t>862.pdf</t>
  </si>
  <si>
    <t>https://drive.google.com/file/d/1TzPIQpAd2MBhhk__frukZPSNZE-lhx5C/view?usp=drivesdk</t>
  </si>
  <si>
    <t>23/7/1399</t>
  </si>
  <si>
    <t>863.pdf</t>
  </si>
  <si>
    <t>https://drive.google.com/file/d/1MzqSIRDnyF-r4C8tqcoMCuh1infrhIxb/view?usp=drivesdk</t>
  </si>
  <si>
    <t>30/7/1399</t>
  </si>
  <si>
    <t>864.pdf</t>
  </si>
  <si>
    <t>https://drive.google.com/file/d/1wvXCGgJhSg4xhVNm6bu_9kNIg03E4DhQ/view?usp=drivesdk</t>
  </si>
  <si>
    <t>865.pdf</t>
  </si>
  <si>
    <t>https://drive.google.com/file/d/18bJ-ks-mnxsbMJiVfPZzEEcmOcV24GJj/view?usp=drivesdk</t>
  </si>
  <si>
    <t>866.pdf</t>
  </si>
  <si>
    <t>https://drive.google.com/file/d/16kMrlqn9vdGNCpAnJT5tdYPUetyKYbuG/view?usp=drivesdk</t>
  </si>
  <si>
    <t>23/8/1399</t>
  </si>
  <si>
    <t>867.pdf</t>
  </si>
  <si>
    <t>https://drive.google.com/file/d/1m32bYOIHjL-WPav0V8832UXavcV0rnKd/view?usp=drivesdk</t>
  </si>
  <si>
    <t>1/9/1399</t>
  </si>
  <si>
    <t>868.pdf</t>
  </si>
  <si>
    <t>https://drive.google.com/file/d/1I1lcQIwGgn1onzU2R9Rvyw4U41LHnbic/view?usp=drivesdk</t>
  </si>
  <si>
    <t>11/9/1399</t>
  </si>
  <si>
    <t>869.pdf</t>
  </si>
  <si>
    <t>https://drive.google.com/file/d/1mXxlmYwj2RTTHDPTXqaTdBvXn6oKdihW/view?usp=drivesdk</t>
  </si>
  <si>
    <t>22/9/1399</t>
  </si>
  <si>
    <t>870.pdf</t>
  </si>
  <si>
    <t>https://drive.google.com/file/d/1m058GKsB5ivbQCH-ckfSCxtXTPxoL8PS/view?usp=drivesdk</t>
  </si>
  <si>
    <t>30/10/1399</t>
  </si>
  <si>
    <t>871.pdf</t>
  </si>
  <si>
    <t>https://drive.google.com/file/d/1YuGbl0MZ_sJ4y6BB-jPZkI622GTpxPdT/view?usp=drivesdk</t>
  </si>
  <si>
    <t>872.pdf</t>
  </si>
  <si>
    <t>https://drive.google.com/file/d/1CyFWs4IKHZqPKTgE0NR2RtsV_Z2zBf2Y/view?usp=drivesdk</t>
  </si>
  <si>
    <t>14/12/1399</t>
  </si>
  <si>
    <t>873.pdf</t>
  </si>
  <si>
    <t>https://drive.google.com/file/d/1dZl4pJcqBV1bMYfOdx82C-8l4Ym9_Jfk/view?usp=drivesdk</t>
  </si>
  <si>
    <t>25/12/1399</t>
  </si>
  <si>
    <t>874.pdf</t>
  </si>
  <si>
    <t>https://drive.google.com/file/d/16FZUhTlPl5la7u8hM-FOKTkZE60b6FOO/view?usp=drivesdk</t>
  </si>
  <si>
    <t>23/2/1400</t>
  </si>
  <si>
    <t>875.pdf</t>
  </si>
  <si>
    <t>https://drive.google.com/file/d/1TBOFRjHD1NtrY4Nsa1WUzXpTzhaIdnhb/view?usp=drivesdk</t>
  </si>
  <si>
    <t>876.pdf</t>
  </si>
  <si>
    <t>https://drive.google.com/file/d/14qtVfi9pGf-zZGTmjFu4K_4a2G_Wmsll/view?usp=drivesdk</t>
  </si>
  <si>
    <t>11/8/1400</t>
  </si>
  <si>
    <t>877.pdf</t>
  </si>
  <si>
    <t>https://drive.google.com/file/d/1L2p3bcQdOPMT2YBHl1DSERMUGeDhUu6g/view?usp=drivesdk</t>
  </si>
  <si>
    <t>22/8/1400</t>
  </si>
  <si>
    <t>878.pdf</t>
  </si>
  <si>
    <t>https://drive.google.com/file/d/13lURrzL4cvRnXy1jkljffCUvkuT8mWX_/view?usp=drivesdk</t>
  </si>
  <si>
    <t>4/9/1400</t>
  </si>
  <si>
    <t>879.pdf</t>
  </si>
  <si>
    <t>https://drive.google.com/file/d/1FCUPmecvdPRIbEhfjD5mMn2YLw-PNFPs/view?usp=drivesdk</t>
  </si>
  <si>
    <t>880.pdf</t>
  </si>
  <si>
    <t>https://drive.google.com/file/d/1QX92tDQVLz6J5c0P8sFUKlsdVm-OuQNI/view?usp=drivesdk</t>
  </si>
  <si>
    <t>17/9/1400</t>
  </si>
  <si>
    <t>881.pdf</t>
  </si>
  <si>
    <t>https://drive.google.com/file/d/1l9mp0aIpNh7R16a2C4LrGNqH2MCLRmtH/view?usp=drivesdk</t>
  </si>
  <si>
    <t>22/9/1400</t>
  </si>
  <si>
    <t>882.pdf</t>
  </si>
  <si>
    <t>https://drive.google.com/file/d/1HLIK_kxVHhxlGxqX0JPSe46BPVa_3u0a/view?usp=drivesdk</t>
  </si>
  <si>
    <t>1/10/1400</t>
  </si>
  <si>
    <t>883.pdf</t>
  </si>
  <si>
    <t>https://drive.google.com/file/d/1kahXUje2E2eKVWyENDX77F0B2EV37Mu3/view?usp=drivesdk</t>
  </si>
  <si>
    <t>26/10/1400</t>
  </si>
  <si>
    <t>884.pdf</t>
  </si>
  <si>
    <t>https://drive.google.com/file/d/1SjWCiqblki-ulaLJ4Lw1Qqh-uQQ03KQ3/view?usp=drivesdk</t>
  </si>
  <si>
    <t>30/10/1400</t>
  </si>
  <si>
    <t>885.pdf</t>
  </si>
  <si>
    <t>https://drive.google.com/file/d/1h4uHL2Ali4a1eXMo-0KA6CkaIA2CdCUt/view?usp=drivesdk</t>
  </si>
  <si>
    <t>14/11/1400</t>
  </si>
  <si>
    <t>886.pdf</t>
  </si>
  <si>
    <t>https://drive.google.com/file/d/1kyASs-dLdvd7WT-PAwnxXYra_YMRcHvW/view?usp=drivesdk</t>
  </si>
  <si>
    <t>30/11/1400</t>
  </si>
  <si>
    <t>887.pdf</t>
  </si>
  <si>
    <t>https://drive.google.com/file/d/1KZfbzU69v6ztNTC2-F0VYLiQbS81rIeD/view?usp=drivesdk</t>
  </si>
  <si>
    <t>13/12/1400</t>
  </si>
  <si>
    <t>888.pdf</t>
  </si>
  <si>
    <t>https://drive.google.com/file/d/1nBKPaig0BPIZkWI4GnOdaa5iMWqY9b6S/view?usp=drivesdk</t>
  </si>
  <si>
    <t>29/2/1401</t>
  </si>
  <si>
    <t>889.pdf</t>
  </si>
  <si>
    <t>https://drive.google.com/file/d/1vdzX3oJ2KgnEGG7jUhso-lwUi9AjuKzt/view?usp=drivesdk</t>
  </si>
  <si>
    <t>10/3/1401</t>
  </si>
  <si>
    <t>890.pdf</t>
  </si>
  <si>
    <t>https://drive.google.com/file/d/1jH03dC6rF7PI6gYx9Lb8DCs7A_XuFqdb/view?usp=drivesdk</t>
  </si>
  <si>
    <t>22/3/1401</t>
  </si>
  <si>
    <t>891.pdf</t>
  </si>
  <si>
    <t>https://drive.google.com/file/d/1YNRHYe6rKHHr72osD2eqlwF0Q-17RuRS/view?usp=drivesdk</t>
  </si>
  <si>
    <t>5/4/1401</t>
  </si>
  <si>
    <t>Voroodiha_92.pdf</t>
  </si>
  <si>
    <t>https://drive.google.com/file/d/1Q7vg19I_jsFqj2P4ZrjbTvCp-GhQAi8L/view?usp=drivesdk</t>
  </si>
  <si>
    <t>ویژه‌نامه ورودی‌های ۱۳۹۲</t>
  </si>
  <si>
    <t>Moharram_95.pdf</t>
  </si>
  <si>
    <t>https://drive.google.com/file/d/1d9RSL6JVOpb7g_dfhRJpW8mLieyOMtIh/view?usp=drivesdk</t>
  </si>
  <si>
    <t>19/7/1395</t>
  </si>
  <si>
    <t>ویژه‌نامه محرم ۱۴۳۸</t>
  </si>
  <si>
    <t>Voroodiha_95.pdf</t>
  </si>
  <si>
    <t>https://drive.google.com/file/d/1UgQ4v4UDprBVXUpRRYSDZVtH-kTb8ykO/view?usp=drivesdk</t>
  </si>
  <si>
    <t>ویژه‌نامه ورودی‌های ۱۳۹۵</t>
  </si>
  <si>
    <t>My Beautiful Sharif.pdf</t>
  </si>
  <si>
    <t>https://drive.google.com/file/d/1CXc296VYeNJmRR0gbXBIuwbep8xX_z0G/view?usp=drivesdk</t>
  </si>
  <si>
    <t>ویژه‌نامه به مناسبت پویش شریف زیبای من</t>
  </si>
  <si>
    <t>Breaking (13 Tir 96).pdf</t>
  </si>
  <si>
    <t>https://drive.google.com/file/d/1G-ikVMGHM4HCGQx30e67U4L1vFDTKNle/view?usp=drivesdk</t>
  </si>
  <si>
    <t>13/4/1396</t>
  </si>
  <si>
    <t>ویژه‌نامه برای خبر داغ این روزهای دانشگاه</t>
  </si>
  <si>
    <t>Breaking (20 Tir 96).pdf</t>
  </si>
  <si>
    <t>https://drive.google.com/file/d/1IuubDyvP99RDHns2yXMsL4rFJvRwUySe/view?usp=drivesdk</t>
  </si>
  <si>
    <t>20/4/1396</t>
  </si>
  <si>
    <t>Job Fair 96.pdf</t>
  </si>
  <si>
    <t>https://drive.google.com/file/d/1mDtcgQEqwonc8s3raqFQVOvW-I0b3uZi/view?usp=drivesdk</t>
  </si>
  <si>
    <t>17/7/1396</t>
  </si>
  <si>
    <t>ویژه‌نامه نمایشگاه کار</t>
  </si>
  <si>
    <t>Reshteha_98.pdf</t>
  </si>
  <si>
    <t>https://drive.google.com/file/d/1LgTUOAsfgAXnQwGN60fRC5BLAKt33Nrz/view?usp=drivesdk</t>
  </si>
  <si>
    <t>ویژه‌نامه همایش تخصصی معرفی رشته‌های دانشگاه صنعتی شریف</t>
  </si>
  <si>
    <t>Voroodiha_98.pdf</t>
  </si>
  <si>
    <t>https://drive.google.com/file/d/1OEENFM3mwIKHctisVYIkKOHEstB69LkS/view?usp=drivesdk</t>
  </si>
  <si>
    <t>ویژه‌نامه ورودی‌های ۱۳۹۸</t>
  </si>
  <si>
    <t>Research Week 99.pdf</t>
  </si>
  <si>
    <t>https://drive.google.com/file/d/14zPREAyRciPGhlDmOebx69LksRaHZRso/view?usp=drivesdk</t>
  </si>
  <si>
    <t>ویژه‌نامه هفته پژوهش و فناوری</t>
  </si>
  <si>
    <t>After Covid - Ordibehesht 1401.pdf</t>
  </si>
  <si>
    <t>https://drive.google.com/file/d/16HTtnZ1JrQYcarzvJVsG-2e8PBQCXn0u/view?usp=drivesdk</t>
  </si>
  <si>
    <t>ویژه‌نامه بازگشایی پساکرونایی</t>
  </si>
  <si>
    <t>Root/کانون‌های فرهنگی هنری/کانون شعر و ادب/ایوان</t>
  </si>
  <si>
    <t>1.Eyvan_e_nakhost.pdf</t>
  </si>
  <si>
    <t>https://drive.google.com/file/d/1rw3lqBxmjUitcQWrq1sZ6jixipIJ6bK8/view?usp=drivesdk</t>
  </si>
  <si>
    <t>کانون شعر و ادب</t>
  </si>
  <si>
    <t>پریا کمانی</t>
  </si>
  <si>
    <t>2.Eyvan_e_Dovom.pdf</t>
  </si>
  <si>
    <t>https://drive.google.com/file/d/1MPO7Vyl5-nCeTZsu5J3KpxmMgngWPbUp/view?usp=drivesdk</t>
  </si>
  <si>
    <t>3.ایوان سوم.pdf</t>
  </si>
  <si>
    <t>https://drive.google.com/file/d/1zbNf9IuELpdq0j27cvvG0zDAyWn9NMhB/view?usp=drivesdk</t>
  </si>
  <si>
    <t>نیلوفر کریمی</t>
  </si>
  <si>
    <t>4.ایوان_چهارم،_فصل‌نامهٔ_متن_و_داستان.pdf</t>
  </si>
  <si>
    <t>https://drive.google.com/file/d/1pwUScFJrKvlHkmj7nvmZjWSLy68BYk-O/view?usp=drivesdk</t>
  </si>
  <si>
    <t>5.ایوان پنجم.pdf</t>
  </si>
  <si>
    <t>https://drive.google.com/file/d/1Zfy_ECDkhb4ZgOkRGd1elLPj0EgSoH-h/view?usp=drivesdk</t>
  </si>
  <si>
    <t>علی محمدی دینایی</t>
  </si>
  <si>
    <t>6.ایوان ششم.pdf</t>
  </si>
  <si>
    <t>https://drive.google.com/file/d/1guuv46Wj-xDiyz2m4Xck5FK5NA_jIEC4/view?usp=drivesdk</t>
  </si>
  <si>
    <t>7.ایوان هفتم.pdf</t>
  </si>
  <si>
    <t>https://drive.google.com/file/d/1WbADlOAUqNCuu_SbIJ6E1mkhpNzq30dF/view?usp=drivesdk</t>
  </si>
  <si>
    <t>8.ایوان هشتم.pdf</t>
  </si>
  <si>
    <t>https://drive.google.com/file/d/1mkYaG-AI-sHEdGCaiogvLUJf7B4YcRwC/view?usp=drivesdk</t>
  </si>
  <si>
    <t>9.ایوان نهم.pdf</t>
  </si>
  <si>
    <t>https://drive.google.com/file/d/1l4gzC9mngyeOpOpBPq00lkjeVFVREs-M/view?usp=drivesdk</t>
  </si>
  <si>
    <t>10.نشریه ایوان-شماره10-بهار 1400.pdf</t>
  </si>
  <si>
    <t>https://drive.google.com/file/d/1uYVVFHvmxEN4cnl3yUm8bcOBCZOQ0g8g/view?usp=drivesdk</t>
  </si>
  <si>
    <t>رضا صومی</t>
  </si>
  <si>
    <t>Root/کانون‌های فرهنگی هنری/کانون شعر و ادب/بامداد</t>
  </si>
  <si>
    <t>0.0.بامداد ۰.pdf</t>
  </si>
  <si>
    <t>https://drive.google.com/file/d/1E8BvJRHv4VdkeDdeKCFaOqQluvT-wD4E/view?usp=drivesdk</t>
  </si>
  <si>
    <t>محمد کاظم‌آباد</t>
  </si>
  <si>
    <t>1.نسخه ۱.pdf</t>
  </si>
  <si>
    <t>https://drive.google.com/file/d/1SHi0pfuNu_4ADGMRuYcxWBtJtbdJH3xe/view?usp=drivesdk</t>
  </si>
  <si>
    <t>رکسانا معمر</t>
  </si>
  <si>
    <t>نگین جمعه</t>
  </si>
  <si>
    <t>3.نسخه ۳.pdf</t>
  </si>
  <si>
    <t>https://drive.google.com/file/d/1yecT_kMRg_n05APFYPxT3G5SAIxfT_zq/view?usp=drivesdk</t>
  </si>
  <si>
    <t>4.دوهفته نامه کانون شعر.pdf</t>
  </si>
  <si>
    <t>https://drive.google.com/file/d/1yBS6vBC4oUzRA9EvaJf4OP1OGlYbFBmK/view?usp=drivesdk</t>
  </si>
  <si>
    <t>5.دو هفته نامه کانون شعر و ادب شماره 5.pdf</t>
  </si>
  <si>
    <t>https://drive.google.com/file/d/1KnGybb5ZO28S9zgs4t2VTIGV9qbxjCMk/view?usp=drivesdk</t>
  </si>
  <si>
    <t>27/9/1394</t>
  </si>
  <si>
    <t>6.بامداد.pdf</t>
  </si>
  <si>
    <t>https://drive.google.com/file/d/15ZdPgyjR3WFcPXtHK1rI2cCKFq6Php9D/view?usp=drivesdk</t>
  </si>
  <si>
    <t>9.bamdad-95.11.27.pdf</t>
  </si>
  <si>
    <t>https://drive.google.com/file/d/1l0Q6nvbbVFdglKcPPJhn7pAIg831Xzr5/view?usp=drivesdk</t>
  </si>
  <si>
    <t>امیر هرمزی‌نژاد</t>
  </si>
  <si>
    <t>محمد حسن سیفدار</t>
  </si>
  <si>
    <t>🗓 نیمه دوم بهمن ۱۳۹۵</t>
  </si>
  <si>
    <t>10.0bamdad No 10_1584950500.pdf</t>
  </si>
  <si>
    <t>https://drive.google.com/file/d/1a8gQGn4XSIh2bOkTUH9iMfa__xGnAjxY/view?usp=drivesdk</t>
  </si>
  <si>
    <t>🗓 نیمه اول اسفند ۱۳۹۵</t>
  </si>
  <si>
    <t>10.1.4_5926765744166535169.pdf</t>
  </si>
  <si>
    <t>https://drive.google.com/file/d/1r9DNImf4yBkrGD0pmt90w9IObxU3GSSo/view?usp=drivesdk</t>
  </si>
  <si>
    <t>🗓 نیمه دوم اسفند ۱۳۹۵</t>
  </si>
  <si>
    <t>13.13-02-96.pdf</t>
  </si>
  <si>
    <t>https://drive.google.com/file/d/1pqGLwuzloosuUMep9duV0X9z5GPWpr6b/view?usp=drivesdk</t>
  </si>
  <si>
    <t>فاطمه رهایی</t>
  </si>
  <si>
    <t>🗓 نیمه اول اردیبهشت ۱۳۹۶</t>
  </si>
  <si>
    <t>14.bamdad14.pdf</t>
  </si>
  <si>
    <t>https://drive.google.com/file/d/1mBPpqXSzmcLPozhD6fE2eoTRAyREzIy2/view?usp=drivesdk</t>
  </si>
  <si>
    <t>پری‌ناز فرهادی</t>
  </si>
  <si>
    <t>🗓 نیمه اول مهر ۱۳۹۶</t>
  </si>
  <si>
    <t>15.15-08-96.pdf</t>
  </si>
  <si>
    <t>https://drive.google.com/file/d/1FAgPbXNX2dmRWPOzzI4LV80ZQ1qyh8wp/view?usp=drivesdk</t>
  </si>
  <si>
    <t>🗓 نیمه اول آبان ۱۳۹۶</t>
  </si>
  <si>
    <t>16.16-09-96.pdf</t>
  </si>
  <si>
    <t>https://drive.google.com/file/d/1Vxfwe80fXIlGGpp710ckQz2j3Gsikua8/view?usp=drivesdk</t>
  </si>
  <si>
    <t>17.17-12-96.pdf</t>
  </si>
  <si>
    <t>https://drive.google.com/file/d/1V3xItnoS5KA55AmHa-yO_VShFWZLgBlV/view?usp=drivesdk</t>
  </si>
  <si>
    <t>18.18-01-97.pdf</t>
  </si>
  <si>
    <t>https://drive.google.com/file/d/1_Ah-dtXNCaazaWyW3lyDpBlo3iWtj4nB/view?usp=drivesdk</t>
  </si>
  <si>
    <t>محمد حسین قاسمی</t>
  </si>
  <si>
    <t>19.19-02-97.pdf</t>
  </si>
  <si>
    <t>https://drive.google.com/file/d/14m7tuL1TlXLBC4vNpIZA95kGBcDxn2t0/view?usp=drivesdk</t>
  </si>
  <si>
    <t>20.20-05-97.pdf</t>
  </si>
  <si>
    <t>https://drive.google.com/file/d/16xTbqRpndw2ucfl2b9IzW9oOWyNe4ccF/view?usp=drivesdk</t>
  </si>
  <si>
    <t>21.21-06-97.pdf</t>
  </si>
  <si>
    <t>https://drive.google.com/file/d/1cMVgW_iOGjxDxaoGYodcQuKQfqGX37qo/view?usp=drivesdk</t>
  </si>
  <si>
    <t>22.22-07-97.pdf</t>
  </si>
  <si>
    <t>https://drive.google.com/file/d/1R6qqMetXg7UpPrVcX4WyhblHyXAUG4KZ/view?usp=drivesdk</t>
  </si>
  <si>
    <t>ویدا علی‌نژاد</t>
  </si>
  <si>
    <t>23.23-08-97.pdf</t>
  </si>
  <si>
    <t>https://drive.google.com/file/d/1ITARDALzWasw1ttPhxGQfk5nzSlWGii3/view?usp=drivesdk</t>
  </si>
  <si>
    <t>24.24-09-97.pdf</t>
  </si>
  <si>
    <t>https://drive.google.com/file/d/1IiBOT2b51r9gee-zFKn--dCquTYZHEyW/view?usp=drivesdk</t>
  </si>
  <si>
    <t>25.نسخه الکترونیک-1.pdf</t>
  </si>
  <si>
    <t>https://drive.google.com/file/d/1yXByR5ljEEhopqQOTGkK_m-C1qBiDuEk/view?usp=drivesdk</t>
  </si>
  <si>
    <t>مجید فلاحی</t>
  </si>
  <si>
    <t>26.بامداد بیست و شش.pdf</t>
  </si>
  <si>
    <t>https://drive.google.com/file/d/11WZD5yjxpWSABksOwLTuzvyQguKvXCEd/view?usp=drivesdk</t>
  </si>
  <si>
    <t>27.نسخه الکترونیک شماره 27.pdf</t>
  </si>
  <si>
    <t>https://drive.google.com/file/d/15XvP_zsIxSzAviVhXgS4neVK20KCcXTy/view?usp=drivesdk</t>
  </si>
  <si>
    <t>28.نسخه الکترونیک شماره ۲۸.pdf</t>
  </si>
  <si>
    <t>https://drive.google.com/file/d/12qCriT8PTif6-W9LtGYhzYB_b4og5-KY/view?usp=drivesdk</t>
  </si>
  <si>
    <t>29.نسخه الکترونیک شماره ۲۹.pdf</t>
  </si>
  <si>
    <t>https://drive.google.com/file/d/10kl0ErQ2MWjss8VN856YODr84B7bdgYX/view?usp=drivesdk</t>
  </si>
  <si>
    <t>30.نسخه الکترونیک شماره ۳۰.pdf</t>
  </si>
  <si>
    <t>https://drive.google.com/file/d/1wbCnqiPihlGRB-TKUwuSs0gwbAcs2-sU/view?usp=drivesdk</t>
  </si>
  <si>
    <t>10/7/1398</t>
  </si>
  <si>
    <t>31.نسخه الکترونیک شماره سی و یکم.pdf</t>
  </si>
  <si>
    <t>https://drive.google.com/file/d/1mP-d40xY6D5O_Gvl7DejqfTPBQ3ifLGD/view?usp=drivesdk</t>
  </si>
  <si>
    <t>محمد جواد نیازی</t>
  </si>
  <si>
    <t>32.نسخه الکترونیک شماره سی و دوم .pdf</t>
  </si>
  <si>
    <t>https://drive.google.com/file/d/1Vf6lmtn0jqAhg9Me7zYWmM0aHDyFRLe0/view?usp=drivesdk</t>
  </si>
  <si>
    <t>33.4_5980967943679248147.pdf</t>
  </si>
  <si>
    <t>https://drive.google.com/file/d/1dl3-5uaHvP40UgkVpvMUXF9QfQAn_EAU/view?usp=drivesdk</t>
  </si>
  <si>
    <t>34.بامداد سی و چهارم.pdf</t>
  </si>
  <si>
    <t>https://drive.google.com/file/d/1ArW6EKWIMe2HX2JpuBR4QdkNN7hR6_LM/view?usp=drivesdk</t>
  </si>
  <si>
    <t>35.بامداد سی و پنجم.pdf</t>
  </si>
  <si>
    <t>https://drive.google.com/file/d/12Ukg2Lq19jlSe8biH8aJ8BquOXlDJw5N/view?usp=drivesdk</t>
  </si>
  <si>
    <t>دیبا مسیحی</t>
  </si>
  <si>
    <t>36.بامداد سی و ششم.pdf</t>
  </si>
  <si>
    <t>https://drive.google.com/file/d/18ZaQ7k8m8tIAtC2pABKx0D4-vrewrhyU/view?usp=drivesdk</t>
  </si>
  <si>
    <t>37.بامداد سی و هفتم.pdf</t>
  </si>
  <si>
    <t>https://drive.google.com/file/d/1SYXaOvx8GBnqYE6YFEEOcDAwKtKyUX-e/view?usp=drivesdk</t>
  </si>
  <si>
    <t>38.بامداد سی و هشتم.pdf</t>
  </si>
  <si>
    <t>https://drive.google.com/file/d/169XI43FtOCCCfHkR0YyReb-Od75o1icB/view?usp=drivesdk</t>
  </si>
  <si>
    <t>مهدی مهدیه</t>
  </si>
  <si>
    <t>39.شماره سی ونهم.pdf</t>
  </si>
  <si>
    <t>https://drive.google.com/file/d/16Y88eKv6rm5BF3yvUiqZxLgrc5qrRm89/view?usp=drivesdk</t>
  </si>
  <si>
    <t>40.شمارۀ چهلم.pdf</t>
  </si>
  <si>
    <t>https://drive.google.com/file/d/1xcAVnvsa383VWUSXF0OPa_CYv4zkNSPt/view?usp=drivesdk</t>
  </si>
  <si>
    <t>41.شمارهٔ چهل و یکم بامداد.pdf</t>
  </si>
  <si>
    <t>https://drive.google.com/file/d/1NgvCpk8icqkVCk95hCHDiSRMC6d4qD2H/view?usp=drivesdk</t>
  </si>
  <si>
    <t>علی حسنی پامساری</t>
  </si>
  <si>
    <t>سما رضایی، مهسا سرسنگی، علی نصر</t>
  </si>
  <si>
    <t>42.شمارهٔ چهل و دوم بامداد.pdf</t>
  </si>
  <si>
    <t>https://drive.google.com/file/d/14GeSitZQ7yBseMghNQTjOhAeZjyJ--JP/view?usp=drivesdk</t>
  </si>
  <si>
    <t>43.شماره چهل و سوم نشریه ادبی بامداد.pdf</t>
  </si>
  <si>
    <t>https://drive.google.com/file/d/1M1qU4XKfIoooRzmbXzvdelOq8-R1y56Q/view?usp=drivesdk</t>
  </si>
  <si>
    <t>مهسا سرسنگی</t>
  </si>
  <si>
    <t>پردیس رحیمی نصر</t>
  </si>
  <si>
    <t>44.شماره_چهل_و_چهارم_نشریه_ادبی_بامداد.pdf</t>
  </si>
  <si>
    <t>https://drive.google.com/file/d/17Z2tjon2BCvv7Ev6R1-riWOCYQOaihBB/view?usp=drivesdk</t>
  </si>
  <si>
    <t>علی بلوری</t>
  </si>
  <si>
    <t>0.1بامداد.pdf</t>
  </si>
  <si>
    <t>https://drive.google.com/file/d/1Xpnf7-MMvqPOcsclHyhp6wepDT3gcaKs/view?usp=drivesdk</t>
  </si>
  <si>
    <t>1/1/1390</t>
  </si>
  <si>
    <t>30/12/1391</t>
  </si>
  <si>
    <t>Root/کانون‌های فرهنگی هنری/کانون شعر و ادب/بوطیقا</t>
  </si>
  <si>
    <t>1.شماره اول.pdf</t>
  </si>
  <si>
    <t>https://drive.google.com/file/d/1Z8jT8UjNcxGC9ofHXN-1BCjXB-zse4Ul/view?usp=drivesdk</t>
  </si>
  <si>
    <t>علیرضا بیات</t>
  </si>
  <si>
    <t>2.شماره دوم _ نسخه الکترونیک.pdf</t>
  </si>
  <si>
    <t>https://drive.google.com/file/d/1zO8rhoKRzKrF-ZGseItgJ-ZUVl27fh4N/view?usp=drivesdk</t>
  </si>
  <si>
    <t>3.تابستانه بوطیقا ۱۳۹۸.pdf</t>
  </si>
  <si>
    <t>https://drive.google.com/file/d/1xBzfMuLExWGRbG4n8R9DSGzWtoQ3K9YD/view?usp=drivesdk</t>
  </si>
  <si>
    <t>علی اصغر قناتی</t>
  </si>
  <si>
    <t>سجاد فقفور مغربی</t>
  </si>
  <si>
    <t>30/6/1398</t>
  </si>
  <si>
    <t>4.بوطیقای چهارم.pdf</t>
  </si>
  <si>
    <t>https://drive.google.com/file/d/1eOvEZ_M90Wg5oi0HuGMMXO45wHHFyfy9/view?usp=drivesdk</t>
  </si>
  <si>
    <t>5.بوطیقای پنجم.pdf</t>
  </si>
  <si>
    <t>https://drive.google.com/file/d/1Q0Os6NhhQPhUatJIcbS3tp-8qszttT78/view?usp=drivesdk</t>
  </si>
  <si>
    <t>سارا جابری</t>
  </si>
  <si>
    <t>6.بوطیقا _ ششم.pdf</t>
  </si>
  <si>
    <t>https://drive.google.com/file/d/1MpLLaTq1fEuiSfNMsXjENdrXsARogT-J/view?usp=drivesdk</t>
  </si>
  <si>
    <t>امیرحسین ستوده</t>
  </si>
  <si>
    <t>حسین اسدی‌فرد</t>
  </si>
  <si>
    <t>Root/کانون‌های فرهنگی هنری/کانون شعر و ادب/پستو</t>
  </si>
  <si>
    <t>2.پستو ۲.pdf</t>
  </si>
  <si>
    <t>https://drive.google.com/file/d/1BiZTVrAVuvCBhOz3uF0VFZpitA3pcxod/view?usp=drivesdk</t>
  </si>
  <si>
    <t>ایمان گنجی</t>
  </si>
  <si>
    <t>بابک شیخی</t>
  </si>
  <si>
    <t>3.پستو ۳.pdf</t>
  </si>
  <si>
    <t>https://drive.google.com/file/d/15bi-M_SlLthoE8vGTnucWHDYkKdNzOlW/view?usp=drivesdk</t>
  </si>
  <si>
    <t>5-6.پستو ۵ و ۶.pdf</t>
  </si>
  <si>
    <t>https://drive.google.com/file/d/18GO-1UJSIbI3G5tya9vUemVzpBQo-7vB/view?usp=drivesdk</t>
  </si>
  <si>
    <t>26/11/1388</t>
  </si>
  <si>
    <t>9.پستو ۹ - ۱ جدید.pdf</t>
  </si>
  <si>
    <t>https://drive.google.com/file/d/1isaIAw6aMtdmOw9i7y13hPklNl6Zs5kv/view?usp=drivesdk</t>
  </si>
  <si>
    <t>11.پستو ۱۱.pdf</t>
  </si>
  <si>
    <t>https://drive.google.com/file/d/1xj61KRL92l16-YSCwBqxp-rCFg_v2-Z8/view?usp=drivesdk</t>
  </si>
  <si>
    <t>حنیفا پیلوار</t>
  </si>
  <si>
    <t>14.پستو ۱۴.pdf</t>
  </si>
  <si>
    <t>https://drive.google.com/file/d/1FTmVgxRrEPT9P-LxY5sLyenrKVPgJDhJ/view?usp=drivesdk</t>
  </si>
  <si>
    <t>10/5/1389</t>
  </si>
  <si>
    <t>Root/کانون‌های فرهنگی هنری/کانون هنرهای تجسمی/نقش خیال</t>
  </si>
  <si>
    <t>1گاهنامه-نقش-خیال-شماره-اول.pdf</t>
  </si>
  <si>
    <t>https://drive.google.com/file/d/1Txb0VF-cy4FdnS_p_7aK9bLJYKaQtD2B/view?usp=drivesdk</t>
  </si>
  <si>
    <t>حسین مطلبی</t>
  </si>
  <si>
    <t>رفیعه مصاحب</t>
  </si>
  <si>
    <t>حسین رستمی</t>
  </si>
  <si>
    <t>2.گاهنامه-نقش-خیال-شماره-دوم.pdf</t>
  </si>
  <si>
    <t>https://drive.google.com/file/d/1lM8yx2hmKXAoRGBqYUZIZGC9lOLVi-9C/view?usp=drivesdk</t>
  </si>
  <si>
    <t>3.گاهنامه نقش خیال _ شماره سوم.pdf</t>
  </si>
  <si>
    <t>https://drive.google.com/file/d/1exwL6qjWA4RTGHFji_t1xbMVSVk4IdId/view?usp=drivesdk</t>
  </si>
  <si>
    <t>کانون هنرهای تجسمی</t>
  </si>
  <si>
    <t>مهسا یزدی فرد</t>
  </si>
  <si>
    <t>4.نقش خیال.pdf</t>
  </si>
  <si>
    <t>https://drive.google.com/file/d/19O-s4jHigDzMOHPCGWgSP3HbLeZa0hFo/view?usp=drivesdk</t>
  </si>
  <si>
    <t>زهرا اکبری</t>
  </si>
  <si>
    <t>5.گاهنامه_نقش_خیال_کانون_هنرهای_تجسمی.pdf</t>
  </si>
  <si>
    <t>https://drive.google.com/file/d/1LRp82AMY4KWTzHjKeqJQfVuMIv0CH2ri/view?usp=drivesdk</t>
  </si>
  <si>
    <t>مهسا حسینی</t>
  </si>
  <si>
    <t>امین عبدالرحیمی</t>
  </si>
  <si>
    <t>6.گاهنامه نقش خیال، شماره ششم (2).pdf</t>
  </si>
  <si>
    <t>https://drive.google.com/file/d/1073ubzTvR5dZvrBtpfMWEAi8DU1ROC9U/view?usp=drivesdk</t>
  </si>
  <si>
    <t>مائده بروجی</t>
  </si>
  <si>
    <t>صالح فیاض</t>
  </si>
  <si>
    <t>7.گاهنامه نقش خیال، شماره هفتم.pdf</t>
  </si>
  <si>
    <t>https://drive.google.com/file/d/1gtvapwR8OTswPM_plqc-NcDcW--AF7vS/view?usp=drivesdk</t>
  </si>
  <si>
    <t>Root/انجمن‌های علمی و نشریات وابسته به دانشکده‌ها/دانشکده مهندسی کامپیوتر/کدنامه و بایت</t>
  </si>
  <si>
    <t>1.1.1.کدنامه - شماره‌ی ۱.pdf</t>
  </si>
  <si>
    <t>https://drive.google.com/file/d/1k0IZAFLqeJGIRNUV6kK-gDj7i2u2_reX/view?usp=drivesdk</t>
  </si>
  <si>
    <t>غیررسمی</t>
  </si>
  <si>
    <t>1.1.2.کدنامه - شماره‌ی ۲.pdf</t>
  </si>
  <si>
    <t>https://drive.google.com/file/d/1fbp7ApBYZXMUKCYNuHiAhBiTsEQVnfZH/view?usp=drivesdk</t>
  </si>
  <si>
    <t>22/7/1400</t>
  </si>
  <si>
    <t>1.1.3.کدنامه - شماره‌ی ۳.pdf</t>
  </si>
  <si>
    <t>https://drive.google.com/file/d/1jO9KVERi2X5gyjiYUWv1gwxJNqFNiUwZ/view?usp=drivesdk</t>
  </si>
  <si>
    <t>29/7/1400</t>
  </si>
  <si>
    <t>1.1.4.کدنامه - شماره‌ی ۴.pdf</t>
  </si>
  <si>
    <t>https://drive.google.com/file/d/1vJhmh9hFcuQO5oT5al6e35V0a7BwEOCn/view?usp=drivesdk</t>
  </si>
  <si>
    <t>6/8/1400</t>
  </si>
  <si>
    <t>1.1.5.کدنامه - شماره‌ی ۵.pdf</t>
  </si>
  <si>
    <t>https://drive.google.com/file/d/10mYj07NFN46z6Kwr4Y2Ee4SGLBw3D6Wl/view?usp=drivesdk</t>
  </si>
  <si>
    <t>21/8/1400</t>
  </si>
  <si>
    <t>1.2.1.AP#1.pdf</t>
  </si>
  <si>
    <t>https://drive.google.com/file/d/1u52uIcVF6TAMA3l4GhVGJzJ7_VCdNsyY/view?usp=drivesdk</t>
  </si>
  <si>
    <t>25/12/1400</t>
  </si>
  <si>
    <t>1.2.2.کدنامه - شماره‌ی ۲.pdf</t>
  </si>
  <si>
    <t>https://drive.google.com/file/d/1Trv4CIQg-4Rk9E78ukmIdzr0Wu1KKgfM/view?usp=drivesdk</t>
  </si>
  <si>
    <t>3/1/1401</t>
  </si>
  <si>
    <t>1.2.3.کدنامه - شماره سه.pdf</t>
  </si>
  <si>
    <t>https://drive.google.com/file/d/1PPW_zfV-ksf7d2nvMKW-heQhRDckvM4u/view?usp=drivesdk</t>
  </si>
  <si>
    <t>21/1/1401</t>
  </si>
  <si>
    <t>1.2.4.کدنامه - شماره چهارم.pdf</t>
  </si>
  <si>
    <t>https://drive.google.com/file/d/1J-6VRI8yR_RlZvMm15gcLxq7uWiWowvE/view?usp=drivesdk</t>
  </si>
  <si>
    <t>1/2/1401</t>
  </si>
  <si>
    <t>1.2.5.کدنامه - شماره پنج.pdf</t>
  </si>
  <si>
    <t>https://drive.google.com/file/d/1VMcMjrtoHLeq6CB_-yJ5TjEyetpCfygJ/view?usp=drivesdk</t>
  </si>
  <si>
    <t>15/3/1401</t>
  </si>
  <si>
    <t>1.3.1.Codenameh_1.pdf</t>
  </si>
  <si>
    <t>https://drive.google.com/file/d/1zRciUgbzAf4_jl_NgyK2ki8An3vDV33c/view?usp=drivesdk</t>
  </si>
  <si>
    <t>1/9/1401</t>
  </si>
  <si>
    <t>1.3.2.Codenameh_2.pdf</t>
  </si>
  <si>
    <t>https://drive.google.com/file/d/1N4WaGNUftF7SZt6fr4O8peWs1aPTv_Q4/view?usp=drivesdk</t>
  </si>
  <si>
    <t>2/10/1401</t>
  </si>
  <si>
    <t>1.3.3.Codenameh_3.pdf</t>
  </si>
  <si>
    <t>https://drive.google.com/file/d/178jA6xMU9F0NVcVIzTar8jLHeNo-l-2x/view?usp=drivesdk</t>
  </si>
  <si>
    <t>7/11/1401</t>
  </si>
  <si>
    <t>2.1.نشریه بایت ۱.pdf</t>
  </si>
  <si>
    <t>https://drive.google.com/file/d/1hLslTya_2v-nwWwLmggWmq5nm3hb2_yD/view?usp=drivesdk</t>
  </si>
  <si>
    <t>دکتر محمدحسین رهبان</t>
  </si>
  <si>
    <t>امیرحسین رازلیقی</t>
  </si>
  <si>
    <t>2.2.نشریه بایت ۲.pdf</t>
  </si>
  <si>
    <t>https://drive.google.com/file/d/1SL6SP9rgzjjD16AlyL41VKUmwWCwr5bJ/view?usp=drivesdk</t>
  </si>
  <si>
    <t>آرش شاه‌حسینی</t>
  </si>
  <si>
    <t>2.3.نشریه بایت ۳.pdf</t>
  </si>
  <si>
    <t>https://drive.google.com/file/d/1nZdtNy2sTn1Xgn6C_V_gOGfWdb08tlA0/view?usp=drivesdk</t>
  </si>
  <si>
    <t>2.4.نشریه بایت ۴.pdf</t>
  </si>
  <si>
    <t>https://drive.google.com/file/d/1a60hgovm7CjKyIguBzPoHMMhoJwDF36m/view?usp=drivesdk</t>
  </si>
  <si>
    <t>30/5/1404</t>
  </si>
  <si>
    <t>Root/انجمن‌های علمی و نشریات وابسته به دانشکده‌ها/دانشکده مهندسی مواد و متالورژی/متریال‌تایمز</t>
  </si>
  <si>
    <t>متریال تایمز شماره یک.pdf</t>
  </si>
  <si>
    <t>https://drive.google.com/file/d/1VB7GqQ4H4r0VMkZbv9ExBolJw4Tvmao7/view?usp=drivesdk</t>
  </si>
  <si>
    <t>Root/انجمن‌های علمی و نشریات وابسته به دانشکده‌ها/دانشکده مهندسی برق/مجله برق شریف</t>
  </si>
  <si>
    <t>3.MajaleBargh3.pdf</t>
  </si>
  <si>
    <t>https://drive.google.com/file/d/1XxA9ehvCTNLCIbQb-GW7iM4uqmqvf1V5/view?usp=drivesdk</t>
  </si>
  <si>
    <t>4.MajaleBargh4.pdf</t>
  </si>
  <si>
    <t>https://drive.google.com/file/d/197OU6yhsGyrC8ICkMpElUMhLawePmLvf/view?usp=drivesdk</t>
  </si>
  <si>
    <t>x/x/1375</t>
  </si>
  <si>
    <t>1/7/1375</t>
  </si>
  <si>
    <t>5.MajaleBargh5.pdf</t>
  </si>
  <si>
    <t>https://drive.google.com/file/d/1jDMKSd1NXpRVV10fm_rtmHENpeNAbNVX/view?usp=drivesdk</t>
  </si>
  <si>
    <t>شهریار شاه‌حیدری</t>
  </si>
  <si>
    <t>x/x/1377</t>
  </si>
  <si>
    <t>1/7/1377</t>
  </si>
  <si>
    <t>6.MajaleBargh6.pdf</t>
  </si>
  <si>
    <t>https://drive.google.com/file/d/1AK3-E6BmCnGGK9rYbvSLTzyWxQeVnBKa/view?usp=drivesdk</t>
  </si>
  <si>
    <t>8.MajaleBargh8.pdf</t>
  </si>
  <si>
    <t>https://drive.google.com/file/d/1QOpYTd0bJuHB4Fh5EHf2S8z4vCD801Yv/view?usp=drivesdk</t>
  </si>
  <si>
    <t>علی کافی</t>
  </si>
  <si>
    <t>9.MajaleBargh9.pdf</t>
  </si>
  <si>
    <t>https://drive.google.com/file/d/1NqiGgdJmZqMDBk0HBvm2sIUrmstHG7kb/view?usp=drivesdk</t>
  </si>
  <si>
    <t>10.MajaleBargh10.pdf</t>
  </si>
  <si>
    <t>https://drive.google.com/file/d/1XXSjt3vVmQpBkIuYS_MntQk4GwRZ7OB3/view?usp=drivesdk</t>
  </si>
  <si>
    <t>x/11/1379</t>
  </si>
  <si>
    <t>15/11/1379</t>
  </si>
  <si>
    <t>Root/انجمن‌های علمی و نشریات وابسته به دانشکده‌ها/دانشکده مهندسی صنایع/مجله صنایع</t>
  </si>
  <si>
    <t>1.مجله صنایع (1).pdf</t>
  </si>
  <si>
    <t>https://drive.google.com/file/d/1AEeoKhs8vpOO3iR8dh_QoHDPtUY90OWA/view?usp=drivesdk</t>
  </si>
  <si>
    <t>محمد رضا اکبر جوکار</t>
  </si>
  <si>
    <t>x/x/1372</t>
  </si>
  <si>
    <t>1/7/1372</t>
  </si>
  <si>
    <t>53.00ورودی‌نامه-ویژه نامه 96 صنایع.pdf</t>
  </si>
  <si>
    <t>https://drive.google.com/file/d/1Wc-e9Bv9xJrD-hIR8dQfB4XxThgHyEEB/view?usp=drivesdk</t>
  </si>
  <si>
    <t>انجمن علمی دانشکده مهندسی صنایع</t>
  </si>
  <si>
    <t>مریم بستان‌آراء</t>
  </si>
  <si>
    <t>فریما آسال</t>
  </si>
  <si>
    <t>ویژه‌نامه ورودی ۱۳۹۶</t>
  </si>
  <si>
    <t>53.01nashriyeh-53.pdf</t>
  </si>
  <si>
    <t>https://drive.google.com/file/d/1vRidQOmZaX0opfTkjkHeWQxzIuDh7moC/view?usp=drivesdk</t>
  </si>
  <si>
    <t>دکتر علیرضا حجی</t>
  </si>
  <si>
    <t>سجاد دهنوئی</t>
  </si>
  <si>
    <t>54.nashriyeh-54.pdf</t>
  </si>
  <si>
    <t>https://drive.google.com/file/d/1aUFSdzYG-O3aDt8TZtFmJGbGxJR-bV2s/view?usp=drivesdk</t>
  </si>
  <si>
    <t>عطیه رزقی</t>
  </si>
  <si>
    <t>55.ویژه‌نامه ورودی‌ها.pdf</t>
  </si>
  <si>
    <t>https://drive.google.com/file/d/1xLYuBtDfuodp4bcMQ_eHUuNQAkKa5zaA/view?usp=drivesdk</t>
  </si>
  <si>
    <t>حسن اسماعیلی</t>
  </si>
  <si>
    <t>غزل قلی زاده</t>
  </si>
  <si>
    <t>56.شماره 56ام مجله صنایع.pdf</t>
  </si>
  <si>
    <t>https://drive.google.com/file/d/1n1IH2Wfhd8N04XYnDcyH-GjppbyJUia9/view?usp=drivesdk</t>
  </si>
  <si>
    <t>پرهام رضایی</t>
  </si>
  <si>
    <t>57.ویژه‌نامه‌ ورودی ۹۹.pdf</t>
  </si>
  <si>
    <t>https://drive.google.com/file/d/1gs6udu5AC4xNrtaw8kXcQd6-Cr3Cq_GD/view?usp=drivesdk</t>
  </si>
  <si>
    <t>دکتر مجید رفیعی</t>
  </si>
  <si>
    <t>آفاق دشتی</t>
  </si>
  <si>
    <t>30/5/1401</t>
  </si>
  <si>
    <t>30/3/1400</t>
  </si>
  <si>
    <t>58.مجله صنایع - ویژه نامه عید.pdf</t>
  </si>
  <si>
    <t>https://drive.google.com/file/d/1_h8kQ0YB5SNReJ1Lml1dHDD7qHMg6clo/view?usp=drivesdk</t>
  </si>
  <si>
    <t>59.مجله‌ی صنایع.pdf</t>
  </si>
  <si>
    <t>https://drive.google.com/file/d/1hKVaBSF-4BmLVni1roJ0-wZGf3vc5zR5/view?usp=drivesdk</t>
  </si>
  <si>
    <t>60.@IESUTMagazine - ویژه‌نامه معرفی صنایع.pdf</t>
  </si>
  <si>
    <t>https://drive.google.com/file/d/1_zWLvQRss6eLkRILckPR3MfX_2SshApu/view?usp=drivesdk</t>
  </si>
  <si>
    <t>حامد حاتمی</t>
  </si>
  <si>
    <t>61.@IESUTMagazine - شماره ۶۱ مجله‌ی صنایع.pdf</t>
  </si>
  <si>
    <t>https://drive.google.com/file/d/1VRebVIgsM2PuuOmEgwNtSWYzD9yg2Ng0/view?usp=drivesdk</t>
  </si>
  <si>
    <t>62.@IESUTMagazine_شماره‌ی_شصت‌ودوم_مجله‌ی_صنایع.pdf</t>
  </si>
  <si>
    <t>https://drive.google.com/file/d/1rbp0E3jLvj7ohL0L3rWugezr-t-kfCB_/view?usp=drivesdk</t>
  </si>
  <si>
    <t>63.مجله ‌صنایع - شمارۀ ۶۳.pdf</t>
  </si>
  <si>
    <t>https://drive.google.com/file/d/1x4lQj2sumYQiXlnvs4ixOWHPswnqkRQT/view?usp=drivesdk</t>
  </si>
  <si>
    <t>علی نصر</t>
  </si>
  <si>
    <t>64.مجله صنایع - شمارۀ ۶۴.pdf</t>
  </si>
  <si>
    <t>https://drive.google.com/file/d/1JpyRxVIk87CzLDxd3Kt5ldqhS_a4MMQe/view?usp=drivesdk</t>
  </si>
  <si>
    <t>دکتر زهرا سادات حسن‌پور</t>
  </si>
  <si>
    <t>65.مجله صنایع - شمارۀ ۶۵.pdf</t>
  </si>
  <si>
    <t>https://drive.google.com/file/d/1gYtFlae8rHk8KerSaRrVtvMAMDiFk9fp/view?usp=drivesdk</t>
  </si>
  <si>
    <t>66.مجله صنایع شماره 66.pdf</t>
  </si>
  <si>
    <t>https://drive.google.com/file/d/1lZpNhT87GAT2Q73-IwVcb-3Y-0IUimNl/view?usp=drivesdk</t>
  </si>
  <si>
    <t>67.ویژه‌نامه ورودی ۱۴۰۳.pdf</t>
  </si>
  <si>
    <t>https://drive.google.com/file/d/1yYB3zq5Em_yxiWwdLFRparIe0dKwPYgf/view?usp=drivesdk</t>
  </si>
  <si>
    <t>زهرادخت رحمتی</t>
  </si>
  <si>
    <t>Root/انجمن‌های علمی و نشریات وابسته به دانشکده‌ها/دانشکده مدیریت و اقتصاد/مدیریت شریف</t>
  </si>
  <si>
    <t>نشریه شماره اول (1).pdf</t>
  </si>
  <si>
    <t>https://drive.google.com/file/d/1g6MgSfEG7ksKEjvQTamq8gzFqlEqUKNg/view?usp=drivesdk</t>
  </si>
  <si>
    <t>انجمن علمی و دانشجویی مدیریت شریف</t>
  </si>
  <si>
    <t>آریا کلانی</t>
  </si>
  <si>
    <t>سپهر اسکندری</t>
  </si>
  <si>
    <t>مدیریت شریف (شمارهٔ ۲، بهار ۱۴۰۳).pdf</t>
  </si>
  <si>
    <t>https://drive.google.com/file/d/1dJKBFN-J0x1E41g1KIdwhbq6ux2QpqW1/view?usp=drivesdk</t>
  </si>
  <si>
    <t>محمدرضا طیبی</t>
  </si>
  <si>
    <t>علیرضا کشتار‌باقری</t>
  </si>
  <si>
    <t>Root/انجمن‌های علمی و نشریات وابسته به دانشکده‌ها/دانشکده مهندسی مواد و متالورژی/نابجایی</t>
  </si>
  <si>
    <t>ویژه‌نامه_ورودی‌ها.pdf</t>
  </si>
  <si>
    <t>https://drive.google.com/file/d/1aIopQ5kfNd60CKl5gpYGpj2K4JLnz-IW/view?usp=drivesdk</t>
  </si>
  <si>
    <t>بهداد غیاثی‌منش</t>
  </si>
  <si>
    <t>غزل خادمیان</t>
  </si>
  <si>
    <t>ویژه‌نامه ورودی‌ها</t>
  </si>
  <si>
    <t>Root/انجمن‌های علمی و نشریات وابسته به دانشکده‌ها/نشریات خارج دانشگاهی/پداگوژی - دانشگاه تهران</t>
  </si>
  <si>
    <t>1.پداگوژی - آموزش و طردشدگان.pdf</t>
  </si>
  <si>
    <t>https://drive.google.com/file/d/1YmcSC_DMuoO-s1bheE_VYcOm2tblvn8L/view?usp=drivesdk</t>
  </si>
  <si>
    <t>آریاناز گلرخ</t>
  </si>
  <si>
    <t>حسام حسین‌زاده</t>
  </si>
  <si>
    <t>x/7,8/1395</t>
  </si>
  <si>
    <t>2.پداگوژی - آموزش و پول.pdf</t>
  </si>
  <si>
    <t>https://drive.google.com/file/d/1UQLzHwFnRPOPUNliQlhbC3iku9zgoVSs/view?usp=drivesdk</t>
  </si>
  <si>
    <t>x/9,10/1395</t>
  </si>
  <si>
    <t>Root/انجمن‌های علمی و نشریات وابسته به دانشکده‌ها/نشریات خارج دانشگاهی/خبرنامه دانشجویان ایران</t>
  </si>
  <si>
    <t>خبرنامه دانشجویان ایران ۲۹.pdf</t>
  </si>
  <si>
    <t>https://drive.google.com/file/d/1DotCOQVXKynZ17__q770LZKa24g2eSHa/view?usp=drivesdk</t>
  </si>
  <si>
    <t>x/12/1388</t>
  </si>
  <si>
    <t>خبرنامه_دانشجویان_ایران_ویژه‌نامه_شماره_۱_دانشگاه_صنعتی_شریف.pdf</t>
  </si>
  <si>
    <t>https://drive.google.com/file/d/15dXpo61jlKN1IW3W1trLvqJVg8kq57wC/view?usp=drivesdk</t>
  </si>
  <si>
    <t>علی زارعی</t>
  </si>
  <si>
    <t>ویژه‌نامه شماره ۱ دانشگاه صنعتی شریف</t>
  </si>
  <si>
    <t>Root/انجمن‌های علمی و نشریات وابسته به دانشکده‌ها/نشریات خارج دانشگاهی/سپیده</t>
  </si>
  <si>
    <t>2.سپیده ۲.pdf</t>
  </si>
  <si>
    <t>https://drive.google.com/file/d/1CpKW3Io2YZJ6lU5qK8o5OSe6A6KOMAr6/view?usp=drivesdk</t>
  </si>
  <si>
    <t>آرمین سلمانی</t>
  </si>
  <si>
    <t>x/2/1384</t>
  </si>
  <si>
    <t>15/2/1384</t>
  </si>
  <si>
    <t>Root/نشریات مستقل/آشتی دوباره با ریاضیات</t>
  </si>
  <si>
    <t>First Document=2SEND.pdf</t>
  </si>
  <si>
    <t>https://drive.google.com/file/d/1IZEfeHglwhO0Tvk6A34ILshz6aWuoFjo/view?usp=drivesdk</t>
  </si>
  <si>
    <t>حسین پیوندی</t>
  </si>
  <si>
    <t>بنیامین بیضایی</t>
  </si>
  <si>
    <t>Root/نشریات مستقل/آنومی</t>
  </si>
  <si>
    <t>آنومی1.pdf</t>
  </si>
  <si>
    <t>https://drive.google.com/file/d/1MEJ7Op7p4gNBwQV9t9OJlm10-X6_0UeW/view?usp=drivesdk</t>
  </si>
  <si>
    <t>سنا رشیدی</t>
  </si>
  <si>
    <t>Root/نشریات مستقل/اقبال</t>
  </si>
  <si>
    <t>1.SHOMARE 1.pdf</t>
  </si>
  <si>
    <t>https://drive.google.com/file/d/1ONDkk1dzV8_VbAgUQFODawCE6oc5FTNS/view?usp=drivesdk</t>
  </si>
  <si>
    <t>ابراهیم گلشنی</t>
  </si>
  <si>
    <t>محمد ذوالقدر</t>
  </si>
  <si>
    <t>x/8/1392</t>
  </si>
  <si>
    <t>15/8/1392</t>
  </si>
  <si>
    <t>2.SHOMARE 2.pdf</t>
  </si>
  <si>
    <t>https://drive.google.com/file/d/119Op0QTycie6p5LBWHezJDx7pUQ8qlfn/view?usp=drivesdk</t>
  </si>
  <si>
    <t>3.SHOMARE 3.pdf</t>
  </si>
  <si>
    <t>https://drive.google.com/file/d/1zEmfbrMoE_Ls97tOsUB9AEbf5Gwg1n2i/view?usp=drivesdk</t>
  </si>
  <si>
    <t>4.SHOMARE 4.pdf</t>
  </si>
  <si>
    <t>https://drive.google.com/file/d/1MYUg5GPbFU4GfLvU6KRY4XQcwJAAppCp/view?usp=drivesdk</t>
  </si>
  <si>
    <t>5.SHOMARE 5.pdf</t>
  </si>
  <si>
    <t>https://drive.google.com/file/d/1dsbg-B7cgMLrEo-u85-1a-Wwc8wnloOU/view?usp=drivesdk</t>
  </si>
  <si>
    <t>x/1/1393</t>
  </si>
  <si>
    <t>15/1/1393</t>
  </si>
  <si>
    <t>6.SHOMARE 6.pdf</t>
  </si>
  <si>
    <t>https://drive.google.com/file/d/1obukc6TnNLGiiHILt83aD1u30qARBk2F/view?usp=drivesdk</t>
  </si>
  <si>
    <t>x/2/1393</t>
  </si>
  <si>
    <t>15/2/1393</t>
  </si>
  <si>
    <t>7.SHOMARE 7.pdf</t>
  </si>
  <si>
    <t>https://drive.google.com/file/d/1ZN5p7erRyn-xLco3NjQF2EidFwvh_1DS/view?usp=drivesdk</t>
  </si>
  <si>
    <t>9.VIZHE NAMEH -SHOMARE 9.pdf</t>
  </si>
  <si>
    <t>https://drive.google.com/file/d/1HvvUpGtcaoRo1vObNeLoa17wVxE6tCjn/view?usp=drivesdk</t>
  </si>
  <si>
    <t>اباذر آزادفر</t>
  </si>
  <si>
    <t>10.10-MEHR.pdf</t>
  </si>
  <si>
    <t>https://drive.google.com/file/d/1nfD7MaYy2Qv6p-KbTpRspFg248O-25sA/view?usp=drivesdk</t>
  </si>
  <si>
    <t>11.11-ABAN.pdf</t>
  </si>
  <si>
    <t>https://drive.google.com/file/d/1Sgwb_zy0DNoujHwCieCi0ECOpv5ZTjju/view?usp=drivesdk</t>
  </si>
  <si>
    <t>حسین شهاب‌کریمی</t>
  </si>
  <si>
    <t>12.12-ABAN.pdf</t>
  </si>
  <si>
    <t>https://drive.google.com/file/d/1vAeJTSe0gCL7SOwf8fWuwIVe5hewTWnn/view?usp=drivesdk</t>
  </si>
  <si>
    <t>13.13-AZAR.pdf</t>
  </si>
  <si>
    <t>https://drive.google.com/file/d/1GAvyZNCGRLQKUQ03RIqJKAtmdJCjiZX8/view?usp=drivesdk</t>
  </si>
  <si>
    <t>14.14-AZAR.pdf</t>
  </si>
  <si>
    <t>https://drive.google.com/file/d/15EpTZg4pprp7qgixyx_50xoSd6A1z95V/view?usp=drivesdk</t>
  </si>
  <si>
    <t>17.17-BAHMAN.pdf</t>
  </si>
  <si>
    <t>https://drive.google.com/file/d/19DiuZyMqj27PsqrOJBKYTUIXndFfjpz9/view?usp=drivesdk</t>
  </si>
  <si>
    <t>حامد ملکی</t>
  </si>
  <si>
    <t>x/11/1393</t>
  </si>
  <si>
    <t>15/11/1393</t>
  </si>
  <si>
    <t>18.SHOMARE 18.pdf</t>
  </si>
  <si>
    <t>https://drive.google.com/file/d/14xHgeySDx6hidjJbQOTJAEK2KC8DURPr/view?usp=drivesdk</t>
  </si>
  <si>
    <t>19.19-ESFAND.pdf</t>
  </si>
  <si>
    <t>https://drive.google.com/file/d/1aFo7IEk3FzNxjsAAyKSw916LWULN0Q8t/view?usp=drivesdk</t>
  </si>
  <si>
    <t>Root/نشریات مستقل/امن</t>
  </si>
  <si>
    <t>AMN 1.pdf</t>
  </si>
  <si>
    <t>https://drive.google.com/file/d/1tm38dqXlo4G2Y-ZkvNC0BkpQRyqn1qxi/view?usp=drivesdk</t>
  </si>
  <si>
    <t>محمد مهدی مهدوی</t>
  </si>
  <si>
    <t>احمد صدری</t>
  </si>
  <si>
    <t>محسن شهریاری</t>
  </si>
  <si>
    <t>1/8/1391</t>
  </si>
  <si>
    <t>15/10/1390</t>
  </si>
  <si>
    <t>AMN 2.pdf</t>
  </si>
  <si>
    <t>https://drive.google.com/file/d/1soW_UQIlKxwhRjyXda8vUmowzJpMQs2k/view?usp=drivesdk</t>
  </si>
  <si>
    <t>x/8/1391</t>
  </si>
  <si>
    <t>15/8/1391</t>
  </si>
  <si>
    <t>AMN 3.pdf</t>
  </si>
  <si>
    <t>https://drive.google.com/file/d/1CgToN1cq2SsymYt0TNNQTqX3EIyFhIyW/view?usp=drivesdk</t>
  </si>
  <si>
    <t>x/9/1391</t>
  </si>
  <si>
    <t>15/9/1391</t>
  </si>
  <si>
    <t>AMN 4.pdf</t>
  </si>
  <si>
    <t>https://drive.google.com/file/d/1MlKtkGFfq0lsRoLxfgYTJ9kmoNQPhu2e/view?usp=drivesdk</t>
  </si>
  <si>
    <t>15/11/1391</t>
  </si>
  <si>
    <t>AMN 5.pdf</t>
  </si>
  <si>
    <t>https://drive.google.com/file/d/1009tIXIzvBIKSwUUwxywXursLJ9tgKz2/view?usp=drivesdk</t>
  </si>
  <si>
    <t>x/2/1392</t>
  </si>
  <si>
    <t>15/2/1392</t>
  </si>
  <si>
    <t>AMN 7.pdf</t>
  </si>
  <si>
    <t>https://drive.google.com/file/d/1gpnDBivnqiVF0QGH8sfE4b3BnaCn01u_/view?usp=drivesdk</t>
  </si>
  <si>
    <t>سینا ضیائی</t>
  </si>
  <si>
    <t>AMN 8.pdf</t>
  </si>
  <si>
    <t>https://drive.google.com/file/d/1UlelBCuMxoJ9wiPPlGgZWYBXtFqYH1b_/view?usp=drivesdk</t>
  </si>
  <si>
    <t>Root/نشریات مستقل/بخیه‌باز</t>
  </si>
  <si>
    <t>3.0.شماره۳_بخیه‌باز_۳۰اردیبهشت۹۸.pdf</t>
  </si>
  <si>
    <t>https://drive.google.com/file/d/1BovmLMEvx8L-k27p0aNRsiU0PMBAxKaX/view?usp=drivesdk</t>
  </si>
  <si>
    <t xml:space="preserve"> محمدحسین شاهمرادی</t>
  </si>
  <si>
    <t>3.1.چسب زخم.pdf</t>
  </si>
  <si>
    <t>https://drive.google.com/file/d/1tJKWYaDbkcAKkF34IJmrpVZowIBffRhw/view?usp=drivesdk</t>
  </si>
  <si>
    <t>ضمیمه شماره ۳</t>
  </si>
  <si>
    <t>Root/تشکل‌های اسلامی و سیاسی/انجمن اسلامی دانشجویان</t>
  </si>
  <si>
    <t>20-mehr-1396.pdf</t>
  </si>
  <si>
    <t>https://drive.google.com/file/d/16l_gUqYzOOXhPOX3gzm_kRzvLxxnr5Oq/view?usp=drivesdk</t>
  </si>
  <si>
    <t>20/7/1396</t>
  </si>
  <si>
    <t>نشریه غیررسمی انتخابات آزادانه انجمن اسلامی</t>
  </si>
  <si>
    <t>Root/نشریات مستقل/حرکت</t>
  </si>
  <si>
    <t>1.حرکت.pdf</t>
  </si>
  <si>
    <t>https://drive.google.com/file/d/1Ic0c8Kd1thpMF0bjLhP9HA-Ab9oNJmxc/view?usp=drivesdk</t>
  </si>
  <si>
    <t>مهدی حقیقت جو</t>
  </si>
  <si>
    <t>سام ستارزاده</t>
  </si>
  <si>
    <t>2.حرکت دوم.pdf</t>
  </si>
  <si>
    <t>https://drive.google.com/file/d/1bNj17QwP5-9TT6W3BvuZTqRfiIMop0rD/view?usp=drivesdk</t>
  </si>
  <si>
    <t>3.0حرکت سوم .pdf</t>
  </si>
  <si>
    <t>https://drive.google.com/file/d/1lFA4tK11NdG-AiNHeN68IZDVGRb0Mwbh/view?usp=drivesdk</t>
  </si>
  <si>
    <t>3.1کوریره دلا شریف ۱.pdf</t>
  </si>
  <si>
    <t>https://drive.google.com/file/d/1HODYvpM9G2wPJ2u9dtsYQYrn6IFdFt4O/view?usp=drivesdk</t>
  </si>
  <si>
    <t>کوریره دلا شریف ۱</t>
  </si>
  <si>
    <t>4.0حرکت چهارم.pdf</t>
  </si>
  <si>
    <t>https://drive.google.com/file/d/1CQ8natl2BE_iikTGhz94t9oFNFnm6g9N/view?usp=drivesdk</t>
  </si>
  <si>
    <t>پارسا بخشنده</t>
  </si>
  <si>
    <t>4.1کوریره دلا شریف ۲.pdf</t>
  </si>
  <si>
    <t>https://drive.google.com/file/d/1vNSjf4irNkQYVeSBvPXV0VnbmKUADZ1r/view?usp=drivesdk</t>
  </si>
  <si>
    <t>کوریره دلا شریف ۲</t>
  </si>
  <si>
    <t>5.0حرکت پنجم.pdf</t>
  </si>
  <si>
    <t>https://drive.google.com/file/d/13AGRsDZFuHuE0YQe6ljJ_aH8lMEF7RTe/view?usp=drivesdk</t>
  </si>
  <si>
    <t>5.1کوریره دلا شریف ۳.pdf</t>
  </si>
  <si>
    <t>https://drive.google.com/file/d/19Z_d5FMetPubnHMx8_o4OzFQfJSQgzPi/view?usp=drivesdk</t>
  </si>
  <si>
    <t>کوریره دلا شریف ۳</t>
  </si>
  <si>
    <t>6.0حرکت ششم.pdf</t>
  </si>
  <si>
    <t>https://drive.google.com/file/d/1169-kWcUAtMHrOkByrLvYxfbaIJG5snQ/view?usp=drivesdk</t>
  </si>
  <si>
    <t>محمد توفیقی زواره</t>
  </si>
  <si>
    <t>6.1کوریره دلا شریف ۴.pdf</t>
  </si>
  <si>
    <t>https://drive.google.com/file/d/1QOQukPNCTw1YiCUbYMknZN8SxnFrMe2m/view?usp=drivesdk</t>
  </si>
  <si>
    <t>مهدی حقیقت کو</t>
  </si>
  <si>
    <t>کوریره دلا شریف ۴</t>
  </si>
  <si>
    <t>6.2کوریره دلا شریف ۵.pdf</t>
  </si>
  <si>
    <t>https://drive.google.com/file/d/1ou3XT-bzZv_MvZ7NHmnbRtYwLhBAF3Dy/view?usp=drivesdk</t>
  </si>
  <si>
    <t>کوریره دلا شریف ۵</t>
  </si>
  <si>
    <t>1/4/1399</t>
  </si>
  <si>
    <t>6.3کوریره دلا شریف ۶.pdf</t>
  </si>
  <si>
    <t>https://drive.google.com/file/d/1FX9jt-ex8GoCyfL6uJXlkPYws_W2k6ee/view?usp=drivesdk</t>
  </si>
  <si>
    <t>کوریره دلا شریف ۶</t>
  </si>
  <si>
    <t>7.0حرکت هفتم.pdf</t>
  </si>
  <si>
    <t>https://drive.google.com/file/d/1AVxalBdakzq4P7wI60hpJgSj-rsgeYmX/view?usp=drivesdk</t>
  </si>
  <si>
    <t>7.1کوریره دلا شریف ۷.pdf</t>
  </si>
  <si>
    <t>https://drive.google.com/file/d/1n6SIyEGtFVXxFD4dMuSKx2QdqQ6-ihWV/view?usp=drivesdk</t>
  </si>
  <si>
    <t>کوریره دلا شریف ۷</t>
  </si>
  <si>
    <t>8.حرکت هشتم.pdf</t>
  </si>
  <si>
    <t>https://drive.google.com/file/d/1y19NBv5kAIrgQGjIS612WaTn9tzXE8tH/view?usp=drivesdk</t>
  </si>
  <si>
    <t>مجید طاهرخانی</t>
  </si>
  <si>
    <t>محمد توفیقی زواره، شروین‌دخت ارشد</t>
  </si>
  <si>
    <t>8.1کوریره دلو شریف۸.pdf</t>
  </si>
  <si>
    <t>https://drive.google.com/file/d/1oCYGZdBwgTHZEim5qcosevaGRW-BqtbX/view?usp=drivesdk</t>
  </si>
  <si>
    <t>مرتضی شاکر آرانی</t>
  </si>
  <si>
    <t>کوریره دلا شریف ۸</t>
  </si>
  <si>
    <t>9.0حرکت نهم.pdf</t>
  </si>
  <si>
    <t>https://drive.google.com/file/d/1WJwAxLltsE85op19eieyE7g0UoqA5tq2/view?usp=drivesdk</t>
  </si>
  <si>
    <t>9.1corriere dello sharif.pdf</t>
  </si>
  <si>
    <t>https://drive.google.com/file/d/1ymUJxxZYIN-CO_h1wYaJonrsnAwRPS6w/view?usp=drivesdk</t>
  </si>
  <si>
    <t>کوریره دلا شریف ۹</t>
  </si>
  <si>
    <t>10.حرکت دهم.pdf</t>
  </si>
  <si>
    <t>https://drive.google.com/file/d/1PP0YUZlQnWCNr9qghf-OdrZN67d6Zhv2/view?usp=drivesdk</t>
  </si>
  <si>
    <t>11.0harekat-11.pdf</t>
  </si>
  <si>
    <t>https://drive.google.com/file/d/1ihUSdwvNfijKmhRqJXBI1EmdH56hPSPz/view?usp=drivesdk</t>
  </si>
  <si>
    <t>11.1corriere dello sharif (2).pdf</t>
  </si>
  <si>
    <t>https://drive.google.com/file/d/1KPCLvWkiQVJEsHMQJLY6GWG3JqI2lKF2/view?usp=drivesdk</t>
  </si>
  <si>
    <t>مبین اسلامی‌نیا</t>
  </si>
  <si>
    <t>کوریره دلا شریف ۱۰</t>
  </si>
  <si>
    <t>12.Harekat-12.pdf</t>
  </si>
  <si>
    <t>https://drive.google.com/file/d/1rW_oY6_fneyKJCKwStz8w_ikeFeOAsjj/view?usp=drivesdk</t>
  </si>
  <si>
    <t>Root/نشریات مستقل/داد و بیداد</t>
  </si>
  <si>
    <t>0.دوهفته نامه دانشجویی داد- شماره 0.pdf</t>
  </si>
  <si>
    <t>https://drive.google.com/file/d/1hAB7zI5alqIk-XV4Jp2e71GWgo6NwEmf/view?usp=drivesdk</t>
  </si>
  <si>
    <t>علی بهرامی ثانی</t>
  </si>
  <si>
    <t>احمدرضا شجاعی</t>
  </si>
  <si>
    <t>علی بهرامی شجاعی</t>
  </si>
  <si>
    <t>1.دو هفته نامه دانشجویی داد- شماره 1 (2).pdf</t>
  </si>
  <si>
    <t>https://drive.google.com/file/d/1Q39mwXvmO-EBI3lmgvK8Ap5VsEFPedPX/view?usp=drivesdk</t>
  </si>
  <si>
    <t>2.دوهفته نامه دانشجویی داد- شماره 2.pdf</t>
  </si>
  <si>
    <t>https://drive.google.com/file/d/17fPfiTUAfJC_ns3pULAVh_PyGDtUWsp_/view?usp=drivesdk</t>
  </si>
  <si>
    <t>21/11/1396</t>
  </si>
  <si>
    <t>3.دوهفته‌نامه_دانشجویی_داد_شماره_۳.pdf</t>
  </si>
  <si>
    <t>https://drive.google.com/file/d/1-12BuE65tu6QiZYHujWqjfDdG1N3PiLx/view?usp=drivesdk</t>
  </si>
  <si>
    <t>4.دوهفته‌نامه‌ی_دانشجویی_داد_شماره (11).pdf</t>
  </si>
  <si>
    <t>https://drive.google.com/file/d/1wo98R5hizlAN1TWcXkP1o8B6CaR-LSDu/view?usp=drivesdk</t>
  </si>
  <si>
    <t>5.دوهفته‌نامه‌ی_دانشجویی_داد_شماره (12).pdf</t>
  </si>
  <si>
    <t>https://drive.google.com/file/d/1n3ROQXRrenGx8x_DLiKjAKzy-vhSjyJp/view?usp=drivesdk</t>
  </si>
  <si>
    <t>25/1/1397</t>
  </si>
  <si>
    <t>6.دوهفته‌نامه‌ی_دانشجویی_داد_شماره (8).pdf</t>
  </si>
  <si>
    <t>https://drive.google.com/file/d/1XC2eqrYen01lpbTF7p5osC-sEIvYXpUs/view?usp=drivesdk</t>
  </si>
  <si>
    <t>7.دوهفته‌نامه‌ی_دانشجویی_داد_شماره (5).pdf</t>
  </si>
  <si>
    <t>https://drive.google.com/file/d/1A9KJmWtb5xKBCyffnQ9iNRvxtBaxbfk5/view?usp=drivesdk</t>
  </si>
  <si>
    <t>8.دوهفته‌نامه‌ی_دانشجویی_داد_شماره (13).pdf</t>
  </si>
  <si>
    <t>https://drive.google.com/file/d/1gWtuzjpBBHqrcafx0tsy997IIJ6DJ6HR/view?usp=drivesdk</t>
  </si>
  <si>
    <t>9.0دوهفته‌نامه‌ی_دانشجویی_داد_شماره (4).pdf</t>
  </si>
  <si>
    <t>https://drive.google.com/file/d/10P54A73EfdpahanU6htFi7Sy3pXrlt-I/view?usp=drivesdk</t>
  </si>
  <si>
    <t>حسام‌الدین میرجلیلی</t>
  </si>
  <si>
    <t>9.1ضمیمه‌ی طنز بیداد- شماره 1.pdf</t>
  </si>
  <si>
    <t>https://drive.google.com/file/d/18mo0BAv2EDX9Ciy4eegw-r2yrhVivx7s/view?usp=drivesdk</t>
  </si>
  <si>
    <t>شماره ۱ بیداد</t>
  </si>
  <si>
    <t>10.0دوهفته‌نامه‌ی_دانشجویی_داد_شماره (14).pdf</t>
  </si>
  <si>
    <t>https://drive.google.com/file/d/1Qqq5Id0SGvazijMAW1oI5o_ndDvG2iFw/view?usp=drivesdk</t>
  </si>
  <si>
    <t>10.1ضمیمه‌ی طنز بیداد- شماره 2.pdf</t>
  </si>
  <si>
    <t>https://drive.google.com/file/d/1hYdcaf4TU7ovCc5h15cl9uOYHoVW2PS9/view?usp=drivesdk</t>
  </si>
  <si>
    <t>شماره ۲ بیداد</t>
  </si>
  <si>
    <t>11.0دوهفته‌نامه‌ی_دانشجویی_داد_شماره (15).pdf</t>
  </si>
  <si>
    <t>https://drive.google.com/file/d/1b-cumK5YwJK7hO80OBK3Lr2dsID4qfMG/view?usp=drivesdk</t>
  </si>
  <si>
    <t>11.1ضمیمه‌ی طنز بیداد- شماره 3.pdf</t>
  </si>
  <si>
    <t>https://drive.google.com/file/d/1fkGb2h8Zi5znShqvhDxT2Vs4jJI06Tmz/view?usp=drivesdk</t>
  </si>
  <si>
    <t>شماره ۳ بیداد</t>
  </si>
  <si>
    <t>12.0دوهفته‌نامه‌ی_دانشجویی_داد_شماره‌ی (2).pdf</t>
  </si>
  <si>
    <t>https://drive.google.com/file/d/1xgFVoYMKnN9GrrcsKJwTIiskzO_MrOm1/view?usp=drivesdk</t>
  </si>
  <si>
    <t>12.1پیوست طنز بیداد- شماره‌ی 4.pdf</t>
  </si>
  <si>
    <t>https://drive.google.com/file/d/12af6Uc0VPC8DpGMxxjGhqSRwiwZbrca_/view?usp=drivesdk</t>
  </si>
  <si>
    <t>شماره ۴ بیداد</t>
  </si>
  <si>
    <t>13.0دوهفته‌نامه‌ی_دانشجویی_داد_شماره (6).pdf</t>
  </si>
  <si>
    <t>https://drive.google.com/file/d/1s0phm5WrFrjtAxdYV8ZfZKwtGbTt0uTr/view?usp=drivesdk</t>
  </si>
  <si>
    <t>13.1پیوست طنز بیداد- شماره 5 (2).pdf</t>
  </si>
  <si>
    <t>https://drive.google.com/file/d/1pXIpvDUSm470wIgxY7vfQ3wDgjLj_9av/view?usp=drivesdk</t>
  </si>
  <si>
    <t>شماره ۵ بیداد</t>
  </si>
  <si>
    <t>14.دوهفته‌نامه_دانشجویی_داد_شماره14.pdf</t>
  </si>
  <si>
    <t>https://drive.google.com/file/d/1p2CH79Spno00bPcwZfyKsvg7_DJJUDdE/view?usp=drivesdk</t>
  </si>
  <si>
    <t>15.دوهفته‌نامه‌ی_دانشجویی_داد_شماره (7).pdf</t>
  </si>
  <si>
    <t>https://drive.google.com/file/d/1m45PBKymk37_G3Rc74W_wCJiXBtL1Lee/view?usp=drivesdk</t>
  </si>
  <si>
    <t>16.دوهفته‌نامه‌ی_دانشجویی_داد_شماره (9).pdf</t>
  </si>
  <si>
    <t>https://drive.google.com/file/d/1T067HtdrW4CYO2B8F_PxbNfhzke9tfow/view?usp=drivesdk</t>
  </si>
  <si>
    <t>17.دوهفته‌نامه‌ی_دانشجویی_داد_شماره (10).pdf</t>
  </si>
  <si>
    <t>https://drive.google.com/file/d/192GbQ_NEk22fi_AzLYdfnajDIJA6f0zq/view?usp=drivesdk</t>
  </si>
  <si>
    <t>18.دوهفته‌نامه‌ی_دانشجویی_داد_شماره.pdf</t>
  </si>
  <si>
    <t>https://drive.google.com/file/d/1wU0bJTvTyVX1BbhKAbrRGl6Pd0HV891p/view?usp=drivesdk</t>
  </si>
  <si>
    <t>19.دوهفته‌نامه‌ی_دانشجویی_داد_شماره (3).pdf</t>
  </si>
  <si>
    <t>https://drive.google.com/file/d/1dVgrsHAKBoo0dCum3q5HsLQo-egmFnJ1/view?usp=drivesdk</t>
  </si>
  <si>
    <t>20.دوهفته‌نامه‌ی_دانشجویی_داد_شماره (2).pdf</t>
  </si>
  <si>
    <t>https://drive.google.com/file/d/1KLaRuBWrHbcJam4lU_SM68k2clJaUSTl/view?usp=drivesdk</t>
  </si>
  <si>
    <t>21.دوهفته‌نامه‌ی_دانشجویی_داد_شماره‌ی.pdf</t>
  </si>
  <si>
    <t>https://drive.google.com/file/d/10bRGh3MjV8T2AZwceZwKPCCB-1HUril4/view?usp=drivesdk</t>
  </si>
  <si>
    <t>مجتبی نظری</t>
  </si>
  <si>
    <t>22.دوهفته‌نامه‌ی_دانشجویی_داد_شماره‌ی۲۲.pdf</t>
  </si>
  <si>
    <t>https://drive.google.com/file/d/1EzGyt1Lg9fHxYOUC4UAVTh2xXPL5wYhx/view?usp=drivesdk</t>
  </si>
  <si>
    <t>23.دوهفته‌نامه‌ی_دانشجویی_داد_شماره۲۳.pdf</t>
  </si>
  <si>
    <t>https://drive.google.com/file/d/1snBbCEN9S-UgeKAOKAEaSS-rJdVjmLBy/view?usp=drivesdk</t>
  </si>
  <si>
    <t>24.دوهفته‌نامه‌ی_دانشجویی_«داد»_۲۴.pdf</t>
  </si>
  <si>
    <t>https://drive.google.com/file/d/1hNBz2NWSBdocMnG0EDdB1dqtUIvIhZAY/view?usp=drivesdk</t>
  </si>
  <si>
    <t>25.دوهفته‌نامه_دانشجویی_داد_شماره_۲۵.pdf</t>
  </si>
  <si>
    <t>https://drive.google.com/file/d/18TPKHs2t7PdlfnA7HJ_8ACJzTrBGyDQ9/view?usp=drivesdk</t>
  </si>
  <si>
    <t>26.دوهفته‌نامه‌ی_دانشجویی_داد؛_شماره۲۶.pdf</t>
  </si>
  <si>
    <t>https://drive.google.com/file/d/1YPB5QAqmD9TjfaG1myiTb5Mb2O4E6e-4/view?usp=drivesdk</t>
  </si>
  <si>
    <t>27.0دوهفته‌نامه‌ی_دانشجویی_داد،_شماره۲۷.pdf</t>
  </si>
  <si>
    <t>https://drive.google.com/file/d/1NEOgfiru25fZNrgqNnfVjjn6Q9RdI69g/view?usp=drivesdk</t>
  </si>
  <si>
    <t>27.1سوگنامه (2).pdf</t>
  </si>
  <si>
    <t>https://drive.google.com/file/d/14rogBtwF139KViBsQb1kyr6TR_WyE7xT/view?usp=drivesdk</t>
  </si>
  <si>
    <t>سوگنامه</t>
  </si>
  <si>
    <t>28.فایل_الکترونیکی_دوهفته‌نامه‌ی_داد (2).pdf</t>
  </si>
  <si>
    <t>https://drive.google.com/file/d/1syim-puSk1ye16Wkem0ud8wuwRa39vKb/view?usp=drivesdk</t>
  </si>
  <si>
    <t>رضا سجادی</t>
  </si>
  <si>
    <t>29.0دوهفته‌نامه‌ی_دانشجویی_داد،_شماره‌ی.pdf</t>
  </si>
  <si>
    <t>https://drive.google.com/file/d/1Ki5wMe6zLUUQ2VvNbqwNNI4gxx7xaFO-/view?usp=drivesdk</t>
  </si>
  <si>
    <t>29.1ضمیمه‌ی طنز بیداد (3).pdf</t>
  </si>
  <si>
    <t>https://drive.google.com/file/d/1VOPLCofpdoHdZ0TDxc8mV3NRbiJYbPXQ/view?usp=drivesdk</t>
  </si>
  <si>
    <t>شماره ۶ بیداد</t>
  </si>
  <si>
    <t>30.0دوهفته‌نامه‌ی_دانشجویی_داد_شماره۳۰.pdf</t>
  </si>
  <si>
    <t>https://drive.google.com/file/d/1yVBjVEzQ6ZJGiHneRYrpL6IiV5ZIbDru/view?usp=drivesdk</t>
  </si>
  <si>
    <t>30.1ضمیمه‌ی طنز بیداد (4).pdf</t>
  </si>
  <si>
    <t>https://drive.google.com/file/d/1ZLTIFTBe0N-KcPs910CELfhgPIzx2C49/view?usp=drivesdk</t>
  </si>
  <si>
    <t>شماره ۷ بیداد</t>
  </si>
  <si>
    <t>31.دوهفته‌نامه‌ی_دانشجویی_داد_شماره۳۱.pdf</t>
  </si>
  <si>
    <t>https://drive.google.com/file/d/1_gApUOswgXq2hgXpjhPgm1lf-CqIJlwL/view?usp=drivesdk</t>
  </si>
  <si>
    <t>13/2/1399</t>
  </si>
  <si>
    <t>32.0دوهفته‌نامه‌ی_دانشجویی_داد_شماره‌ی_۳۲.pdf</t>
  </si>
  <si>
    <t>https://drive.google.com/file/d/1yK8VpnLHhY9zsPAJOtOINy7cfdNO8A7z/view?usp=drivesdk</t>
  </si>
  <si>
    <t>32.1ضمیمه طنز بیداد (2).pdf</t>
  </si>
  <si>
    <t>https://drive.google.com/file/d/1JzP92MkUfDM3rbRn_qpWemuytlwSioOj/view?usp=drivesdk</t>
  </si>
  <si>
    <t>شماره ۸ بیداد</t>
  </si>
  <si>
    <t>33.دوهفته‌نامه‌ی_دانشجویی_داد،_شماره‌ی_۳۳.pdf</t>
  </si>
  <si>
    <t>https://drive.google.com/file/d/1abo9k84KzfO3CpHSvSClrNuYOftvQ05r/view?usp=drivesdk</t>
  </si>
  <si>
    <t>17/3/1399</t>
  </si>
  <si>
    <t>34.ماه‌نامه‌ی_دانشجویی_داد_شماره‌ی_۳۴.pdf</t>
  </si>
  <si>
    <t>https://drive.google.com/file/d/1u01W-NDRwDJDIJSLqshg29KhEtOCS3xb/view?usp=drivesdk</t>
  </si>
  <si>
    <t>12/7/1399</t>
  </si>
  <si>
    <t>35.ماهنامه‌ی_دانشجویی_داد_شماره‌ی_۳۵.pdf</t>
  </si>
  <si>
    <t>https://drive.google.com/file/d/1bGakZkGLJp8_as6ufUjY4omZWoN1hunq/view?usp=drivesdk</t>
  </si>
  <si>
    <t>4/10/1399</t>
  </si>
  <si>
    <t>36.داد 36.pdf</t>
  </si>
  <si>
    <t>https://drive.google.com/file/d/1X4lw0-Upcjsoq6zgUxS1AP2XKv-DATu0/view?usp=drivesdk</t>
  </si>
  <si>
    <t>2/5/1400</t>
  </si>
  <si>
    <t>37.نشریه‌ی دانشجویی داد، شماره‌ی 37.pdf</t>
  </si>
  <si>
    <t>https://drive.google.com/file/d/1zl6YbdoHww-0V0TBJ9JoFS9SmvJwfrXz/view?usp=drivesdk</t>
  </si>
  <si>
    <t>21/7/1400</t>
  </si>
  <si>
    <t>38.نشریه‌ی_دانشجویی_داد،_شماره‌ی_۳۸.pdf</t>
  </si>
  <si>
    <t>https://drive.google.com/file/d/1U9BRJWGXpOeHxgDjvsM3faz8XugnA9_N/view?usp=drivesdk</t>
  </si>
  <si>
    <t>سجاد صفاریه</t>
  </si>
  <si>
    <t>سجاد بهرامی پاکرو</t>
  </si>
  <si>
    <t>7/1/1401</t>
  </si>
  <si>
    <t>Root/نشریات مستقل/درنگ</t>
  </si>
  <si>
    <t>درنگ ۱.pdf</t>
  </si>
  <si>
    <t>https://drive.google.com/file/d/12cFSja2jRhRMB7IyRV2502QfszyqOMwi/view?usp=drivesdk</t>
  </si>
  <si>
    <t>علی محمدی دینانی</t>
  </si>
  <si>
    <t>رکسانا خباززاده</t>
  </si>
  <si>
    <t>Root/نشریات مستقل/دفترهای سرخ</t>
  </si>
  <si>
    <t>دفترهای سرخ، شمارۀ ۱، دی ۱۴۰۲.pdf</t>
  </si>
  <si>
    <t>https://drive.google.com/file/d/15H87arqUqLZfgQ-gdTra8kDtk0TqMw7n/view?usp=drivesdk</t>
  </si>
  <si>
    <t>ارشیا منیری</t>
  </si>
  <si>
    <t>دفترهای سرخ، شمارۀ ۲، آبان ۱۴۰۳.pdf</t>
  </si>
  <si>
    <t>https://drive.google.com/file/d/1Il32_xJc-4h-4TaWs7rO-zwCTuZBAiYD/view?usp=drivesdk</t>
  </si>
  <si>
    <t>دفترهای سرخ، شمارۀ ۳، اسفند ۱۴۰۳.pdf</t>
  </si>
  <si>
    <t>https://drive.google.com/file/d/1QpUaPCAOqDtgzMu0E7YvkH2OD5RgwLvX/view?usp=drivesdk</t>
  </si>
  <si>
    <t>دفترهای سرخ، شمارۀ ۴، خرداد ۱۴۰۴.pdf</t>
  </si>
  <si>
    <t>https://drive.google.com/file/d/1gNEukmBTzWxUAXs59_GONa_8j64Ezt5Z/view?usp=drivesdk</t>
  </si>
  <si>
    <t>Root/نشریات مستقل/دکوپاژ</t>
  </si>
  <si>
    <t>1.نشریه دکوپاژ شماره اول.pdf</t>
  </si>
  <si>
    <t>https://drive.google.com/file/d/1yP2IaqhUfYNjV2wDrwzFSBm24-BCp5_K/view?usp=drivesdk</t>
  </si>
  <si>
    <t>پاشا سلیمی طاری</t>
  </si>
  <si>
    <t>24/9/1398</t>
  </si>
  <si>
    <t>2.نشریه دکوپاژ نسخه‌۲.pdf</t>
  </si>
  <si>
    <t>https://drive.google.com/file/d/1YrxWHxSyVCxM5MnOcaUI6a0C950FHhk8/view?usp=drivesdk</t>
  </si>
  <si>
    <t>کیارش بخارایی‌نیا</t>
  </si>
  <si>
    <t>همایون علی‌محمدی</t>
  </si>
  <si>
    <t>9/10/1398</t>
  </si>
  <si>
    <t>3.0نشریه دکوپاژ شماره ۳.pdf</t>
  </si>
  <si>
    <t>https://drive.google.com/file/d/1TQIiuaNdVbjV1Z4TZKGP_hCeywWm3Z0n/view?usp=drivesdk</t>
  </si>
  <si>
    <t>امیرپاشا سلیمی طاری</t>
  </si>
  <si>
    <t>3.1نشریه_دکوپاژ_ویژه‌نامه_فجر_و_اسکار.pdf</t>
  </si>
  <si>
    <t>https://drive.google.com/file/d/1te1YP-ObzHiIgLFqffauMrI9QWynrgeG/view?usp=drivesdk</t>
  </si>
  <si>
    <t>ویژه‌نامه فجر و اسکار</t>
  </si>
  <si>
    <t>4.0نشریه دکوپاژ شماره ۴.pdf</t>
  </si>
  <si>
    <t>https://drive.google.com/file/d/1qXO4ZbQRqJSJysS8dYVE4xy4qvFvjlSp/view?usp=drivesdk</t>
  </si>
  <si>
    <t>7/7/1399</t>
  </si>
  <si>
    <t>4.1پرونده ویژه دکوپاژ.pdf</t>
  </si>
  <si>
    <t>https://drive.google.com/file/d/1UVZWKSR2_rtwzu_TsBCO7YNyTYeS69KM/view?usp=drivesdk</t>
  </si>
  <si>
    <t>پرونده ویژه</t>
  </si>
  <si>
    <t>5.0نشریه دکوپاژ  شماره ۵.pdf</t>
  </si>
  <si>
    <t>https://drive.google.com/file/d/16_-s8kmjHaCkkzUX6HexOCsMUdw_YZtJ/view?usp=drivesdk</t>
  </si>
  <si>
    <t>14/3/1400</t>
  </si>
  <si>
    <t>5.1پرونده ویژه نشریه دکوپاژ.pdf</t>
  </si>
  <si>
    <t>https://drive.google.com/file/d/15z4RfxA4LA0BS2ReZ89gyRQMY0-URk_K/view?usp=drivesdk</t>
  </si>
  <si>
    <t>6.شماره ششم دکوپاژ.pdf</t>
  </si>
  <si>
    <t>https://drive.google.com/file/d/1QQmrNYHudQEBHWe1-EYeQohO6M1oxATl/view?usp=drivesdk</t>
  </si>
  <si>
    <t>محمد مهدی حسام و نفیسه پیرهادی</t>
  </si>
  <si>
    <t>6/7/1400</t>
  </si>
  <si>
    <t>7.شماره هفتم دکوپاژ.pdf</t>
  </si>
  <si>
    <t>https://drive.google.com/file/d/1m1d1WxNLlGUJdU4Axqy3d4AdlYm2d1D0/view?usp=drivesdk</t>
  </si>
  <si>
    <t>8.شماره هشتم دکوپاژ.pdf</t>
  </si>
  <si>
    <t>https://drive.google.com/file/d/1sm-9I95mHroZAmM0k58YwWsmF9sGw9lp/view?usp=drivesdk</t>
  </si>
  <si>
    <t>محمد مهدی حسام و نفیسه پیرهادی و علی بوالحسنی</t>
  </si>
  <si>
    <t>9.deco9-Final.pdf</t>
  </si>
  <si>
    <t>https://drive.google.com/file/d/1S2n2bFm2vFuWqGKHuXsNOQ3jk3dN0YAu/view?usp=drivesdk</t>
  </si>
  <si>
    <t>علی بوالحسنی</t>
  </si>
  <si>
    <t>محمد مهدی حسام و سپهر موسی خان</t>
  </si>
  <si>
    <t>9/7/1402</t>
  </si>
  <si>
    <t>Root/نشریات مستقل/دگر</t>
  </si>
  <si>
    <t>1.دگر نخست.pdf</t>
  </si>
  <si>
    <t>https://drive.google.com/file/d/1drxJ3gvPmHS0EX1pvdZSWyJLwH04lI0w/view?usp=drivesdk</t>
  </si>
  <si>
    <t>2.دگر دوم.pdf</t>
  </si>
  <si>
    <t>https://drive.google.com/file/d/1Fl47XEaUroxGKxGGMiXjfAZjhhq_4imb/view?usp=drivesdk</t>
  </si>
  <si>
    <t>3.دگر سوم.pdf</t>
  </si>
  <si>
    <t>https://drive.google.com/file/d/1mhr6KPDukQ769wgyun4kc6rHCVzL4haR/view?usp=drivesdk</t>
  </si>
  <si>
    <t>اسرا رضافدایی و حامد حاتمی</t>
  </si>
  <si>
    <t>Root/نشریات مستقل/راه نو</t>
  </si>
  <si>
    <t>1.vije1.pdf</t>
  </si>
  <si>
    <t>https://drive.google.com/file/d/1YLC691hyi517kTdNnvj-BTiYMfTIJP-T/view?usp=drivesdk</t>
  </si>
  <si>
    <t>محمد مصطفوی</t>
  </si>
  <si>
    <t>سید حسین مرتضوی</t>
  </si>
  <si>
    <t>2.vije2-p2.pdf</t>
  </si>
  <si>
    <t>https://drive.google.com/file/d/1P3Q0fkbmfdvY6-Ei1stR3v-8FupIn8FW/view?usp=drivesdk</t>
  </si>
  <si>
    <t>3.vije3.pdf</t>
  </si>
  <si>
    <t>https://drive.google.com/file/d/174xrpo5FDe2twviHcaGRYe3xt6ZE0tkr/view?usp=drivesdk</t>
  </si>
  <si>
    <t>4.vije4-p2.pdf</t>
  </si>
  <si>
    <t>https://drive.google.com/file/d/1cF6ytTFJkcvlhp50vvdUnfqjjMU0M7Zx/view?usp=drivesdk</t>
  </si>
  <si>
    <t>5.vije5.pdf</t>
  </si>
  <si>
    <t>https://drive.google.com/file/d/1OTPFpUsi8BUkqxY-Nhj6NkxWatRKs5VB/view?usp=drivesdk</t>
  </si>
  <si>
    <t>6.vije6.pdf</t>
  </si>
  <si>
    <t>https://drive.google.com/file/d/1vgAaL-W17jhphhYsjtBlGUBqPNW1Z8SY/view?usp=drivesdk</t>
  </si>
  <si>
    <t>7.vije7.pdf</t>
  </si>
  <si>
    <t>https://drive.google.com/file/d/1SiuUB_vjUVWYksFKsPyk5_hs6mia_sor/view?usp=drivesdk</t>
  </si>
  <si>
    <t>8.vije8-2.pdf</t>
  </si>
  <si>
    <t>https://drive.google.com/file/d/1ObdvyJrhziK-h2_TyU8vjapvDXGz5w-g/view?usp=drivesdk</t>
  </si>
  <si>
    <t>9.1vije11.pdf</t>
  </si>
  <si>
    <t>https://drive.google.com/file/d/1inFJEP7B4xu6MTksLulyEJALs_zV8GIF/view?usp=drivesdk</t>
  </si>
  <si>
    <t>27/2/1388</t>
  </si>
  <si>
    <t>9.vije9.pdf</t>
  </si>
  <si>
    <t>https://drive.google.com/file/d/1lUbTzeePlbUptgyWMKdJcN0r05N9tbGZ/view?usp=drivesdk</t>
  </si>
  <si>
    <t>10.vije10.pdf</t>
  </si>
  <si>
    <t>https://drive.google.com/file/d/1fwI5WW6_z0_pMWeUuhBw9Wdb9xE7Y23-/view?usp=drivesdk</t>
  </si>
  <si>
    <t>3/3/1388</t>
  </si>
  <si>
    <t>11.makhmal.pdf</t>
  </si>
  <si>
    <t>https://drive.google.com/file/d/1J0SeYkwkzvSsXg1n2hJzDjUlghtWOUAJ/view?usp=drivesdk</t>
  </si>
  <si>
    <t>12.vijeanjoman.pdf</t>
  </si>
  <si>
    <t>https://drive.google.com/file/d/121-6UcK61LRyCGxEMN_5_jKi3i6KUalJ/view?usp=drivesdk</t>
  </si>
  <si>
    <t>13.Mehr88.pdf</t>
  </si>
  <si>
    <t>https://drive.google.com/file/d/1C0UhDbjuZdNyBpvlDRbOeDVWKaOGiOPB/view?usp=drivesdk</t>
  </si>
  <si>
    <t>14.aban3.pdf</t>
  </si>
  <si>
    <t>https://drive.google.com/file/d/1MrBQfGuVBOb-xYVF5LwGI9qO5Q43-HAb/view?usp=drivesdk</t>
  </si>
  <si>
    <t>15.aban2.pdf</t>
  </si>
  <si>
    <t>https://drive.google.com/file/d/1aci6Hwc95xKR72tdjODWLd14HEPpZvyn/view?usp=drivesdk</t>
  </si>
  <si>
    <t>24/8/1388</t>
  </si>
  <si>
    <t>16.esfand88.pdf</t>
  </si>
  <si>
    <t>https://drive.google.com/file/d/1HundVBZbMu6c8ldsAf5OfbaJnRh7_KHG/view?usp=drivesdk</t>
  </si>
  <si>
    <t>علی پورابراهیم</t>
  </si>
  <si>
    <t>مرتضی نظری</t>
  </si>
  <si>
    <t>17.راه نو ۱۷.pdf</t>
  </si>
  <si>
    <t>https://drive.google.com/file/d/1g_mVOp-2JrIyVYFFg4qD_I1jlboZ5_NT/view?usp=drivesdk</t>
  </si>
  <si>
    <t>22/1/1389</t>
  </si>
  <si>
    <t>21.marami2.pdf</t>
  </si>
  <si>
    <t>https://drive.google.com/file/d/1xrcBPHbGQLE9x5xmS55UR6PM-GKMoy4C/view?usp=drivesdk</t>
  </si>
  <si>
    <t>22.راه نو ۲۲.pdf</t>
  </si>
  <si>
    <t>https://drive.google.com/file/d/1XbqzqYs36f15OG5LFKMjHc7pyXKxCg-R/view?usp=drivesdk</t>
  </si>
  <si>
    <t>Root/نشریات مستقل/رتق و فتق</t>
  </si>
  <si>
    <t>Ratgh o Fatgh N1.pdf</t>
  </si>
  <si>
    <t>https://drive.google.com/file/d/1Zk6Uolrpcfuc7uI-DUmRG9FkJOwLltag/view?usp=drivesdk</t>
  </si>
  <si>
    <t>امیر رنگین‌کمان</t>
  </si>
  <si>
    <t>x/1,2/1382</t>
  </si>
  <si>
    <t>Ratgh o Fatgh N2.pdf</t>
  </si>
  <si>
    <t>https://drive.google.com/file/d/12LHHxPU6VaTyLv9HZcncUGV-PSjeziym/view?usp=drivesdk</t>
  </si>
  <si>
    <t>x/2,3/1382</t>
  </si>
  <si>
    <t>31/3/1382</t>
  </si>
  <si>
    <t>Ratgh o Fatgh N3.pdf</t>
  </si>
  <si>
    <t>https://drive.google.com/file/d/1w7-sJrIDOYPEnEOmOVWwtbLvXZuy2zVN/view?usp=drivesdk</t>
  </si>
  <si>
    <t>x/3/1382</t>
  </si>
  <si>
    <t>15/3/1382</t>
  </si>
  <si>
    <t>Ratgh o Fatgh N4.pdf</t>
  </si>
  <si>
    <t>https://drive.google.com/file/d/1Hd1DM1pZ7bo1HRe6pW6JH-LJ972NOs4w/view?usp=drivesdk</t>
  </si>
  <si>
    <t>x/8/1382</t>
  </si>
  <si>
    <t>15/8/1382</t>
  </si>
  <si>
    <t>Ratgh o Fatgh N5.pdf</t>
  </si>
  <si>
    <t>https://drive.google.com/file/d/1kpwH40Iqd4ofSV_RT93m43G6TQAMuugR/view?usp=drivesdk</t>
  </si>
  <si>
    <t>مصطفی ابراهیمی</t>
  </si>
  <si>
    <t>جعفر اسماعیل خانیان</t>
  </si>
  <si>
    <t>Root/نشریات مستقل/روان‌نویس</t>
  </si>
  <si>
    <t>روان‌نویس یک.pdf</t>
  </si>
  <si>
    <t>https://drive.google.com/file/d/1AYa3MG8u-cD8cuKPgQ6uITllATArKqeX/view?usp=drivesdk</t>
  </si>
  <si>
    <t>محسن نصیرپور</t>
  </si>
  <si>
    <t>Root/نشریات مستقل/روزگاران</t>
  </si>
  <si>
    <t>1.روزگاران شماره 1.pdf</t>
  </si>
  <si>
    <t>https://drive.google.com/file/d/1JlsQzLj3iyuVCWKFWBQ8wVeisq8mVaoq/view?usp=drivesdk</t>
  </si>
  <si>
    <t>محمد لشکربلوکی</t>
  </si>
  <si>
    <t>محمد لشکربلوکی، مهدی رستگاریان، سهیل هاشمی</t>
  </si>
  <si>
    <t>21/12/1390</t>
  </si>
  <si>
    <t>2.روزگاران شماره 2.pdf</t>
  </si>
  <si>
    <t>https://drive.google.com/file/d/1LXf40Wt8T5Q0JGTDA4msKUOA9-amfxSF/view?usp=drivesdk</t>
  </si>
  <si>
    <t>17/2/1391</t>
  </si>
  <si>
    <t>20/1/1391</t>
  </si>
  <si>
    <t>3.0.روزگاران شماره 3.pdf</t>
  </si>
  <si>
    <t>https://drive.google.com/file/d/1j4zGazxX-6EcGi0dZltvTJn13wYmBwWJ/view?usp=drivesdk</t>
  </si>
  <si>
    <t>3.روزگاران_ویژه‌نامه‌ها_مهر_۱۳۹۱_1.pdf</t>
  </si>
  <si>
    <t>https://drive.google.com/file/d/16I0oruHl9i-n0Ety7vP97TTrqBQXmJas/view?usp=drivesdk</t>
  </si>
  <si>
    <t>ویژه‌نامه ورودی‌های ۱۳۹۱</t>
  </si>
  <si>
    <t>4.0.-روزگاران ۴ آبان ۱۳۹۱.pdf</t>
  </si>
  <si>
    <t>https://drive.google.com/file/d/16I0UCQ_QXU_y5wtv3QLnuYJKibb4rgLH/view?usp=drivesdk</t>
  </si>
  <si>
    <t>4/8/1391</t>
  </si>
  <si>
    <t>4.1.روزگاران شماره 4.pdf</t>
  </si>
  <si>
    <t>https://drive.google.com/file/d/1Y4jflv8cH6eK4W2n_ZAK691mP7glQvqn/view?usp=drivesdk</t>
  </si>
  <si>
    <t>7.روزگاران ۷ آبان ۱۳۹۲.pdf</t>
  </si>
  <si>
    <t>https://drive.google.com/file/d/1QIJyAXIqeyg9Xh8ihYLIDJvLp3X4VLyt/view?usp=drivesdk</t>
  </si>
  <si>
    <t>محمد محمودی</t>
  </si>
  <si>
    <t>Root/نشریات مستقل/زیر سوال</t>
  </si>
  <si>
    <t>زیر سوال ۱.pdf</t>
  </si>
  <si>
    <t>https://drive.google.com/file/d/1VWky7M9KZAzpZt7RzhhKOju4AcI796Rz/view?usp=drivesdk</t>
  </si>
  <si>
    <t>معین میرانی</t>
  </si>
  <si>
    <t>زیر سوال ۲.pdf</t>
  </si>
  <si>
    <t>https://drive.google.com/file/d/1i_IXjiYoFhGwftRkueEL6ss_SKHpeBsh/view?usp=drivesdk</t>
  </si>
  <si>
    <t>4/2/1389</t>
  </si>
  <si>
    <t>زیر سوال ۳.pdf</t>
  </si>
  <si>
    <t>https://drive.google.com/file/d/17e1UNhl9RxXgHLUTJrrt_k_YU05GV05W/view?usp=drivesdk</t>
  </si>
  <si>
    <t>20/2/1389</t>
  </si>
  <si>
    <t>زیر سوال ۴.pdf</t>
  </si>
  <si>
    <t>https://drive.google.com/file/d/1z__zQEKlgcGWGceb3KurI6w3zgT29DQc/view?usp=drivesdk</t>
  </si>
  <si>
    <t>2/3/1389</t>
  </si>
  <si>
    <t>زیر سوال ۵.pdf</t>
  </si>
  <si>
    <t>https://drive.google.com/file/d/1_iRKfd5wIHpMN3szb1yWyacB2qj5DgoJ/view?usp=drivesdk</t>
  </si>
  <si>
    <t>5/7/1389</t>
  </si>
  <si>
    <t>زیر سوال ۶.pdf</t>
  </si>
  <si>
    <t>https://drive.google.com/file/d/1IKC-RIgxv_zz-vSrp6DiJ4UfmNJ4DsMa/view?usp=drivesdk</t>
  </si>
  <si>
    <t>16/1/1390</t>
  </si>
  <si>
    <t>زیر سوال ۷.pdf</t>
  </si>
  <si>
    <t>https://drive.google.com/file/d/1eSWi9HkX0tLdzRUS1sR9F_yvRSeO0Sqg/view?usp=drivesdk</t>
  </si>
  <si>
    <t>27/1/1390</t>
  </si>
  <si>
    <t>زیر سوال ۸.pdf</t>
  </si>
  <si>
    <t>https://drive.google.com/file/d/12EQAZ-j__6CMpYPDILLLLvNiSkYMRUJY/view?usp=drivesdk</t>
  </si>
  <si>
    <t>زیر سوال ۹.pdf</t>
  </si>
  <si>
    <t>https://drive.google.com/file/d/1sj8q7HM3WkAJa1TCLoLZ7i_96M7xAQ0W/view?usp=drivesdk</t>
  </si>
  <si>
    <t>زیر سوال ۱۰.pdf</t>
  </si>
  <si>
    <t>https://drive.google.com/file/d/1h1LjVsChTI_nL-H6HKHLqBprAR-h86r2/view?usp=drivesdk</t>
  </si>
  <si>
    <t>علی رشاد</t>
  </si>
  <si>
    <t>محسن محسنی راد</t>
  </si>
  <si>
    <t>9/8/1390</t>
  </si>
  <si>
    <t>زیر سوال ۱۱.pdf</t>
  </si>
  <si>
    <t>https://drive.google.com/file/d/1ZzoJJjqHvFCUNLflHVsZwVg-rmXhiMtP/view?usp=drivesdk</t>
  </si>
  <si>
    <t>22/8/1390</t>
  </si>
  <si>
    <t>زیر سوال ۱۲.pdf</t>
  </si>
  <si>
    <t>https://drive.google.com/file/d/1C6rE-qqN3rlU76RNlyNqqaYA7HvkwER0/view?usp=drivesdk</t>
  </si>
  <si>
    <t>28/9/1390</t>
  </si>
  <si>
    <t>زیر سوال ۱۳.pdf</t>
  </si>
  <si>
    <t>https://drive.google.com/file/d/1bwGKXoHFquvyCFNWEzfgP7XWhehc_Tpy/view?usp=drivesdk</t>
  </si>
  <si>
    <t>1/12/1390</t>
  </si>
  <si>
    <t>زیر سوال ۱۴.pdf</t>
  </si>
  <si>
    <t>https://drive.google.com/file/d/1zr-MlVu3TmBhAeuTywiusOoVQhZtOMav/view?usp=drivesdk</t>
  </si>
  <si>
    <t>15/12/1390</t>
  </si>
  <si>
    <t>زیر سوال ۱۵.pdf</t>
  </si>
  <si>
    <t>https://drive.google.com/file/d/1IkiXVy7-oZBjo1I7cnII9h4TYgeeinLZ/view?usp=drivesdk</t>
  </si>
  <si>
    <t>28/1/1391</t>
  </si>
  <si>
    <t>زیر سوال ۱۶.pdf</t>
  </si>
  <si>
    <t>https://drive.google.com/file/d/110gHauPtEGa0CC6MXM2kcC44V3nLw4n1/view?usp=drivesdk</t>
  </si>
  <si>
    <t>11/2/1391</t>
  </si>
  <si>
    <t>زیر سوال ۱۷.pdf</t>
  </si>
  <si>
    <t>https://drive.google.com/file/d/17sxW8ZXHAdpzENFXyg3BAkOfevyrM6cv/view?usp=drivesdk</t>
  </si>
  <si>
    <t>2/3/1391</t>
  </si>
  <si>
    <t>زیر سوال ۱۸.pdf</t>
  </si>
  <si>
    <t>https://drive.google.com/file/d/1O4hx_ZuRejlifjCLQkCDSGP21s5CUzJn/view?usp=drivesdk</t>
  </si>
  <si>
    <t>احسان حبیب‌پور</t>
  </si>
  <si>
    <t>محبوبه امین‌زاده</t>
  </si>
  <si>
    <t>23/7/1391</t>
  </si>
  <si>
    <t>زیر سوال ۱۹.pdf</t>
  </si>
  <si>
    <t>https://drive.google.com/file/d/11ci9nD2uYZSkCd0-WU3-QxPE5WpxOZyd/view?usp=drivesdk</t>
  </si>
  <si>
    <t>8/8/1391</t>
  </si>
  <si>
    <t>زیر سوال ۲۰.pdf</t>
  </si>
  <si>
    <t>https://drive.google.com/file/d/1y6BcWnW5wgkywY5ZNXyxYYn1r2r2kr7m/view?usp=drivesdk</t>
  </si>
  <si>
    <t>29/8/1391</t>
  </si>
  <si>
    <t>زیر سوال ۲۱.pdf</t>
  </si>
  <si>
    <t>https://drive.google.com/file/d/1Eoxp0Z-tT2x4UgIidch0G696B9nt9aY4/view?usp=drivesdk</t>
  </si>
  <si>
    <t>20/9/1391</t>
  </si>
  <si>
    <t>زیر سوال ۲۲.pdf</t>
  </si>
  <si>
    <t>https://drive.google.com/file/d/1HmpUZpiCi_wr8oZNcNcVwsoWe6QdCHI8/view?usp=drivesdk</t>
  </si>
  <si>
    <t>29/11/1391</t>
  </si>
  <si>
    <t>زیر سوال ۲۳.pdf</t>
  </si>
  <si>
    <t>https://drive.google.com/file/d/1Hf-1Bhe7fQlcTD_j1bYNp5E47hEn7IGF/view?usp=drivesdk</t>
  </si>
  <si>
    <t>احسان عابدی</t>
  </si>
  <si>
    <t>20/12/1391</t>
  </si>
  <si>
    <t>زیر سوال ۲۴.pdf</t>
  </si>
  <si>
    <t>https://drive.google.com/file/d/1oViSEKg2uYBvfr0jJu6k6hoGeCIzs9lQ/view?usp=drivesdk</t>
  </si>
  <si>
    <t>زیر سوال ۲۵.pdf</t>
  </si>
  <si>
    <t>https://drive.google.com/file/d/1MP4Prdf-u6v9icGBaR1JZONNsqETR1MC/view?usp=drivesdk</t>
  </si>
  <si>
    <t>23/2/1392</t>
  </si>
  <si>
    <t>زیر سوال ۲۶.pdf</t>
  </si>
  <si>
    <t>https://drive.google.com/file/d/1qSlYJyYxOIhSRAXjR0iu00QImlO0PTTF/view?usp=drivesdk</t>
  </si>
  <si>
    <t>زیر سوال ۲۷.pdf</t>
  </si>
  <si>
    <t>https://drive.google.com/file/d/1H4WyHENzcJ8X25udP0dker9myZBwO-f2/view?usp=drivesdk</t>
  </si>
  <si>
    <t>زیر سوال ۲۸.pdf</t>
  </si>
  <si>
    <t>https://drive.google.com/file/d/16C6G5eTAUaYho_P2HGv892dYmALQZAo6/view?usp=drivesdk</t>
  </si>
  <si>
    <t>زیر سوال ۲۹.pdf</t>
  </si>
  <si>
    <t>https://drive.google.com/file/d/10F-Z_5IB_pXFBYR8JiCA6QSNok4WnBsc/view?usp=drivesdk</t>
  </si>
  <si>
    <t>زیر سوال ۳۰.pdf</t>
  </si>
  <si>
    <t>https://drive.google.com/file/d/1ZbTLZhBIaWz0rYX92UmxQ0_bSoKO8r_f/view?usp=drivesdk</t>
  </si>
  <si>
    <t>مهدی بلباسی</t>
  </si>
  <si>
    <t>محمدجواد شمسی</t>
  </si>
  <si>
    <t>27/8/1392</t>
  </si>
  <si>
    <t>زیر سوال ۳۱.pdf</t>
  </si>
  <si>
    <t>https://drive.google.com/file/d/1uaa30Wzi-lMkzzHqjHd19uHnC9vrVYBx/view?usp=drivesdk</t>
  </si>
  <si>
    <t>18/9/1392</t>
  </si>
  <si>
    <t>زیر سوال ۳۲.pdf</t>
  </si>
  <si>
    <t>https://drive.google.com/file/d/1Y2hnP9BxUP9FAX52XZt8Dsh-DjOvvjxd/view?usp=drivesdk</t>
  </si>
  <si>
    <t>تمامی شماره‌های زیر سوال.pdf</t>
  </si>
  <si>
    <t>https://drive.google.com/file/d/1RFOSlf9tt979h7S_d5cHctrHGq7F3-86/view?usp=drivesdk</t>
  </si>
  <si>
    <t>تمامی شماره‌های زیرسوال</t>
  </si>
  <si>
    <t>6/1/1391</t>
  </si>
  <si>
    <t>Root/نشریات مستقل/سویه</t>
  </si>
  <si>
    <t>1.souyeh1.pdf</t>
  </si>
  <si>
    <t>https://drive.google.com/file/d/19Asdspg3QeD-bKI3MWpvwpoOZpwY_M7T/view?usp=drivesdk</t>
  </si>
  <si>
    <t>آرش چارچی</t>
  </si>
  <si>
    <t>14/1/1400</t>
  </si>
  <si>
    <t>2.soye2.pdf</t>
  </si>
  <si>
    <t>https://drive.google.com/file/d/1_jCpUeK_sgpZ0rBRGLXjVqC-FM-TEU73/view?usp=drivesdk</t>
  </si>
  <si>
    <t>3.souyeh3.pdf</t>
  </si>
  <si>
    <t>https://drive.google.com/file/d/1HXgF83_OwFsfJu9CmgXKjoLHsomqNs0N/view?usp=drivesdk</t>
  </si>
  <si>
    <t>طنین عصفوری</t>
  </si>
  <si>
    <t>27/2/1400</t>
  </si>
  <si>
    <t>4.souyeh4_final.pdf</t>
  </si>
  <si>
    <t>https://drive.google.com/file/d/1BNUhg6ToBjKeL9xMJK_otueDq8bgvyLr/view?usp=drivesdk</t>
  </si>
  <si>
    <t>24/5/1400</t>
  </si>
  <si>
    <t>5.souyeh5.pdf</t>
  </si>
  <si>
    <t>https://drive.google.com/file/d/1TAsEonTSC6Re5_lOTX0_bWBFO1D357ix/view?usp=drivesdk</t>
  </si>
  <si>
    <t>8/9/1400</t>
  </si>
  <si>
    <t>6.سویه شماره ششم.pdf</t>
  </si>
  <si>
    <t>https://drive.google.com/file/d/1kaTMAYKyUl1sZ7ASZe-d2KaJC3djQjoB/view?usp=drivesdk</t>
  </si>
  <si>
    <t xml:space="preserve"> آرش چارچی</t>
  </si>
  <si>
    <t>14/2/1401</t>
  </si>
  <si>
    <t>7.souyeh7.pdf</t>
  </si>
  <si>
    <t>https://drive.google.com/file/d/1ZyH1L6xOftK2JuAZggfiikD0YxUCJDD1/view?usp=drivesdk</t>
  </si>
  <si>
    <t>19/6/1401</t>
  </si>
  <si>
    <t>Root/نشریات مستقل/شریف‌الصناعیه</t>
  </si>
  <si>
    <t>1.SS1 FINAL.pdf</t>
  </si>
  <si>
    <t>https://drive.google.com/file/d/1ADOmLIGI8CCDh7ZdEfIf8sMAma12_dNt/view?usp=drivesdk</t>
  </si>
  <si>
    <t>23/7/1397</t>
  </si>
  <si>
    <t>2.SS2 FAINAL (2).pdf</t>
  </si>
  <si>
    <t>https://drive.google.com/file/d/1lrPJ-cNCxq_2EkF4I3cLO40_GLg4hSJu/view?usp=drivesdk</t>
  </si>
  <si>
    <t>3.SHARIF AS-SANAYIA NO.3.pdf</t>
  </si>
  <si>
    <t>https://drive.google.com/file/d/1KUfoAJ7xslnHLmG7cn20eZoCFQdHnoQD/view?usp=drivesdk</t>
  </si>
  <si>
    <t>4.ss4 final.pdf</t>
  </si>
  <si>
    <t>https://drive.google.com/file/d/1P2KMzvFZcrLfkIKZk2e0YWEGe1gjoLd5/view?usp=drivesdk</t>
  </si>
  <si>
    <t>5.SHARIF AS-SANAYIA NO.5.pdf</t>
  </si>
  <si>
    <t>https://drive.google.com/file/d/1EQD7W3fRxfYZ46nLvu-bGvEd-w58EaH7/view?usp=drivesdk</t>
  </si>
  <si>
    <t>6.SHARIF AS-SANAYIA NO.6.pdf</t>
  </si>
  <si>
    <t>https://drive.google.com/file/d/1kAoAOmyHJeU2ZxtddNDnqfAtoSHAJ9qa/view?usp=drivesdk</t>
  </si>
  <si>
    <t>25/1/1398</t>
  </si>
  <si>
    <t>7.ss7.pdf</t>
  </si>
  <si>
    <t>https://drive.google.com/file/d/15M18YPELYvhdNIXEOR4bXhVLNolqsJaX/view?usp=drivesdk</t>
  </si>
  <si>
    <t>8.ss8 final.pdf</t>
  </si>
  <si>
    <t>https://drive.google.com/file/d/1sY0vExYAWRUYTqyb7hiZcVbyX3wC9kEt/view?usp=drivesdk</t>
  </si>
  <si>
    <t>9.SHARIF AS-SANAYIA NO.9.pdf</t>
  </si>
  <si>
    <t>https://drive.google.com/file/d/1FDpFxjHAz6F6iX4Tf3InRGwWwSaPQ8Z3/view?usp=drivesdk</t>
  </si>
  <si>
    <t>13/8/1398</t>
  </si>
  <si>
    <t>10.SHARIF AS-SANAYIA NO.10.pdf</t>
  </si>
  <si>
    <t>https://drive.google.com/file/d/16BNv4nN6zdpI362GxgzVsSQLCsLjW2Ff/view?usp=drivesdk</t>
  </si>
  <si>
    <t>18/9/1398</t>
  </si>
  <si>
    <t>11.SHARIF AS-SANYIA NO.11.pdf</t>
  </si>
  <si>
    <t>https://drive.google.com/file/d/1g2-zE0tgcBfxRJRv0jFjdsi8_cJnoXW4/view?usp=drivesdk</t>
  </si>
  <si>
    <t>12.SHARIF AS-SANAYIA NO.12.pdf</t>
  </si>
  <si>
    <t>https://drive.google.com/file/d/1SnDCloF7bbnbtyEMV4oMizNu3gu7kjKC/view?usp=drivesdk</t>
  </si>
  <si>
    <t>13.SHARIF AS-SANAYIA NO.12+1 HALAL.pdf</t>
  </si>
  <si>
    <t>https://drive.google.com/file/d/1Uevtq98-SRx74bUDD_E44vaFKK54BoVt/view?usp=drivesdk</t>
  </si>
  <si>
    <t>13.SHARIF AS-SANAYIA NO.12+1.pdf</t>
  </si>
  <si>
    <t>https://drive.google.com/file/d/1dHd2iLCtxlsRk_liZJeEdKNPiqY01-3j/view?usp=drivesdk</t>
  </si>
  <si>
    <t>21/12/1398</t>
  </si>
  <si>
    <t>14.SHARIF AS-SANAYIA NO.14.pdf</t>
  </si>
  <si>
    <t>https://drive.google.com/file/d/1FhC-pP7yOBANiZ0yGngCNLQW3mbnZm8i/view?usp=drivesdk</t>
  </si>
  <si>
    <t>22/1/1399</t>
  </si>
  <si>
    <t>15.SHARIF AS-SANAYIA NO.15.pdf</t>
  </si>
  <si>
    <t>https://drive.google.com/file/d/1UPtaEEix_xhi8ZfHuUaHS_OLp580hCn_/view?usp=drivesdk</t>
  </si>
  <si>
    <t>16/2/1399</t>
  </si>
  <si>
    <t>16.SHARIF AS-SANAYIA NO.16.pdf</t>
  </si>
  <si>
    <t>https://drive.google.com/file/d/1gE87xuYb3lAkvE6DTh8DjpbOzjhUwLeq/view?usp=drivesdk</t>
  </si>
  <si>
    <t>17.SHARIF AS-SANAYIA NO.17.pdf</t>
  </si>
  <si>
    <t>https://drive.google.com/file/d/1cyhYNUGrR9kMuBS3FEj80_ZDm8kIUjQj/view?usp=drivesdk</t>
  </si>
  <si>
    <t>28/6/1399</t>
  </si>
  <si>
    <t>18.SHARIF AS-SANAYIA NO.18.pdf</t>
  </si>
  <si>
    <t>https://drive.google.com/file/d/1eqeLYjc2Tnjeb3SWxteU5L6N5qZXM-WX/view?usp=drivesdk</t>
  </si>
  <si>
    <t>28/7/1399</t>
  </si>
  <si>
    <t>19.SHARIF AS-SANAYIA NO.19.pdf</t>
  </si>
  <si>
    <t>https://drive.google.com/file/d/1RDo5mODD8fW436JMAQf7JNwmA_Slt2Xs/view?usp=drivesdk</t>
  </si>
  <si>
    <t>25/8/1399</t>
  </si>
  <si>
    <t>Root/نشریات مستقل/صدای تغییر</t>
  </si>
  <si>
    <t>1- seday tagheer.pdf</t>
  </si>
  <si>
    <t>https://drive.google.com/file/d/1MQ10T43jbs2Y5bQ7mKgv0nYgPG1TxbA9/view?usp=drivesdk</t>
  </si>
  <si>
    <t>آرش بقایی</t>
  </si>
  <si>
    <t>نوید یوسفیان</t>
  </si>
  <si>
    <t>نیمه اول</t>
  </si>
  <si>
    <t>2- sedaye tagheer-white.pdf</t>
  </si>
  <si>
    <t>https://drive.google.com/file/d/12uVDmBNHvutgY6VYUFOAPWBe_59Kxrpz/view?usp=drivesdk</t>
  </si>
  <si>
    <t>3- sedaye Tagheer.pdf</t>
  </si>
  <si>
    <t>https://drive.google.com/file/d/1h54ejwUOeXyydEjUockuKzzoRIGQ2Jot/view?usp=drivesdk</t>
  </si>
  <si>
    <t>15/10/1388</t>
  </si>
  <si>
    <t>4- sedaye Tagheer.pdf</t>
  </si>
  <si>
    <t>https://drive.google.com/file/d/1RdU-VXUQx8tr802YYU225oHcRu-cN9am/view?usp=drivesdk</t>
  </si>
  <si>
    <t>5- sedaye Tagheer.pdf</t>
  </si>
  <si>
    <t>https://drive.google.com/file/d/14ly3Ph5pt-uyzqr-qIgB5AJYkPU0kZ9Z/view?usp=drivesdk</t>
  </si>
  <si>
    <t>آریا عیسی‌پور</t>
  </si>
  <si>
    <t>2/3/1390</t>
  </si>
  <si>
    <t>21/7/1389</t>
  </si>
  <si>
    <t>6- sedaye Tagheer.pdf</t>
  </si>
  <si>
    <t>https://drive.google.com/file/d/1QcEaEKPOlGqT2Th4XfGqDiUd0-mfZFst/view?usp=drivesdk</t>
  </si>
  <si>
    <t>Root/نشریات مستقل/صدف</t>
  </si>
  <si>
    <t>صدف ۳۶.pdf</t>
  </si>
  <si>
    <t>https://drive.google.com/file/d/1iaK3qwjIxk3McLg0s4dlY3ZBC7NNErlu/view?usp=drivesdk</t>
  </si>
  <si>
    <t>انجمن اسلامی مستقل</t>
  </si>
  <si>
    <t>مهدخت ارشدی</t>
  </si>
  <si>
    <t>صدف ۳۸.pdf</t>
  </si>
  <si>
    <t>https://drive.google.com/file/d/1jhZTjUOOEPQrBqWap5SUTdhlfmtyr7q1/view?usp=drivesdk</t>
  </si>
  <si>
    <t>29/10/1388</t>
  </si>
  <si>
    <t>صدف ۴۱.pdf</t>
  </si>
  <si>
    <t>https://drive.google.com/file/d/1ReYflTpeDEc-2nXhMxrerhoTvBDTSe15/view?usp=drivesdk</t>
  </si>
  <si>
    <t>صدف ۴۳.pdf</t>
  </si>
  <si>
    <t>https://drive.google.com/file/d/1CN8l_wYSpcGLQydnGWBwKLRXiJIxgBpL/view?usp=drivesdk</t>
  </si>
  <si>
    <t>16/12/1388</t>
  </si>
  <si>
    <t>صدف ۴۷.pdf</t>
  </si>
  <si>
    <t>https://drive.google.com/file/d/10KQhlBpbRBhIasrlo7nRxhjt14_W2KI_/view?usp=drivesdk</t>
  </si>
  <si>
    <t>صدف ۴۸.pdf</t>
  </si>
  <si>
    <t>https://drive.google.com/file/d/1tVzQH--5W2AsRa_GL_1V_HTiDRuap5Yq/view?usp=drivesdk</t>
  </si>
  <si>
    <t>حمید سینی‌ساز، امیرحسین فتاحی، علی زارعی</t>
  </si>
  <si>
    <t>11/3/1389</t>
  </si>
  <si>
    <t>Root/نشریات مستقل/فرهنگ</t>
  </si>
  <si>
    <t>فرهنگ ۲.pdf</t>
  </si>
  <si>
    <t>https://drive.google.com/file/d/1FVTe_nE6sYtphJfvMUbHfuSlBSXHJ7o4/view?usp=drivesdk</t>
  </si>
  <si>
    <t>6/4/1389</t>
  </si>
  <si>
    <t>فرهنگ ۳.pdf</t>
  </si>
  <si>
    <t>https://drive.google.com/file/d/1yxBmK7AchuL1EGxOrGYCmz9ns-Jv2jq6/view?usp=drivesdk</t>
  </si>
  <si>
    <t>22/4/1389</t>
  </si>
  <si>
    <t>Root/نشریات مستقل/قانون</t>
  </si>
  <si>
    <t>ghanoon1.pdf</t>
  </si>
  <si>
    <t>https://drive.google.com/file/d/1eVGHX5YqIDszNsFl0a2wEsyyIiLoT1P1/view?usp=drivesdk</t>
  </si>
  <si>
    <t>مسعود میرزایی</t>
  </si>
  <si>
    <t>ابوذر تمسکی</t>
  </si>
  <si>
    <t>7/7/1392</t>
  </si>
  <si>
    <t>ghanoon2.pdf</t>
  </si>
  <si>
    <t>https://drive.google.com/file/d/1WaoUMoFrWZlk7OwnjwaBwqWYeFbTZKxN/view?usp=drivesdk</t>
  </si>
  <si>
    <t>21/7/1392</t>
  </si>
  <si>
    <t>ghanoon3.pdf</t>
  </si>
  <si>
    <t>https://drive.google.com/file/d/1eyYp-Jpkpe4NL87DivJXPtuCbDk1Ch4b/view?usp=drivesdk</t>
  </si>
  <si>
    <t>12/8/1392</t>
  </si>
  <si>
    <t>ghanoon4.pdf</t>
  </si>
  <si>
    <t>https://drive.google.com/file/d/1DDcL6FEq9bJqIaWY_SaeuMFVxF7Nx-Hg/view?usp=drivesdk</t>
  </si>
  <si>
    <t>3/9/1392</t>
  </si>
  <si>
    <t>Ghanoon5.pdf</t>
  </si>
  <si>
    <t>https://drive.google.com/file/d/1zI_uMUiwuNvmsOUz39MPIcx6tfgbSf87/view?usp=drivesdk</t>
  </si>
  <si>
    <t>ghanoon6.pdf</t>
  </si>
  <si>
    <t>https://drive.google.com/file/d/1kBYnZLwLVuhZPxonzVN_DJZzp-Ne8snj/view?usp=drivesdk</t>
  </si>
  <si>
    <t>26/12/1392</t>
  </si>
  <si>
    <t>ghanoon7.pdf</t>
  </si>
  <si>
    <t>https://drive.google.com/file/d/19yXdE7dQep1UgvyfiT4Uq6nIlE3oTyR_/view?usp=drivesdk</t>
  </si>
  <si>
    <t>حمیدرضا شهمیری، مهدی یوسفی</t>
  </si>
  <si>
    <t>ghanoon8.pdf</t>
  </si>
  <si>
    <t>https://drive.google.com/file/d/1V0EGnHgeVjwczino38r3PLgictb9bVjS/view?usp=drivesdk</t>
  </si>
  <si>
    <t>ghanoon9.pdf</t>
  </si>
  <si>
    <t>https://drive.google.com/file/d/1FAo9_kzPYjst3fufS--UOmDo4BGoCRkG/view?usp=drivesdk</t>
  </si>
  <si>
    <t>ghanoon10.pdf</t>
  </si>
  <si>
    <t>https://drive.google.com/file/d/16SYVcEa06pXFi7Oz30eWulDXEEu2MwgT/view?usp=drivesdk</t>
  </si>
  <si>
    <t>سروش افخمی تابان</t>
  </si>
  <si>
    <t>7/7/1393</t>
  </si>
  <si>
    <t>ghanoon11.pdf</t>
  </si>
  <si>
    <t>https://drive.google.com/file/d/1E7xO6PXMGeVwmDF46emBtlzH6UQEStSW/view?usp=drivesdk</t>
  </si>
  <si>
    <t>ghanoon12.pdf</t>
  </si>
  <si>
    <t>https://drive.google.com/file/d/1_7W_KGq9fPsPOikDD9XV9IY6ucPUXem3/view?usp=drivesdk</t>
  </si>
  <si>
    <t>28/7/1393</t>
  </si>
  <si>
    <t>ghanoon13.pdf</t>
  </si>
  <si>
    <t>https://drive.google.com/file/d/1F5dPB4rD7RJWQ4mcwX-rETOMoAs3ZzuB/view?usp=drivesdk</t>
  </si>
  <si>
    <t>ghanoon14.pdf</t>
  </si>
  <si>
    <t>https://drive.google.com/file/d/1r4pkApujM_KR2Hp055ykYng414cf-9co/view?usp=drivesdk</t>
  </si>
  <si>
    <t>ghanoon15.pdf</t>
  </si>
  <si>
    <t>https://drive.google.com/file/d/1o2Vzx-Wa16KTMrnwwhkSyR4BuV1FVPCE/view?usp=drivesdk</t>
  </si>
  <si>
    <t>26/8/1393</t>
  </si>
  <si>
    <t>ghanoon16.pdf</t>
  </si>
  <si>
    <t>https://drive.google.com/file/d/1ri_vCjh7_XQhe3XZKcBGuAJVzASQC3KY/view?usp=drivesdk</t>
  </si>
  <si>
    <t>17/8/1393</t>
  </si>
  <si>
    <t>ghanoon17.pdf</t>
  </si>
  <si>
    <t>https://drive.google.com/file/d/1KGkV4B2Mi1MVT75aTKDnCKwUzoFTdYBQ/view?usp=drivesdk</t>
  </si>
  <si>
    <t>زهرا خانعلی‌زاده</t>
  </si>
  <si>
    <t>ghanoon18.pdf</t>
  </si>
  <si>
    <t>https://drive.google.com/file/d/1K8M3t27NMzU1DPRWzZVZXkswwyoiSKUE/view?usp=drivesdk</t>
  </si>
  <si>
    <t>ghanoon19.pdf</t>
  </si>
  <si>
    <t>https://drive.google.com/file/d/1nSsQIZGlg3X_Msx02KZ5FA8s9Ed2Oxyj/view?usp=drivesdk</t>
  </si>
  <si>
    <t>ghanoon20.pdf</t>
  </si>
  <si>
    <t>https://drive.google.com/file/d/1ejU-hiSoUwjUpCyCi80yMpcqltjbgzQZ/view?usp=drivesdk</t>
  </si>
  <si>
    <t>محمدرضا نفیسی</t>
  </si>
  <si>
    <t>14/2/1394</t>
  </si>
  <si>
    <t>Ghanoon21.pdf</t>
  </si>
  <si>
    <t>https://drive.google.com/file/d/1UnA4aKOX_r5_FdV39rUR2qQ0j_-53gyx/view?usp=drivesdk</t>
  </si>
  <si>
    <t>4/3/1394</t>
  </si>
  <si>
    <t>ghanoon22.pdf</t>
  </si>
  <si>
    <t>https://drive.google.com/file/d/1QfuvGNwFzmBfx7KtzBFYEOwe29IOP32t/view?usp=drivesdk</t>
  </si>
  <si>
    <t>20/6/1394</t>
  </si>
  <si>
    <t>ghanoon23.pdf</t>
  </si>
  <si>
    <t>https://drive.google.com/file/d/1oIRm2ajLBNbvctBQJyBqs0CstpXEqZd5/view?usp=drivesdk</t>
  </si>
  <si>
    <t>19/7/1394</t>
  </si>
  <si>
    <t>ghanoon24.pdf</t>
  </si>
  <si>
    <t>https://drive.google.com/file/d/1sO3-bitdMXHnqn_bcBd-Pxq-WSN690Kx/view?usp=drivesdk</t>
  </si>
  <si>
    <t>4/8/1394</t>
  </si>
  <si>
    <t>ghanoon26.pdf</t>
  </si>
  <si>
    <t>https://drive.google.com/file/d/1L_eJ3DVEnVST3W6FXh4F_L9BQeLiAJu_/view?usp=drivesdk</t>
  </si>
  <si>
    <t>30/9/1394</t>
  </si>
  <si>
    <t>ghanoon27.pdf</t>
  </si>
  <si>
    <t>https://drive.google.com/file/d/1mdf-BmcnY-oVjFSPyx_P_ed1uJSQBYgN/view?usp=drivesdk</t>
  </si>
  <si>
    <t>عطیه حمیدی‌زاده</t>
  </si>
  <si>
    <t>زینب شعبانی</t>
  </si>
  <si>
    <t>27/11/1394</t>
  </si>
  <si>
    <t>ghanoon28.pdf</t>
  </si>
  <si>
    <t>https://drive.google.com/file/d/1-uWTAE1AYEGjMQd_AAbFHpNA-Z7iVH1C/view?usp=drivesdk</t>
  </si>
  <si>
    <t>ghanoon30.pdf</t>
  </si>
  <si>
    <t>https://drive.google.com/file/d/1rEsY6VnH9G--AVj52ZJzzBUTbfbXYJNz/view?usp=drivesdk</t>
  </si>
  <si>
    <t>17/12/1394</t>
  </si>
  <si>
    <t>ghanoon31.pdf</t>
  </si>
  <si>
    <t>https://drive.google.com/file/d/1Au6H3KK0Xf161qDUK29QcJHbP_LjthMz/view?usp=drivesdk</t>
  </si>
  <si>
    <t>6/2/1395</t>
  </si>
  <si>
    <t>ghanoon32.pdf</t>
  </si>
  <si>
    <t>https://drive.google.com/file/d/1fdWrYDt6-_RGcFKwIuA5jfNPo9OqyKtB/view?usp=drivesdk</t>
  </si>
  <si>
    <t>امیرعلی سمنانی رهبر</t>
  </si>
  <si>
    <t>3/3/1395</t>
  </si>
  <si>
    <t>ghanoon33.pdf</t>
  </si>
  <si>
    <t>https://drive.google.com/file/d/1zY6uAl3zY12PvDd52v4-DD1X4CAx8sCU/view?usp=drivesdk</t>
  </si>
  <si>
    <t>27/7/1395</t>
  </si>
  <si>
    <t>ghanoon34.pdf</t>
  </si>
  <si>
    <t>https://drive.google.com/file/d/1xwlNpLjVlpBU9zQW3PuXlLaRABmyAnP7/view?usp=drivesdk</t>
  </si>
  <si>
    <t>ghanoon35.pdf</t>
  </si>
  <si>
    <t>https://drive.google.com/file/d/1oWywxQ0MSZ6u_0xVKiC7q9aMWeVSYhB0/view?usp=drivesdk</t>
  </si>
  <si>
    <t>17/8/1395</t>
  </si>
  <si>
    <t>ghanoon36.pdf</t>
  </si>
  <si>
    <t>https://drive.google.com/file/d/1EP-gplcSXtjDL7EWVT5AJEj50Ua1949o/view?usp=drivesdk</t>
  </si>
  <si>
    <t>محمدهادی رحمانی</t>
  </si>
  <si>
    <t>ghanoon37.pdf</t>
  </si>
  <si>
    <t>https://drive.google.com/file/d/1r85kqEQN3GJJ0PPxSA1KVclPuZHEDrb8/view?usp=drivesdk</t>
  </si>
  <si>
    <t>ghanoon38.pdf</t>
  </si>
  <si>
    <t>https://drive.google.com/file/d/1miGZo-pcv3QI82b1OnpFJj4s8IbBw7z9/view?usp=drivesdk</t>
  </si>
  <si>
    <t>ghanoon39.pdf</t>
  </si>
  <si>
    <t>https://drive.google.com/file/d/1DSuCU_F1W5uOkUvddx2JjmT178Xc9t9m/view?usp=drivesdk</t>
  </si>
  <si>
    <t>ghanoon40.pdf</t>
  </si>
  <si>
    <t>https://drive.google.com/file/d/1Bf2psU83SBhqlpvDsFjhatih9dnANSlM/view?usp=drivesdk</t>
  </si>
  <si>
    <t>ghanoon41.pdf</t>
  </si>
  <si>
    <t>https://drive.google.com/file/d/1XyoVH1ITzu1q9r-W55X0PGcTrPpdRpt_/view?usp=drivesdk</t>
  </si>
  <si>
    <t>ghanoon42.pdf</t>
  </si>
  <si>
    <t>https://drive.google.com/file/d/1yCodJfrXrugZxCIpa8pJYINv1bcEIZ43/view?usp=drivesdk</t>
  </si>
  <si>
    <t>محمدمحسن رضازاده</t>
  </si>
  <si>
    <t>امیرحسین مسعودنژاد</t>
  </si>
  <si>
    <t>11/2/1399</t>
  </si>
  <si>
    <t>Root/نشریات مستقل/لیلا</t>
  </si>
  <si>
    <t>leila-01.pdf</t>
  </si>
  <si>
    <t>https://drive.google.com/file/d/1aId3q3LxXVWLwU3BhvkEe9swz7Q7RHZl/view?usp=drivesdk</t>
  </si>
  <si>
    <t>حمیدرضا الماسی</t>
  </si>
  <si>
    <t>علیرضا محسنی</t>
  </si>
  <si>
    <t>Root/نشریات مستقل/موضع</t>
  </si>
  <si>
    <t>1.0.موضع شمارۀ 1.pdf</t>
  </si>
  <si>
    <t>https://drive.google.com/file/d/1tpSFFdDc7Qtqignk9X3EJ9PEQ6IrMa_P/view?usp=drivesdk</t>
  </si>
  <si>
    <t>حسین ارشادی</t>
  </si>
  <si>
    <t>1.1.گزارش خوابگاه.pdf</t>
  </si>
  <si>
    <t>https://drive.google.com/file/d/1vzD08-B23mMOlS6tE-T9K9wxIbZMeOhI/view?usp=drivesdk</t>
  </si>
  <si>
    <t>گزارش خوابگاه</t>
  </si>
  <si>
    <t>1.2.یارانۀ غذای دانشجویی.pdf</t>
  </si>
  <si>
    <t>https://drive.google.com/file/d/1ASE9F89Dtka8MtMw2iaqFL01iBrBmXem/view?usp=drivesdk</t>
  </si>
  <si>
    <t>یارانه غذای دانشجویی</t>
  </si>
  <si>
    <t>1.3.ویژه نامۀ تجمع.pdf</t>
  </si>
  <si>
    <t>https://drive.google.com/file/d/1Qb-GWcxLCZX-UB7wQEPz9A0DowSp9Iol/view?usp=drivesdk</t>
  </si>
  <si>
    <t>1/5/1401</t>
  </si>
  <si>
    <t>ویژه‌نامه تجمع ۱ مرداد</t>
  </si>
  <si>
    <t>1.4.اسب تروای وام.pdf</t>
  </si>
  <si>
    <t>https://drive.google.com/file/d/15cKsCVO02j-ldE74qgJnKVlHgnKpZfHz/view?usp=drivesdk</t>
  </si>
  <si>
    <t>9/5/1401</t>
  </si>
  <si>
    <t>اسب تراوای وام</t>
  </si>
  <si>
    <t>1.5.گزارش تحلیلی تجمع یکم مرداد.pdf</t>
  </si>
  <si>
    <t>https://drive.google.com/file/d/1LUeYuJQHf_xl7EcPT_A4OpxSwi6PS033/view?usp=drivesdk</t>
  </si>
  <si>
    <t>10/5/1401</t>
  </si>
  <si>
    <t>گزارش تحلیلی تجمع ۱ مرداد</t>
  </si>
  <si>
    <t>2.0.موضع، شمارۀ دوم، آبان ۱۴۰۱ (چاپی).pdf</t>
  </si>
  <si>
    <t>https://drive.google.com/file/d/1_l0iSeHO9q-mWu2vXIw12w7Qwqss7-FO/view?usp=drivesdk</t>
  </si>
  <si>
    <t>2.1.موضع،_شمارۀ_دوم،_آبان_۱۴۰۱_مجازی.pdf</t>
  </si>
  <si>
    <t>https://drive.google.com/file/d/18h328lqAeN3aIESGfRywtHze5km_ildZ/view?usp=drivesdk</t>
  </si>
  <si>
    <t>2.2.موضع،_ویژه‌نامۀ_خصوصی‌سازی،_اسفند_۱۴۰۱.pdf</t>
  </si>
  <si>
    <t>https://drive.google.com/file/d/12MIjZvE8J_R0HomWVKIxwKBV6MjQ77O3/view?usp=drivesdk</t>
  </si>
  <si>
    <t>ویژه‌نامه خصوصی‌سازی</t>
  </si>
  <si>
    <t>3.0.موضع،_شمارۀ_سوم،_اسفند_۱۴۰۱_چاپی.pdf</t>
  </si>
  <si>
    <t>https://drive.google.com/file/d/1dkBcERCkQzGXJtDmBe7eCOKrXPa5fv_0/view?usp=drivesdk</t>
  </si>
  <si>
    <t>3.1.موضع،_شمارۀ_سوم،_اسفند_۱۴۰۱_مجازی.pdf</t>
  </si>
  <si>
    <t>https://drive.google.com/file/d/1Mwewh7OYaG0aLxjon1XkT4BtcF_VPOcv/view?usp=drivesdk</t>
  </si>
  <si>
    <t>Root/نشریات خارج دانشگاهی</t>
  </si>
  <si>
    <t>خبرنامه_همایش_هفتم_مدیران_مسئول_نشریات_دانشجویی_کشور.pdf</t>
  </si>
  <si>
    <t>https://drive.google.com/file/d/1S0QmOPSVYmT0XvMyV-_tGJdppGrYHUL-/view?usp=drivesdk</t>
  </si>
  <si>
    <t>خبرنامه همایش هفتم مدیران مسئول نشریات دانشجویی کشور</t>
  </si>
  <si>
    <t>🗓 احتمالا اواخر مهر ۱۳۸۶</t>
  </si>
  <si>
    <t>Root/نشریات مستقل/نقطه سر خط</t>
  </si>
  <si>
    <t>1.0.نقطه‌سرخط ش ۲۱.pdf</t>
  </si>
  <si>
    <t>https://drive.google.com/file/d/1aGRtdg47n4GGmp8H6sLWJEkp1qXeuZNN/view?usp=drivesdk</t>
  </si>
  <si>
    <t>x/2,3/1378</t>
  </si>
  <si>
    <t>2.0.نقطه سر خط.pdf</t>
  </si>
  <si>
    <t>https://drive.google.com/file/d/1NI9cOsBPFe6Twvz5dvJPT8W0nfPTUlCy/view?usp=drivesdk</t>
  </si>
  <si>
    <t>محمدرضا ابوالحسنی</t>
  </si>
  <si>
    <t>۰ تا ۱۰</t>
  </si>
  <si>
    <t>15/7/1381</t>
  </si>
  <si>
    <t>3.24.نقطه سرخط ۲۴.pdf</t>
  </si>
  <si>
    <t>https://drive.google.com/file/d/1GtRv_d6OPYvcRgdFt196QDuhOUH8zDnn/view?usp=drivesdk</t>
  </si>
  <si>
    <t>سید حسین غفوری</t>
  </si>
  <si>
    <t>حمید پاک سیما</t>
  </si>
  <si>
    <t>x/12/1390</t>
  </si>
  <si>
    <t>3.25.نقطه سر خط ۲۵.pdf</t>
  </si>
  <si>
    <t>https://drive.google.com/file/d/1wbEGGErK-lbK0GtEg4mVu6wNrRpe5eNP/view?usp=drivesdk</t>
  </si>
  <si>
    <t>حمیدرضا صابر</t>
  </si>
  <si>
    <t>Root/نشریات مستقل/نگاه دانشجو</t>
  </si>
  <si>
    <t>1.نگاه دانشجو ۱ - ۲۰ فروردین ۱۳۸۰.pdf</t>
  </si>
  <si>
    <t>https://drive.google.com/file/d/1c09q1g7maUz_sJTJqzjk0frmvo1JjXkM/view?usp=drivesdk</t>
  </si>
  <si>
    <t>حامد منتظری</t>
  </si>
  <si>
    <t>20/1/1380</t>
  </si>
  <si>
    <t>2.نگاه دانشجو ۲ - ۳ اردیبهشت ۱۳۸۰.pdf</t>
  </si>
  <si>
    <t>https://drive.google.com/file/d/1LeiQDS2D3vQqQTOqBOsraZ4TAW9Tl61Y/view?usp=drivesdk</t>
  </si>
  <si>
    <t>3/2/1380</t>
  </si>
  <si>
    <t>Root/انجمن‌های علمی و نشریات وابسته به دانشکده‌ها/نشریات مستقل/نگاه دانشجو</t>
  </si>
  <si>
    <t>3.نگاه دانشجو ۳ - ۱۷ اردیبهشت ۱۳۸۰.pdf</t>
  </si>
  <si>
    <t>https://drive.google.com/file/d/1C0-uVbWG-mQHRlBaVV0Ea8bLTXnyvClL/view?usp=drivesdk</t>
  </si>
  <si>
    <t>17/2/1380</t>
  </si>
  <si>
    <t>4.نگاه دانشجو ۴ - ۷ خرداد ۱۳۸۰.pdf</t>
  </si>
  <si>
    <t>https://drive.google.com/file/d/1JH4hnhC8IaYiXJ7HAFQM4d0eKdUr65l0/view?usp=drivesdk</t>
  </si>
  <si>
    <t>7/3/1380</t>
  </si>
  <si>
    <t>5.نگاه دانشجو ۵ - ۲ مهر ۱۳۸۰.pdf</t>
  </si>
  <si>
    <t>https://drive.google.com/file/d/1-2Gw6tHIdUmeLRgiWaefaduU0GME6Ogv/view?usp=drivesdk</t>
  </si>
  <si>
    <t>2/7/1380</t>
  </si>
  <si>
    <t>6.نگاه دانشجو ۶ - ۷ آبان ۱۳۸۰.pdf</t>
  </si>
  <si>
    <t>https://drive.google.com/file/d/1gYmq86ZgJBOJN9b-E-G1wclm9yHqH7R0/view?usp=drivesdk</t>
  </si>
  <si>
    <t>7/8/1380</t>
  </si>
  <si>
    <t>Root/نشریات مستقل/نیش شتر</t>
  </si>
  <si>
    <t>nisheshotor1.pdf</t>
  </si>
  <si>
    <t>https://drive.google.com/file/d/1nTa0CZQPsmt-BZru6zE_Qugek9sVys_B/view?usp=drivesdk</t>
  </si>
  <si>
    <t>علیرضا مختار</t>
  </si>
  <si>
    <t>x/11/1387</t>
  </si>
  <si>
    <t>15/11/1387</t>
  </si>
  <si>
    <t>nisheshotor2.pdf</t>
  </si>
  <si>
    <t>https://drive.google.com/file/d/1uVHIGgoDEi15tn5D_YsYxMKcOK4Gbf7S/view?usp=drivesdk</t>
  </si>
  <si>
    <t>nisheshotor3.pdf</t>
  </si>
  <si>
    <t>https://drive.google.com/file/d/1elZcaNNbCzg81lu-GYfucjx1Ifb-IE0P/view?usp=drivesdk</t>
  </si>
  <si>
    <t>nisheshotor4.pdf</t>
  </si>
  <si>
    <t>https://drive.google.com/file/d/1lS86bCJYiZJiuidP7adx9RvqwZ8ypdix/view?usp=drivesdk</t>
  </si>
  <si>
    <t>nisheshotor5.pdf</t>
  </si>
  <si>
    <t>https://drive.google.com/file/d/1z_4EMMtC70EI4gAXvkZuKGEQsD1_yezB/view?usp=drivesdk</t>
  </si>
  <si>
    <t>nisheshotor6.pdf</t>
  </si>
  <si>
    <t>https://drive.google.com/file/d/1r5jnyP9BstGXqNa40h1zNnF6dMbgzzBz/view?usp=drivesdk</t>
  </si>
  <si>
    <t>x/11/1388</t>
  </si>
  <si>
    <t>15/11/1388</t>
  </si>
  <si>
    <t>nisheshotor7.pdf</t>
  </si>
  <si>
    <t>https://drive.google.com/file/d/1zxyKeuPAp308lgANEbfjkEWtW_VKxN88/view?usp=drivesdk</t>
  </si>
  <si>
    <t>nisheshotor8.pdf</t>
  </si>
  <si>
    <t>https://drive.google.com/file/d/1LCxR3vhfJmCTJPfvZzT32F1GAcGCIZf5/view?usp=drivesdk</t>
  </si>
  <si>
    <t>nisheshotor9.pdf</t>
  </si>
  <si>
    <t>https://drive.google.com/file/d/1hnany4L2kHvlf59ttietvDnSiAGyrdFQ/view?usp=drivesdk</t>
  </si>
  <si>
    <t>nisheshotor10.pdf</t>
  </si>
  <si>
    <t>https://drive.google.com/file/d/1P7A-neEc_RiEtTBz6r-Y-DUOtE_ZWd3m/view?usp=drivesdk</t>
  </si>
  <si>
    <t>nisheshotor11.pdf</t>
  </si>
  <si>
    <t>https://drive.google.com/file/d/1HTUINvlSIDzOyZBscjvpte8p7H7uJahZ/view?usp=drivesdk</t>
  </si>
  <si>
    <t>nisheshotor12.pdf</t>
  </si>
  <si>
    <t>https://drive.google.com/file/d/166vTeajr71ZryBvI7FRWE5NwYuJOwF5X/view?usp=drivesdk</t>
  </si>
  <si>
    <t>x/10/1389</t>
  </si>
  <si>
    <t>15/10/1389</t>
  </si>
  <si>
    <t>nisheshotor13.pdf</t>
  </si>
  <si>
    <t>https://drive.google.com/file/d/1_HeXppvxsDVRqbLErUXa8jwZSD4q9UYo/view?usp=drivesdk</t>
  </si>
  <si>
    <t>nisheshotor14.pdf</t>
  </si>
  <si>
    <t>https://drive.google.com/file/d/17LN3VUSK7gVu0a2D2U8szONlmnEOWZzK/view?usp=drivesdk</t>
  </si>
  <si>
    <t>Root/نشریات مستقل/هفت‌قلم‌نامه</t>
  </si>
  <si>
    <t>هفت‌قلم‌نامهٔ ۱.pdf</t>
  </si>
  <si>
    <t>https://drive.google.com/file/d/1Z-yYSccV74PsNfZAlOqX0_ESnESid05m/view?usp=drivesdk</t>
  </si>
  <si>
    <t>کوثر فرقانی</t>
  </si>
  <si>
    <t>هفت‌قلم‌نامهٔ ۲.pdf</t>
  </si>
  <si>
    <t>https://drive.google.com/file/d/1xkvfA-iNKip87Be8F8UXQjyMn4qcUDPu/view?usp=drivesdk</t>
  </si>
  <si>
    <t>هفت‌قلم‌نامهٔ ۳.pdf</t>
  </si>
  <si>
    <t>https://drive.google.com/file/d/19j3IiaZ1s5vWOr_92GM9kAPcS4UbThpI/view?usp=drivesdk</t>
  </si>
  <si>
    <t>20/7/1399</t>
  </si>
  <si>
    <t>Root/انجمن‌های علمی و نشریات وابسته به دانشکده‌ها/انجمن‌های علمی غیردانشکده‌ای/نیم‌خط</t>
  </si>
  <si>
    <t>0.نیم‌خط - شماره‌ی صفر.pdf</t>
  </si>
  <si>
    <t>https://drive.google.com/file/d/1w2KSSqge5Wbx2KOhT9-shFowOk9b8XEC/view?usp=drivesdk</t>
  </si>
  <si>
    <t>ریسمانچیان</t>
  </si>
  <si>
    <t>1.گاه‌نامه‌ی نیم‌خط - شماره‌ی یک.pdf</t>
  </si>
  <si>
    <t>https://drive.google.com/file/d/1C3_8iGQF6bVWA5IRTACajoBT8w990Y2J/view?usp=drivesdk</t>
  </si>
  <si>
    <t>انجمن علمی رستا</t>
  </si>
  <si>
    <t>نیلوفر لطیفیان</t>
  </si>
  <si>
    <t>علیرضا بانشی</t>
  </si>
  <si>
    <t>2.گاه_نامه_ی نیم_خط - شماره_ی دو.pdf</t>
  </si>
  <si>
    <t>https://drive.google.com/file/d/13aBZu8kWaFoqTId68CLZvcb2G_C6d4Jj/view?usp=drivesdk</t>
  </si>
  <si>
    <t>3.گاه_نامه_نیم_خط-شماره_ی_سوم.pdf</t>
  </si>
  <si>
    <t>https://drive.google.com/file/d/1i2bJuth_MT9J4gjQWgONLVA6Ffy6x2Km/view?usp=drivesdk</t>
  </si>
  <si>
    <t xml:space="preserve">سینا </t>
  </si>
  <si>
    <t>آیلا تیموری</t>
  </si>
  <si>
    <t>4.گاه_نامه_نیم_خط_شماره_ی_چهار.pdf</t>
  </si>
  <si>
    <t>https://drive.google.com/file/d/1vFOy_Ghaz5nvMON_zxBoMERus85a87LC/view?usp=drivesdk</t>
  </si>
  <si>
    <t>5.گاه‌نامه‌ی_نیم‌خط_شماره‌ی_پنجم.pdf</t>
  </si>
  <si>
    <t>https://drive.google.com/file/d/1LXVCZpFOelUv5KwmbG-p7sAOZMJQI159/view?usp=drivesdk</t>
  </si>
  <si>
    <t>6.گاه‌نامه‌ی نیم‌خط شماره‌ی ششم.pdf</t>
  </si>
  <si>
    <t>https://drive.google.com/file/d/1T7rnKYH0TtklMm5OA_Dff5mtv-Iw7fdj/view?usp=drivesdk</t>
  </si>
  <si>
    <t>7.گاه‌نامه‌ی_نیم‌خط_شماره‌ی_هفتم.pdf</t>
  </si>
  <si>
    <t>https://drive.google.com/file/d/1Q2f1Q7qGFtdT67u1QWHu9iUwAN1EeeGo/view?usp=drivesdk</t>
  </si>
  <si>
    <t>8.گاه‌نامه‌ی_نیم‌خط_شماره‌ی_هشتم.pdf</t>
  </si>
  <si>
    <t>https://drive.google.com/file/d/1xDx4dl5qBHo5Xgq_ILU5u1J5g084-FKC/view?usp=drivesdk</t>
  </si>
  <si>
    <t>نیما ریسمانچیان</t>
  </si>
  <si>
    <t>سید سروش رضوی</t>
  </si>
  <si>
    <t>9.گاه‌نامه‌ی نیم‌خط شماره‌ی نهم.pdf</t>
  </si>
  <si>
    <t>https://drive.google.com/file/d/1TH6pjFs3-N1NkbwY42xINjV3IeJ01s2u/view?usp=drivesdk</t>
  </si>
  <si>
    <t>سارا غیوری</t>
  </si>
  <si>
    <t>10.گاه‌نامه‌ی نیم‌خط - شماره دهم.pdf</t>
  </si>
  <si>
    <t>https://drive.google.com/file/d/1HwVZoguQZ94egr8OvUJhp5P1X4MuaHpJ/view?usp=drivesdk</t>
  </si>
  <si>
    <t>https://drive.google.com/file/d/1ZVhQYC54VjfOS81hPwKoxlFQ3uIu3uKJ/view?usp=drivesdk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</si>
</sst>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1"/>
    </xf>
    <xf borderId="0" fillId="0" fontId="1" numFmtId="4" xfId="0" applyAlignment="1" applyFont="1" applyNumberFormat="1">
      <alignment horizontal="center" readingOrder="1"/>
    </xf>
    <xf borderId="1" fillId="0" fontId="2" numFmtId="0" xfId="0" applyAlignment="1" applyBorder="1" applyFont="1">
      <alignment horizontal="center" readingOrder="0" vertical="top"/>
    </xf>
    <xf borderId="0" fillId="0" fontId="3" numFmtId="0" xfId="0" applyAlignment="1" applyFont="1">
      <alignment horizontal="center" readingOrder="1"/>
    </xf>
    <xf borderId="0" fillId="0" fontId="1" numFmtId="0" xfId="0" applyAlignment="1" applyFont="1">
      <alignment horizontal="center" readingOrder="1"/>
    </xf>
    <xf borderId="0" fillId="0" fontId="4" numFmtId="0" xfId="0" applyAlignment="1" applyFont="1">
      <alignment horizontal="left" readingOrder="0" vertical="bottom"/>
    </xf>
    <xf borderId="0" fillId="0" fontId="1" numFmtId="164" xfId="0" applyAlignment="1" applyFont="1" applyNumberFormat="1">
      <alignment horizontal="center" readingOrder="1"/>
    </xf>
    <xf borderId="0" fillId="0" fontId="4" numFmtId="164" xfId="0" applyAlignment="1" applyFont="1" applyNumberFormat="1">
      <alignment horizontal="left" readingOrder="0" vertical="bottom"/>
    </xf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 vertical="bottom"/>
    </xf>
    <xf borderId="0" fillId="0" fontId="6" numFmtId="0" xfId="0" applyAlignment="1" applyFont="1">
      <alignment horizontal="center" readingOrder="1"/>
    </xf>
    <xf borderId="0" fillId="0" fontId="5" numFmtId="4" xfId="0" applyAlignment="1" applyFont="1" applyNumberFormat="1">
      <alignment horizontal="center" readingOrder="1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file/d/1ZxgtB_MfHxcUSBYY-8eUX8ja0OedlFbR/view?usp=drivesdk" TargetMode="External"/><Relationship Id="rId391" Type="http://schemas.openxmlformats.org/officeDocument/2006/relationships/hyperlink" Target="https://drive.google.com/file/d/1blsTY1ieipiqeIco0a-VMZQZJ6ZTAtEC/view?usp=drivesdk" TargetMode="External"/><Relationship Id="rId390" Type="http://schemas.openxmlformats.org/officeDocument/2006/relationships/hyperlink" Target="https://drive.google.com/file/d/1aWjlOzth6LzNAMKPcQmZAeGwZlcb_gc9/view?usp=drivesdk" TargetMode="External"/><Relationship Id="rId1" Type="http://schemas.openxmlformats.org/officeDocument/2006/relationships/hyperlink" Target="https://drive.google.com/file/d/1OcZ_iybAN94_MrB3y83QY-mchwBeLuyl/view?usp=drivesdk" TargetMode="External"/><Relationship Id="rId2" Type="http://schemas.openxmlformats.org/officeDocument/2006/relationships/hyperlink" Target="https://drive.google.com/file/d/1Xoxbt0vY8Q_8KScyWOkZOEhijx634gzT/view?usp=drivesdk" TargetMode="External"/><Relationship Id="rId3" Type="http://schemas.openxmlformats.org/officeDocument/2006/relationships/hyperlink" Target="https://drive.google.com/file/d/1zifEH9LO2ahvfxP4uuU-CH8bJ420ZQ1T/view?usp=drivesdk" TargetMode="External"/><Relationship Id="rId4" Type="http://schemas.openxmlformats.org/officeDocument/2006/relationships/hyperlink" Target="https://drive.google.com/file/d/1kSZTgxyKoNqT8fSbbJRy8lo2KYOH8LbH/view?usp=drivesdk" TargetMode="External"/><Relationship Id="rId2180" Type="http://schemas.openxmlformats.org/officeDocument/2006/relationships/hyperlink" Target="https://drive.google.com/file/d/1Vf6lmtn0jqAhg9Me7zYWmM0aHDyFRLe0/view?usp=drivesdk" TargetMode="External"/><Relationship Id="rId2181" Type="http://schemas.openxmlformats.org/officeDocument/2006/relationships/hyperlink" Target="https://drive.google.com/file/d/1dl3-5uaHvP40UgkVpvMUXF9QfQAn_EAU/view?usp=drivesdk" TargetMode="External"/><Relationship Id="rId2182" Type="http://schemas.openxmlformats.org/officeDocument/2006/relationships/hyperlink" Target="https://drive.google.com/file/d/1ArW6EKWIMe2HX2JpuBR4QdkNN7hR6_LM/view?usp=drivesdk" TargetMode="External"/><Relationship Id="rId2183" Type="http://schemas.openxmlformats.org/officeDocument/2006/relationships/hyperlink" Target="https://drive.google.com/file/d/12Ukg2Lq19jlSe8biH8aJ8BquOXlDJw5N/view?usp=drivesdk" TargetMode="External"/><Relationship Id="rId9" Type="http://schemas.openxmlformats.org/officeDocument/2006/relationships/hyperlink" Target="https://drive.google.com/file/d/1j-WawGp9HnmA8dZlZJmyzOrxgPLhPFbO/view?usp=drivesdk" TargetMode="External"/><Relationship Id="rId385" Type="http://schemas.openxmlformats.org/officeDocument/2006/relationships/hyperlink" Target="https://drive.google.com/file/d/1WL_2fGmlX3Gb5_k0sWq-R_bQUGayl2K1/view?usp=drivesdk" TargetMode="External"/><Relationship Id="rId2184" Type="http://schemas.openxmlformats.org/officeDocument/2006/relationships/hyperlink" Target="https://drive.google.com/file/d/18ZaQ7k8m8tIAtC2pABKx0D4-vrewrhyU/view?usp=drivesdk" TargetMode="External"/><Relationship Id="rId384" Type="http://schemas.openxmlformats.org/officeDocument/2006/relationships/hyperlink" Target="https://drive.google.com/file/d/182rO2eeSC024bpAR0ZdzZKIpzbtlsUQ1/view?usp=drivesdk" TargetMode="External"/><Relationship Id="rId2185" Type="http://schemas.openxmlformats.org/officeDocument/2006/relationships/hyperlink" Target="https://drive.google.com/file/d/1SYXaOvx8GBnqYE6YFEEOcDAwKtKyUX-e/view?usp=drivesdk" TargetMode="External"/><Relationship Id="rId383" Type="http://schemas.openxmlformats.org/officeDocument/2006/relationships/hyperlink" Target="https://drive.google.com/file/d/1GGSMEqCxHfc46cjxPUV2qJfQ97gFmjsd/view?usp=drivesdk" TargetMode="External"/><Relationship Id="rId2186" Type="http://schemas.openxmlformats.org/officeDocument/2006/relationships/hyperlink" Target="https://drive.google.com/file/d/169XI43FtOCCCfHkR0YyReb-Od75o1icB/view?usp=drivesdk" TargetMode="External"/><Relationship Id="rId382" Type="http://schemas.openxmlformats.org/officeDocument/2006/relationships/hyperlink" Target="https://drive.google.com/file/d/1O-_nXKqOqqAtvf61oNvND1IZZXBcbkem/view?usp=drivesdk" TargetMode="External"/><Relationship Id="rId2187" Type="http://schemas.openxmlformats.org/officeDocument/2006/relationships/hyperlink" Target="https://drive.google.com/file/d/16Y88eKv6rm5BF3yvUiqZxLgrc5qrRm89/view?usp=drivesdk" TargetMode="External"/><Relationship Id="rId5" Type="http://schemas.openxmlformats.org/officeDocument/2006/relationships/hyperlink" Target="https://drive.google.com/file/d/1hzUmukEM58m-XK368qTCA3Amemb9WzeZ/view?usp=drivesdk" TargetMode="External"/><Relationship Id="rId389" Type="http://schemas.openxmlformats.org/officeDocument/2006/relationships/hyperlink" Target="https://drive.google.com/file/d/1BqHJrZLkVE76ugdIZhWt1-MobwawUrid/view?usp=drivesdk" TargetMode="External"/><Relationship Id="rId2188" Type="http://schemas.openxmlformats.org/officeDocument/2006/relationships/hyperlink" Target="https://drive.google.com/file/d/1xcAVnvsa383VWUSXF0OPa_CYv4zkNSPt/view?usp=drivesdk" TargetMode="External"/><Relationship Id="rId6" Type="http://schemas.openxmlformats.org/officeDocument/2006/relationships/hyperlink" Target="https://drive.google.com/file/d/1bALxEsPBJgYQ4IW_gO3xu4gmqTXabTpj/view?usp=drivesdk" TargetMode="External"/><Relationship Id="rId388" Type="http://schemas.openxmlformats.org/officeDocument/2006/relationships/hyperlink" Target="https://drive.google.com/file/d/1CZNh1Ihk7W6W8j1BenEBeOjvJSeekdDC/view?usp=drivesdk" TargetMode="External"/><Relationship Id="rId2189" Type="http://schemas.openxmlformats.org/officeDocument/2006/relationships/hyperlink" Target="https://drive.google.com/file/d/1NgvCpk8icqkVCk95hCHDiSRMC6d4qD2H/view?usp=drivesdk" TargetMode="External"/><Relationship Id="rId7" Type="http://schemas.openxmlformats.org/officeDocument/2006/relationships/hyperlink" Target="https://drive.google.com/file/d/17jaC96D217I4jNoJ0ENGoNhabrMMeTWh/view?usp=drivesdk" TargetMode="External"/><Relationship Id="rId387" Type="http://schemas.openxmlformats.org/officeDocument/2006/relationships/hyperlink" Target="https://drive.google.com/file/d/1IYnf6GHhii6_XORVave_dAxlLEvHFMaB/view?usp=drivesdk" TargetMode="External"/><Relationship Id="rId8" Type="http://schemas.openxmlformats.org/officeDocument/2006/relationships/hyperlink" Target="https://drive.google.com/file/d/1YL68QcrhOIyuKDCt6xYuePJBRwnSY4NL/view?usp=drivesdk" TargetMode="External"/><Relationship Id="rId386" Type="http://schemas.openxmlformats.org/officeDocument/2006/relationships/hyperlink" Target="https://drive.google.com/file/d/1DxTtZk02v4kcT8dowRAZHNr9FWN3Xyf5/view?usp=drivesdk" TargetMode="External"/><Relationship Id="rId381" Type="http://schemas.openxmlformats.org/officeDocument/2006/relationships/hyperlink" Target="https://drive.google.com/file/d/1iu1fuFM19vatSYZmBqiPED6UrbAsDbrb/view?usp=drivesdk" TargetMode="External"/><Relationship Id="rId380" Type="http://schemas.openxmlformats.org/officeDocument/2006/relationships/hyperlink" Target="https://drive.google.com/file/d/1CYFjc1jbPFEb2WbR7TzAJtjbNhEYhTqw/view?usp=drivesdk" TargetMode="External"/><Relationship Id="rId379" Type="http://schemas.openxmlformats.org/officeDocument/2006/relationships/hyperlink" Target="https://drive.google.com/file/d/1bhIG7Y-hvB64lIoSQ5a-DEfM_jn6Y71x/view?usp=drivesdk" TargetMode="External"/><Relationship Id="rId2170" Type="http://schemas.openxmlformats.org/officeDocument/2006/relationships/hyperlink" Target="https://drive.google.com/file/d/1R6qqMetXg7UpPrVcX4WyhblHyXAUG4KZ/view?usp=drivesdk" TargetMode="External"/><Relationship Id="rId2171" Type="http://schemas.openxmlformats.org/officeDocument/2006/relationships/hyperlink" Target="https://drive.google.com/file/d/1ITARDALzWasw1ttPhxGQfk5nzSlWGii3/view?usp=drivesdk" TargetMode="External"/><Relationship Id="rId2172" Type="http://schemas.openxmlformats.org/officeDocument/2006/relationships/hyperlink" Target="https://drive.google.com/file/d/1IiBOT2b51r9gee-zFKn--dCquTYZHEyW/view?usp=drivesdk" TargetMode="External"/><Relationship Id="rId374" Type="http://schemas.openxmlformats.org/officeDocument/2006/relationships/hyperlink" Target="https://drive.google.com/file/d/1_H-SudD65xJlrU1bXUpWP7wtn7Pcxw1L/view?usp=drivesdk" TargetMode="External"/><Relationship Id="rId2173" Type="http://schemas.openxmlformats.org/officeDocument/2006/relationships/hyperlink" Target="https://drive.google.com/file/d/1yXByR5ljEEhopqQOTGkK_m-C1qBiDuEk/view?usp=drivesdk" TargetMode="External"/><Relationship Id="rId373" Type="http://schemas.openxmlformats.org/officeDocument/2006/relationships/hyperlink" Target="https://drive.google.com/file/d/1-d99SIVmvtRKZy1ppOX71VaaaLNKleCk/view?usp=drivesdk" TargetMode="External"/><Relationship Id="rId2174" Type="http://schemas.openxmlformats.org/officeDocument/2006/relationships/hyperlink" Target="https://drive.google.com/file/d/11WZD5yjxpWSABksOwLTuzvyQguKvXCEd/view?usp=drivesdk" TargetMode="External"/><Relationship Id="rId372" Type="http://schemas.openxmlformats.org/officeDocument/2006/relationships/hyperlink" Target="https://drive.google.com/file/d/1tUW_in1Qfp7kijwKMdeFbRL-hRPE5XmY/view?usp=drivesdk" TargetMode="External"/><Relationship Id="rId2175" Type="http://schemas.openxmlformats.org/officeDocument/2006/relationships/hyperlink" Target="https://drive.google.com/file/d/15XvP_zsIxSzAviVhXgS4neVK20KCcXTy/view?usp=drivesdk" TargetMode="External"/><Relationship Id="rId371" Type="http://schemas.openxmlformats.org/officeDocument/2006/relationships/hyperlink" Target="https://drive.google.com/file/d/1PFnUAKLp5xIYBfcNWkfJ3Kb4Zg_K5i7h/view?usp=drivesdk" TargetMode="External"/><Relationship Id="rId2176" Type="http://schemas.openxmlformats.org/officeDocument/2006/relationships/hyperlink" Target="https://drive.google.com/file/d/12qCriT8PTif6-W9LtGYhzYB_b4og5-KY/view?usp=drivesdk" TargetMode="External"/><Relationship Id="rId378" Type="http://schemas.openxmlformats.org/officeDocument/2006/relationships/hyperlink" Target="https://drive.google.com/file/d/14dHAFsRAqFrBUasNz01MzJTDNgcr-O5L/view?usp=drivesdk" TargetMode="External"/><Relationship Id="rId2177" Type="http://schemas.openxmlformats.org/officeDocument/2006/relationships/hyperlink" Target="https://drive.google.com/file/d/10kl0ErQ2MWjss8VN856YODr84B7bdgYX/view?usp=drivesdk" TargetMode="External"/><Relationship Id="rId377" Type="http://schemas.openxmlformats.org/officeDocument/2006/relationships/hyperlink" Target="https://drive.google.com/file/d/1NopywPw9i2fsiuXx2-UZTACDthJsJwW0/view?usp=drivesdk" TargetMode="External"/><Relationship Id="rId2178" Type="http://schemas.openxmlformats.org/officeDocument/2006/relationships/hyperlink" Target="https://drive.google.com/file/d/1wbCnqiPihlGRB-TKUwuSs0gwbAcs2-sU/view?usp=drivesdk" TargetMode="External"/><Relationship Id="rId376" Type="http://schemas.openxmlformats.org/officeDocument/2006/relationships/hyperlink" Target="https://drive.google.com/file/d/1n1ALzQW3X84B0zge-Tao13ojluJXvh50/view?usp=drivesdk" TargetMode="External"/><Relationship Id="rId2179" Type="http://schemas.openxmlformats.org/officeDocument/2006/relationships/hyperlink" Target="https://drive.google.com/file/d/1mP-d40xY6D5O_Gvl7DejqfTPBQ3ifLGD/view?usp=drivesdk" TargetMode="External"/><Relationship Id="rId375" Type="http://schemas.openxmlformats.org/officeDocument/2006/relationships/hyperlink" Target="https://drive.google.com/file/d/1AlJn2Ch9NonXtKoyvrQXThWjsonONIKR/view?usp=drivesdk" TargetMode="External"/><Relationship Id="rId2190" Type="http://schemas.openxmlformats.org/officeDocument/2006/relationships/hyperlink" Target="https://drive.google.com/file/d/14GeSitZQ7yBseMghNQTjOhAeZjyJ--JP/view?usp=drivesdk" TargetMode="External"/><Relationship Id="rId2191" Type="http://schemas.openxmlformats.org/officeDocument/2006/relationships/hyperlink" Target="https://drive.google.com/file/d/1M1qU4XKfIoooRzmbXzvdelOq8-R1y56Q/view?usp=drivesdk" TargetMode="External"/><Relationship Id="rId2192" Type="http://schemas.openxmlformats.org/officeDocument/2006/relationships/hyperlink" Target="https://drive.google.com/file/d/17Z2tjon2BCvv7Ev6R1-riWOCYQOaihBB/view?usp=drivesdk" TargetMode="External"/><Relationship Id="rId2193" Type="http://schemas.openxmlformats.org/officeDocument/2006/relationships/hyperlink" Target="https://drive.google.com/file/d/1Xpnf7-MMvqPOcsclHyhp6wepDT3gcaKs/view?usp=drivesdk" TargetMode="External"/><Relationship Id="rId2194" Type="http://schemas.openxmlformats.org/officeDocument/2006/relationships/hyperlink" Target="https://drive.google.com/file/d/1Z8jT8UjNcxGC9ofHXN-1BCjXB-zse4Ul/view?usp=drivesdk" TargetMode="External"/><Relationship Id="rId396" Type="http://schemas.openxmlformats.org/officeDocument/2006/relationships/hyperlink" Target="https://drive.google.com/file/d/1t0pAUw_R2wyqN_4aIEG44z8unMzfIk0Y/view?usp=drivesdk" TargetMode="External"/><Relationship Id="rId2195" Type="http://schemas.openxmlformats.org/officeDocument/2006/relationships/hyperlink" Target="https://drive.google.com/file/d/1zO8rhoKRzKrF-ZGseItgJ-ZUVl27fh4N/view?usp=drivesdk" TargetMode="External"/><Relationship Id="rId395" Type="http://schemas.openxmlformats.org/officeDocument/2006/relationships/hyperlink" Target="https://drive.google.com/file/d/1wTMjXALUpU7K1X0ujVHIXeip6mmbL4xO/view?usp=drivesdk" TargetMode="External"/><Relationship Id="rId2196" Type="http://schemas.openxmlformats.org/officeDocument/2006/relationships/hyperlink" Target="https://drive.google.com/file/d/1xBzfMuLExWGRbG4n8R9DSGzWtoQ3K9YD/view?usp=drivesdk" TargetMode="External"/><Relationship Id="rId394" Type="http://schemas.openxmlformats.org/officeDocument/2006/relationships/hyperlink" Target="https://drive.google.com/file/d/1TPN1_EWb4j35lg2x1rpAh2minYobbUHZ/view?usp=drivesdk" TargetMode="External"/><Relationship Id="rId2197" Type="http://schemas.openxmlformats.org/officeDocument/2006/relationships/hyperlink" Target="https://drive.google.com/file/d/1eOvEZ_M90Wg5oi0HuGMMXO45wHHFyfy9/view?usp=drivesdk" TargetMode="External"/><Relationship Id="rId393" Type="http://schemas.openxmlformats.org/officeDocument/2006/relationships/hyperlink" Target="https://drive.google.com/file/d/1Y0H4mdIFNxTGy-wMsiGKlBKMhevw_0iM/view?usp=drivesdk" TargetMode="External"/><Relationship Id="rId2198" Type="http://schemas.openxmlformats.org/officeDocument/2006/relationships/hyperlink" Target="https://drive.google.com/file/d/1Q0Os6NhhQPhUatJIcbS3tp-8qszttT78/view?usp=drivesdk" TargetMode="External"/><Relationship Id="rId2199" Type="http://schemas.openxmlformats.org/officeDocument/2006/relationships/hyperlink" Target="https://drive.google.com/file/d/1MpLLaTq1fEuiSfNMsXjENdrXsARogT-J/view?usp=drivesdk" TargetMode="External"/><Relationship Id="rId399" Type="http://schemas.openxmlformats.org/officeDocument/2006/relationships/hyperlink" Target="https://drive.google.com/file/d/1eMPqvlrx5QHTXI8jrh_lKzRebGhcXT7w/view?usp=drivesdk" TargetMode="External"/><Relationship Id="rId398" Type="http://schemas.openxmlformats.org/officeDocument/2006/relationships/hyperlink" Target="https://drive.google.com/file/d/1ZlKk95_CQdN8x3s3PD63avuyB_8VpsAH/view?usp=drivesdk" TargetMode="External"/><Relationship Id="rId397" Type="http://schemas.openxmlformats.org/officeDocument/2006/relationships/hyperlink" Target="https://drive.google.com/file/d/1WynRzHMFqob2ap7SJvom_OPtM2uVBzJU/view?usp=drivesdk" TargetMode="External"/><Relationship Id="rId1730" Type="http://schemas.openxmlformats.org/officeDocument/2006/relationships/hyperlink" Target="https://drive.google.com/file/d/1YhwhC-cTfOg2AsZbGw4DavmL3ScHYukb/view?usp=drivesdk" TargetMode="External"/><Relationship Id="rId1731" Type="http://schemas.openxmlformats.org/officeDocument/2006/relationships/hyperlink" Target="https://drive.google.com/file/d/1GAIeiKB9r4rdO32uzJs8HIRTmtdkz5gL/view?usp=drivesdk" TargetMode="External"/><Relationship Id="rId1732" Type="http://schemas.openxmlformats.org/officeDocument/2006/relationships/hyperlink" Target="https://drive.google.com/file/d/1vlXbRDKlUckuXWVdWM__w1BTX5sXPiPn/view?usp=drivesdk" TargetMode="External"/><Relationship Id="rId1733" Type="http://schemas.openxmlformats.org/officeDocument/2006/relationships/hyperlink" Target="https://drive.google.com/file/d/1uBvpe-9f-rrUMu_DPNqehZq1lO16_CSP/view?usp=drivesdk" TargetMode="External"/><Relationship Id="rId1734" Type="http://schemas.openxmlformats.org/officeDocument/2006/relationships/hyperlink" Target="https://drive.google.com/file/d/1__yM6z6WEjkQFB1BFnT08j-_jr0MlvNy/view?usp=drivesdk" TargetMode="External"/><Relationship Id="rId1735" Type="http://schemas.openxmlformats.org/officeDocument/2006/relationships/hyperlink" Target="https://drive.google.com/file/d/1BdoJSd6SBB2IXVwTlExGlphmw9nC2fiG/view?usp=drivesdk" TargetMode="External"/><Relationship Id="rId1736" Type="http://schemas.openxmlformats.org/officeDocument/2006/relationships/hyperlink" Target="https://drive.google.com/file/d/1npMtmLV0TOc3KjSCs30cnLIuZjswocc0/view?usp=drivesdk" TargetMode="External"/><Relationship Id="rId1737" Type="http://schemas.openxmlformats.org/officeDocument/2006/relationships/hyperlink" Target="https://drive.google.com/file/d/10gpfGPomm_jpPiFStGKihUxHALBHu9iB/view?usp=drivesdk" TargetMode="External"/><Relationship Id="rId1738" Type="http://schemas.openxmlformats.org/officeDocument/2006/relationships/hyperlink" Target="https://drive.google.com/file/d/1Z-KrvspzaCJS-l7JlF8ovGzPoxJmCXo2/view?usp=drivesdk" TargetMode="External"/><Relationship Id="rId1739" Type="http://schemas.openxmlformats.org/officeDocument/2006/relationships/hyperlink" Target="https://drive.google.com/file/d/1tIkJLyXswgHuMza8NPAiSDdQjiEcbKPw/view?usp=drivesdk" TargetMode="External"/><Relationship Id="rId1720" Type="http://schemas.openxmlformats.org/officeDocument/2006/relationships/hyperlink" Target="https://drive.google.com/file/d/1WvH5EH8kRGHhQnRmbrdmA0rxxv_mvwaN/view?usp=drivesdk" TargetMode="External"/><Relationship Id="rId1721" Type="http://schemas.openxmlformats.org/officeDocument/2006/relationships/hyperlink" Target="https://drive.google.com/file/d/1e3pW2c-AW1ULJUDzuvfeDOJfJCT3zQeM/view?usp=drivesdk" TargetMode="External"/><Relationship Id="rId1722" Type="http://schemas.openxmlformats.org/officeDocument/2006/relationships/hyperlink" Target="https://drive.google.com/file/d/1vobCsA_b56W7UX6rVjA-VrC_j9EDU7_r/view?usp=drivesdk" TargetMode="External"/><Relationship Id="rId1723" Type="http://schemas.openxmlformats.org/officeDocument/2006/relationships/hyperlink" Target="https://drive.google.com/file/d/1OzJWdiagLJ2PJko445YS9lNYiWt_e_uB/view?usp=drivesdk" TargetMode="External"/><Relationship Id="rId1724" Type="http://schemas.openxmlformats.org/officeDocument/2006/relationships/hyperlink" Target="https://drive.google.com/file/d/1M1PzjzvLeJZK0ZBoX_HYaeYeiY7Mm20t/view?usp=drivesdk" TargetMode="External"/><Relationship Id="rId1725" Type="http://schemas.openxmlformats.org/officeDocument/2006/relationships/hyperlink" Target="https://drive.google.com/file/d/1P69k7NdNymZ6UPSV9bDB36aDY-oKIi51/view?usp=drivesdk" TargetMode="External"/><Relationship Id="rId1726" Type="http://schemas.openxmlformats.org/officeDocument/2006/relationships/hyperlink" Target="https://drive.google.com/file/d/1RZpin-F99fKCR6B2QfjzQuTDwoxprWhj/view?usp=drivesdk" TargetMode="External"/><Relationship Id="rId1727" Type="http://schemas.openxmlformats.org/officeDocument/2006/relationships/hyperlink" Target="https://drive.google.com/file/d/15qL6-GuzLkXWAUyTyONFMIJNdPUi7LBt/view?usp=drivesdk" TargetMode="External"/><Relationship Id="rId1728" Type="http://schemas.openxmlformats.org/officeDocument/2006/relationships/hyperlink" Target="https://drive.google.com/file/d/1vtYeJibJpzBlvWJt8VtzZ3TaBA0JV8vn/view?usp=drivesdk" TargetMode="External"/><Relationship Id="rId1729" Type="http://schemas.openxmlformats.org/officeDocument/2006/relationships/hyperlink" Target="https://drive.google.com/file/d/1fGputbqOrMhXovfE8oFHAdRDim8PqhK1/view?usp=drivesdk" TargetMode="External"/><Relationship Id="rId1752" Type="http://schemas.openxmlformats.org/officeDocument/2006/relationships/hyperlink" Target="https://drive.google.com/file/d/1uboo8cr-g69_WXfejZbe3E1qZ2n6SKMu/view?usp=drivesdk" TargetMode="External"/><Relationship Id="rId1753" Type="http://schemas.openxmlformats.org/officeDocument/2006/relationships/hyperlink" Target="https://drive.google.com/file/d/1s5_rFSSZChrHA6W3TQDsIVtJD9EJpdwf/view?usp=drivesdk" TargetMode="External"/><Relationship Id="rId1754" Type="http://schemas.openxmlformats.org/officeDocument/2006/relationships/hyperlink" Target="https://drive.google.com/file/d/1I83_Swan9_C2TbsZYoBXktQJh8gt3uyu/view?usp=drivesdk" TargetMode="External"/><Relationship Id="rId1755" Type="http://schemas.openxmlformats.org/officeDocument/2006/relationships/hyperlink" Target="https://drive.google.com/file/d/1o0ngnlG6V8vUb3Tl6t6G9v0dibz1QNc0/view?usp=drivesdk" TargetMode="External"/><Relationship Id="rId1756" Type="http://schemas.openxmlformats.org/officeDocument/2006/relationships/hyperlink" Target="https://drive.google.com/file/d/1JapQ0fFbh6fTZ485il4QqYrR_JUtybom/view?usp=drivesdk" TargetMode="External"/><Relationship Id="rId1757" Type="http://schemas.openxmlformats.org/officeDocument/2006/relationships/hyperlink" Target="https://drive.google.com/file/d/1PlIV-yzNlWccToaKEqXukYwabrAUzSqJ/view?usp=drivesdk" TargetMode="External"/><Relationship Id="rId1758" Type="http://schemas.openxmlformats.org/officeDocument/2006/relationships/hyperlink" Target="https://drive.google.com/file/d/1s_WdTOtkzDLcCTnsvdHGnsw_nxqz-zv9/view?usp=drivesdk" TargetMode="External"/><Relationship Id="rId1759" Type="http://schemas.openxmlformats.org/officeDocument/2006/relationships/hyperlink" Target="https://drive.google.com/file/d/1ZoLiEwbdy9qBcWJOvuHtwhX49dc4fcvX/view?usp=drivesdk" TargetMode="External"/><Relationship Id="rId808" Type="http://schemas.openxmlformats.org/officeDocument/2006/relationships/hyperlink" Target="https://drive.google.com/file/d/1it7xnIJ0v3PNq-dZQooDCVRJWMeoAg3d/view?usp=drivesdk" TargetMode="External"/><Relationship Id="rId807" Type="http://schemas.openxmlformats.org/officeDocument/2006/relationships/hyperlink" Target="https://drive.google.com/file/d/1402LNbIcSM84Yuo6UlqEHlHLE37gV311/view?usp=drivesdk" TargetMode="External"/><Relationship Id="rId806" Type="http://schemas.openxmlformats.org/officeDocument/2006/relationships/hyperlink" Target="https://drive.google.com/file/d/1R3m0O84eqDqYZ-xSSOvqS40EpSBkj6aR/view?usp=drivesdk" TargetMode="External"/><Relationship Id="rId805" Type="http://schemas.openxmlformats.org/officeDocument/2006/relationships/hyperlink" Target="https://drive.google.com/file/d/1g-L2n2SfIKW0ky8_8rZLxMHcw5Hz_zqb/view?usp=drivesdk" TargetMode="External"/><Relationship Id="rId809" Type="http://schemas.openxmlformats.org/officeDocument/2006/relationships/hyperlink" Target="https://drive.google.com/file/d/1HHECgQ8plCi_MWJuRh_oecUR7LZTRpJe/view?usp=drivesdk" TargetMode="External"/><Relationship Id="rId800" Type="http://schemas.openxmlformats.org/officeDocument/2006/relationships/hyperlink" Target="https://drive.google.com/file/d/12ftGyIXuBPxzi0q4kXZlpxKughSgVVN3/view?usp=drivesdk" TargetMode="External"/><Relationship Id="rId804" Type="http://schemas.openxmlformats.org/officeDocument/2006/relationships/hyperlink" Target="https://drive.google.com/file/d/1-KcATDzKg649On2sv5BYT7ZAnLIX_crp/view?usp=drivesdk" TargetMode="External"/><Relationship Id="rId803" Type="http://schemas.openxmlformats.org/officeDocument/2006/relationships/hyperlink" Target="https://drive.google.com/file/d/1dauv3OzqgFb1vv5Ff61zrqXwb9gF4M5R/view?usp=drivesdk" TargetMode="External"/><Relationship Id="rId802" Type="http://schemas.openxmlformats.org/officeDocument/2006/relationships/hyperlink" Target="https://drive.google.com/file/d/14sjO3ApFI61N3AE1xHgP7K9a74vDe6JL/view?usp=drivesdk" TargetMode="External"/><Relationship Id="rId801" Type="http://schemas.openxmlformats.org/officeDocument/2006/relationships/hyperlink" Target="https://drive.google.com/file/d/15fDrv8guFfIK_1eHbxraEy---cYO_coz/view?usp=drivesdk" TargetMode="External"/><Relationship Id="rId1750" Type="http://schemas.openxmlformats.org/officeDocument/2006/relationships/hyperlink" Target="https://drive.google.com/file/d/1tw0IME404Cq1mFpCbJvfvnl0iVFnttk9/view?usp=drivesdk" TargetMode="External"/><Relationship Id="rId1751" Type="http://schemas.openxmlformats.org/officeDocument/2006/relationships/hyperlink" Target="https://drive.google.com/file/d/1YeyK2wfkOFc1KN9J_TBP9edA1s7jUm_F/view?usp=drivesdk" TargetMode="External"/><Relationship Id="rId1741" Type="http://schemas.openxmlformats.org/officeDocument/2006/relationships/hyperlink" Target="https://drive.google.com/file/d/16o3zlbWxygrdBMKkuoh9Z5sEec62dHR3/view?usp=drivesdk" TargetMode="External"/><Relationship Id="rId1742" Type="http://schemas.openxmlformats.org/officeDocument/2006/relationships/hyperlink" Target="https://drive.google.com/file/d/1IFJdZBclzQSR1c5ax2Av4VVtYqhhlmJw/view?usp=drivesdk" TargetMode="External"/><Relationship Id="rId1743" Type="http://schemas.openxmlformats.org/officeDocument/2006/relationships/hyperlink" Target="https://drive.google.com/file/d/19GFgxmAPemv95Jk79kusOs_6ORJZRgQZ/view?usp=drivesdk" TargetMode="External"/><Relationship Id="rId1744" Type="http://schemas.openxmlformats.org/officeDocument/2006/relationships/hyperlink" Target="https://drive.google.com/file/d/1jCeu_sFGYpazY97PfepXR7_xvsaO1GTD/view?usp=drivesdk" TargetMode="External"/><Relationship Id="rId1745" Type="http://schemas.openxmlformats.org/officeDocument/2006/relationships/hyperlink" Target="https://drive.google.com/file/d/1AB-JoavFnFWfMFJPQvuiv-BOHIxX8ZDK/view?usp=drivesdk" TargetMode="External"/><Relationship Id="rId1746" Type="http://schemas.openxmlformats.org/officeDocument/2006/relationships/hyperlink" Target="https://drive.google.com/file/d/1luE8Nu62mNNAT7QvW6ZKbyptnl2NvGgL/view?usp=drivesdk" TargetMode="External"/><Relationship Id="rId1747" Type="http://schemas.openxmlformats.org/officeDocument/2006/relationships/hyperlink" Target="https://drive.google.com/file/d/1mIbzLBEV7-HvnubmV8nIETT0QcldQ-dN/view?usp=drivesdk" TargetMode="External"/><Relationship Id="rId1748" Type="http://schemas.openxmlformats.org/officeDocument/2006/relationships/hyperlink" Target="https://drive.google.com/file/d/1ITOD2k3FsUkd2n-E0LcDgNjfFZHwBfR3/view?usp=drivesdk" TargetMode="External"/><Relationship Id="rId1749" Type="http://schemas.openxmlformats.org/officeDocument/2006/relationships/hyperlink" Target="https://drive.google.com/file/d/1bZJ8Oht8a8hjV55seq7xVRwvw-G3KMd8/view?usp=drivesdk" TargetMode="External"/><Relationship Id="rId1740" Type="http://schemas.openxmlformats.org/officeDocument/2006/relationships/hyperlink" Target="https://drive.google.com/file/d/1pdaXxZhClgSIkakEPT7dyEtI87crHTYV/view?usp=drivesdk" TargetMode="External"/><Relationship Id="rId1710" Type="http://schemas.openxmlformats.org/officeDocument/2006/relationships/hyperlink" Target="https://drive.google.com/file/d/1NPGo5HnLBhYLpLOcBCyEm3Hz1S4H5bsh/view?usp=drivesdk" TargetMode="External"/><Relationship Id="rId1711" Type="http://schemas.openxmlformats.org/officeDocument/2006/relationships/hyperlink" Target="https://drive.google.com/file/d/1QD9JY3HL7mA7WFn2fVhzk5PHMjsvvnim/view?usp=drivesdk" TargetMode="External"/><Relationship Id="rId1712" Type="http://schemas.openxmlformats.org/officeDocument/2006/relationships/hyperlink" Target="https://drive.google.com/file/d/1cOddSFp44g9f7mrI5bHJzmFbPCw_0iPr/view?usp=drivesdk" TargetMode="External"/><Relationship Id="rId1713" Type="http://schemas.openxmlformats.org/officeDocument/2006/relationships/hyperlink" Target="https://drive.google.com/file/d/1LXAGINIWYNHW5V3gNItuZlg9FyHV7Ahx/view?usp=drivesdk" TargetMode="External"/><Relationship Id="rId1714" Type="http://schemas.openxmlformats.org/officeDocument/2006/relationships/hyperlink" Target="https://drive.google.com/file/d/1oKrJHuSz4DGtHkcVjNwy2YBD6EvGqxc_/view?usp=drivesdk" TargetMode="External"/><Relationship Id="rId1715" Type="http://schemas.openxmlformats.org/officeDocument/2006/relationships/hyperlink" Target="https://drive.google.com/file/d/1OmMFgIVXzcA8VyJNbHXiSJLdvI5I0TbQ/view?usp=drivesdk" TargetMode="External"/><Relationship Id="rId1716" Type="http://schemas.openxmlformats.org/officeDocument/2006/relationships/hyperlink" Target="https://drive.google.com/file/d/10nq8nVLYpMxHkEbtoBY1UVUs3Sjf7zWS/view?usp=drivesdk" TargetMode="External"/><Relationship Id="rId1717" Type="http://schemas.openxmlformats.org/officeDocument/2006/relationships/hyperlink" Target="https://drive.google.com/file/d/1hVu668dB1ynCKy2aLvXwAtDqLh-B6Hof/view?usp=drivesdk" TargetMode="External"/><Relationship Id="rId1718" Type="http://schemas.openxmlformats.org/officeDocument/2006/relationships/hyperlink" Target="https://drive.google.com/file/d/19anADXghgY5S-kWUO-nW2NEpQtH56L7U/view?usp=drivesdk" TargetMode="External"/><Relationship Id="rId1719" Type="http://schemas.openxmlformats.org/officeDocument/2006/relationships/hyperlink" Target="https://drive.google.com/file/d/1QzI8ZdxbEhXB9hwKgOFYbwMJWyaiMaxC/view?usp=drivesdk" TargetMode="External"/><Relationship Id="rId1700" Type="http://schemas.openxmlformats.org/officeDocument/2006/relationships/hyperlink" Target="https://drive.google.com/file/d/1YHumXxZluag4Ga118HNWatwFyjkLE-Xr/view?usp=drivesdk" TargetMode="External"/><Relationship Id="rId1701" Type="http://schemas.openxmlformats.org/officeDocument/2006/relationships/hyperlink" Target="https://drive.google.com/file/d/1VO-J6VRbB_SDsJJjDeGHgC0oBQy971cq/view?usp=drivesdk" TargetMode="External"/><Relationship Id="rId1702" Type="http://schemas.openxmlformats.org/officeDocument/2006/relationships/hyperlink" Target="https://drive.google.com/file/d/1TPq53uyrTsGTwinOfIsktRBPeiG-ADm4/view?usp=drivesdk" TargetMode="External"/><Relationship Id="rId1703" Type="http://schemas.openxmlformats.org/officeDocument/2006/relationships/hyperlink" Target="https://drive.google.com/file/d/15_joomUfLVqk6dZw61EvEpEW_Ca_pdVV/view?usp=drivesdk" TargetMode="External"/><Relationship Id="rId1704" Type="http://schemas.openxmlformats.org/officeDocument/2006/relationships/hyperlink" Target="https://drive.google.com/file/d/1oo388asE2hbMv7tXdNUTX5-bU_KhvVpa/view?usp=drivesdk" TargetMode="External"/><Relationship Id="rId1705" Type="http://schemas.openxmlformats.org/officeDocument/2006/relationships/hyperlink" Target="https://drive.google.com/file/d/1Kubmz_WLJKfch8vgot_JbEhig_6O1Uv0/view?usp=drivesdk" TargetMode="External"/><Relationship Id="rId1706" Type="http://schemas.openxmlformats.org/officeDocument/2006/relationships/hyperlink" Target="https://drive.google.com/file/d/1aFwXPkEPTjX9c93HsAYiOHzJYJwegVgI/view?usp=drivesdk" TargetMode="External"/><Relationship Id="rId1707" Type="http://schemas.openxmlformats.org/officeDocument/2006/relationships/hyperlink" Target="https://drive.google.com/file/d/1HnF7695H-QF2Jg7pDMeucJUScjG4QUfB/view?usp=drivesdk" TargetMode="External"/><Relationship Id="rId1708" Type="http://schemas.openxmlformats.org/officeDocument/2006/relationships/hyperlink" Target="https://drive.google.com/file/d/1RPN1zQTUnNm9gacLl4CJLDZwe-B44KZP/view?usp=drivesdk" TargetMode="External"/><Relationship Id="rId1709" Type="http://schemas.openxmlformats.org/officeDocument/2006/relationships/hyperlink" Target="https://drive.google.com/file/d/1dT8AmkbqXX5BKpIPEdH5CV_JNd9FES4W/view?usp=drivesdk" TargetMode="External"/><Relationship Id="rId40" Type="http://schemas.openxmlformats.org/officeDocument/2006/relationships/hyperlink" Target="https://drive.google.com/file/d/1mvJIRSUcbyxUc1mpJAcaTK8Y9eimG_29/view?usp=drivesdk" TargetMode="External"/><Relationship Id="rId1334" Type="http://schemas.openxmlformats.org/officeDocument/2006/relationships/hyperlink" Target="https://drive.google.com/file/d/1hZBqvnfaHZ9XnTTzhVq0BrG5AJ6MjVfe/view?usp=drivesdk" TargetMode="External"/><Relationship Id="rId1335" Type="http://schemas.openxmlformats.org/officeDocument/2006/relationships/hyperlink" Target="https://drive.google.com/file/d/1VShE3m7w4F_A8dUIZZXBwYU_8kOYW4OD/view?usp=drivesdk" TargetMode="External"/><Relationship Id="rId42" Type="http://schemas.openxmlformats.org/officeDocument/2006/relationships/hyperlink" Target="https://drive.google.com/file/d/1c1FAFUQKFZP76gLuLyIpJ_VlXT8jnvoV/view?usp=drivesdk" TargetMode="External"/><Relationship Id="rId1336" Type="http://schemas.openxmlformats.org/officeDocument/2006/relationships/hyperlink" Target="https://drive.google.com/file/d/1bzKjLaawIvIkhqjNn1VmdjQNqCTo0E__/view?usp=drivesdk" TargetMode="External"/><Relationship Id="rId41" Type="http://schemas.openxmlformats.org/officeDocument/2006/relationships/hyperlink" Target="https://drive.google.com/file/d/1u3rC9eZp4wRRmrGoKbhasG1rwNlCJ-mq/view?usp=drivesdk" TargetMode="External"/><Relationship Id="rId1337" Type="http://schemas.openxmlformats.org/officeDocument/2006/relationships/hyperlink" Target="https://drive.google.com/file/d/1wBjhJQw7GioaWutfQN-VFUqJLZ-OxSpC/view?usp=drivesdk" TargetMode="External"/><Relationship Id="rId44" Type="http://schemas.openxmlformats.org/officeDocument/2006/relationships/hyperlink" Target="https://drive.google.com/file/d/1SxrI5wQDqr1e-PZxg13Pz2BcDLR0MdjW/view?usp=drivesdk" TargetMode="External"/><Relationship Id="rId1338" Type="http://schemas.openxmlformats.org/officeDocument/2006/relationships/hyperlink" Target="https://drive.google.com/file/d/1zCkO61_dYmtMkPYDTmfl-LMm5vueUklt/view?usp=drivesdk" TargetMode="External"/><Relationship Id="rId43" Type="http://schemas.openxmlformats.org/officeDocument/2006/relationships/hyperlink" Target="https://drive.google.com/file/d/1DxUQdkJKp_X1QtujUWVBE08dSR1lFf6P/view?usp=drivesdk" TargetMode="External"/><Relationship Id="rId1339" Type="http://schemas.openxmlformats.org/officeDocument/2006/relationships/hyperlink" Target="https://drive.google.com/file/d/1NXdcN_KGvE0vghSrLPkEmmX_qRRl10Nx/view?usp=drivesdk" TargetMode="External"/><Relationship Id="rId46" Type="http://schemas.openxmlformats.org/officeDocument/2006/relationships/hyperlink" Target="https://drive.google.com/file/d/1BIW7sAbrkMigxu4Wnnvfj51Pql8qsi7d/view?usp=drivesdk" TargetMode="External"/><Relationship Id="rId45" Type="http://schemas.openxmlformats.org/officeDocument/2006/relationships/hyperlink" Target="https://drive.google.com/file/d/1vPSPOZwoBZJOq43RwybGGIMWDmFzJsay/view?usp=drivesdk" TargetMode="External"/><Relationship Id="rId745" Type="http://schemas.openxmlformats.org/officeDocument/2006/relationships/hyperlink" Target="https://drive.google.com/file/d/1-Ksw10AQo_78aikhSRf6um7KC2-aKY0_/view?usp=drivesdk" TargetMode="External"/><Relationship Id="rId744" Type="http://schemas.openxmlformats.org/officeDocument/2006/relationships/hyperlink" Target="https://drive.google.com/file/d/18fnfNAvNxR-1NBYjL5SWd1byXksM0EV-/view?usp=drivesdk" TargetMode="External"/><Relationship Id="rId743" Type="http://schemas.openxmlformats.org/officeDocument/2006/relationships/hyperlink" Target="https://drive.google.com/file/d/1CkJyceqG81ruRboQe981sOC8hpB5hnGz/view?usp=drivesdk" TargetMode="External"/><Relationship Id="rId742" Type="http://schemas.openxmlformats.org/officeDocument/2006/relationships/hyperlink" Target="https://drive.google.com/file/d/1KOCOGemjORC0PgoqFiJT6i-ux3JxQgVI/view?usp=drivesdk" TargetMode="External"/><Relationship Id="rId749" Type="http://schemas.openxmlformats.org/officeDocument/2006/relationships/hyperlink" Target="https://drive.google.com/file/d/1k_P-RcdYKoZUcd605yxKWhje0OsgMrfr/view?usp=drivesdk" TargetMode="External"/><Relationship Id="rId748" Type="http://schemas.openxmlformats.org/officeDocument/2006/relationships/hyperlink" Target="https://drive.google.com/file/d/1BZNxYODgfCX9IBqwKb-h09VyvJjxq3qe/view?usp=drivesdk" TargetMode="External"/><Relationship Id="rId747" Type="http://schemas.openxmlformats.org/officeDocument/2006/relationships/hyperlink" Target="https://drive.google.com/file/d/1alZ9tTf-VVTj0HwKPE_gKMGRjjEbklo6/view?usp=drivesdk" TargetMode="External"/><Relationship Id="rId746" Type="http://schemas.openxmlformats.org/officeDocument/2006/relationships/hyperlink" Target="https://drive.google.com/file/d/1lzUbLenJWvjapzuVKpTIKmzNbANPsker/view?usp=drivesdk" TargetMode="External"/><Relationship Id="rId48" Type="http://schemas.openxmlformats.org/officeDocument/2006/relationships/hyperlink" Target="https://drive.google.com/file/d/1RHN_Ic6X9luWJY5nsWYONe6D2KLM5E8h/view?usp=drivesdk" TargetMode="External"/><Relationship Id="rId47" Type="http://schemas.openxmlformats.org/officeDocument/2006/relationships/hyperlink" Target="https://drive.google.com/file/d/1j7ZNTEWdCEj5nOcnH27LYoTNjsGxVbQ8/view?usp=drivesdk" TargetMode="External"/><Relationship Id="rId49" Type="http://schemas.openxmlformats.org/officeDocument/2006/relationships/hyperlink" Target="https://drive.google.com/file/d/1J8J9iMVbzgRz2Jb3THH8KGDmWd0wTlAP/view?usp=drivesdk" TargetMode="External"/><Relationship Id="rId741" Type="http://schemas.openxmlformats.org/officeDocument/2006/relationships/hyperlink" Target="https://drive.google.com/file/d/15dbPgZgXO6rcLiafOXsVSiIvUeGoaBDB/view?usp=drivesdk" TargetMode="External"/><Relationship Id="rId1330" Type="http://schemas.openxmlformats.org/officeDocument/2006/relationships/hyperlink" Target="https://drive.google.com/file/d/1B8XFFcZu6vFyfp7R08mF8fBpn0NGmWe1/view?usp=drivesdk" TargetMode="External"/><Relationship Id="rId740" Type="http://schemas.openxmlformats.org/officeDocument/2006/relationships/hyperlink" Target="https://drive.google.com/file/d/1goR8BSslMFa3-O_NgQzrcYgK_TgZP6Nx/view?usp=drivesdk" TargetMode="External"/><Relationship Id="rId1331" Type="http://schemas.openxmlformats.org/officeDocument/2006/relationships/hyperlink" Target="https://drive.google.com/file/d/1JXIb9XNZ8gVpsh2mPlCyorNvUmlAInzu/view?usp=drivesdk" TargetMode="External"/><Relationship Id="rId1332" Type="http://schemas.openxmlformats.org/officeDocument/2006/relationships/hyperlink" Target="https://drive.google.com/file/d/1WMyPceEISfCeJtWsIkdGOZ9WrbPwbR_N/view?usp=drivesdk" TargetMode="External"/><Relationship Id="rId1333" Type="http://schemas.openxmlformats.org/officeDocument/2006/relationships/hyperlink" Target="https://drive.google.com/file/d/1gFZb-ZdnPmvNkHa9wUg6ynFl22X8-Itb/view?usp=drivesdk" TargetMode="External"/><Relationship Id="rId1323" Type="http://schemas.openxmlformats.org/officeDocument/2006/relationships/hyperlink" Target="https://drive.google.com/file/d/1-14KZLu6Qa6Curgf3aPfapK68DusWuyJ/view?usp=drivesdk" TargetMode="External"/><Relationship Id="rId1324" Type="http://schemas.openxmlformats.org/officeDocument/2006/relationships/hyperlink" Target="https://drive.google.com/file/d/1K1gbWLWzu3r1yxN5JhVLzBhG6ByMv8w3/view?usp=drivesdk" TargetMode="External"/><Relationship Id="rId31" Type="http://schemas.openxmlformats.org/officeDocument/2006/relationships/hyperlink" Target="https://drive.google.com/file/d/1UBw5jTOaklHsdO1ahX-AL8_AaOMinTs1/view?usp=drivesdk" TargetMode="External"/><Relationship Id="rId1325" Type="http://schemas.openxmlformats.org/officeDocument/2006/relationships/hyperlink" Target="https://drive.google.com/file/d/1iobq532BaDpymdj1T4BlZuwhEM4NaGlk/view?usp=drivesdk" TargetMode="External"/><Relationship Id="rId30" Type="http://schemas.openxmlformats.org/officeDocument/2006/relationships/hyperlink" Target="https://drive.google.com/file/d/1HB1ZaYv25qpyWgAR-O_vwGL96oEktVLL/view?usp=drivesdk" TargetMode="External"/><Relationship Id="rId1326" Type="http://schemas.openxmlformats.org/officeDocument/2006/relationships/hyperlink" Target="https://drive.google.com/file/d/14u4x_cnoVaK99QAdRUUR3xlEnU7GRmtm/view?usp=drivesdk" TargetMode="External"/><Relationship Id="rId33" Type="http://schemas.openxmlformats.org/officeDocument/2006/relationships/hyperlink" Target="https://drive.google.com/file/d/1li96Bj3nuA_QVIqQkKtWSGVkEz4Wpg4R/view?usp=drivesdk" TargetMode="External"/><Relationship Id="rId1327" Type="http://schemas.openxmlformats.org/officeDocument/2006/relationships/hyperlink" Target="https://drive.google.com/file/d/1xy8HgJDyEEui3QLRyshrsKAbWXCQepuF/view?usp=drivesdk" TargetMode="External"/><Relationship Id="rId32" Type="http://schemas.openxmlformats.org/officeDocument/2006/relationships/hyperlink" Target="https://drive.google.com/file/d/1sPmFd9zuyEZtS69p1Ocar_Os0RD6A9r7/view?usp=drivesdk" TargetMode="External"/><Relationship Id="rId1328" Type="http://schemas.openxmlformats.org/officeDocument/2006/relationships/hyperlink" Target="https://drive.google.com/file/d/1m3i5rzHiLjt14KyE0CViIoHRdGhumnE9/view?usp=drivesdk" TargetMode="External"/><Relationship Id="rId35" Type="http://schemas.openxmlformats.org/officeDocument/2006/relationships/hyperlink" Target="https://drive.google.com/file/d/1kRg3AgRuNeTBQRm2C8zCXqOI0wNVyrr_/view?usp=drivesdk" TargetMode="External"/><Relationship Id="rId1329" Type="http://schemas.openxmlformats.org/officeDocument/2006/relationships/hyperlink" Target="https://drive.google.com/file/d/1bxooI-Rc03Ty5b4A5KLzO-8kjnamMAf1/view?usp=drivesdk" TargetMode="External"/><Relationship Id="rId34" Type="http://schemas.openxmlformats.org/officeDocument/2006/relationships/hyperlink" Target="https://drive.google.com/file/d/1A9gNFnW6XVpTjcXdGVqWWJW0MzLJ5Jcz/view?usp=drivesdk" TargetMode="External"/><Relationship Id="rId739" Type="http://schemas.openxmlformats.org/officeDocument/2006/relationships/hyperlink" Target="https://drive.google.com/file/d/14NPbAz-hpNHTfl5xIryB5gpjd4D6IiYi/view?usp=drivesdk" TargetMode="External"/><Relationship Id="rId734" Type="http://schemas.openxmlformats.org/officeDocument/2006/relationships/hyperlink" Target="https://drive.google.com/file/d/1J_fI_KTTStLZ1EXq5yeEYuQaeHqDBtbk/view?usp=drivesdk" TargetMode="External"/><Relationship Id="rId733" Type="http://schemas.openxmlformats.org/officeDocument/2006/relationships/hyperlink" Target="https://drive.google.com/file/d/10BDdwkIAeksRQkwDxirikIgy27wxn09R/view?usp=drivesdk" TargetMode="External"/><Relationship Id="rId732" Type="http://schemas.openxmlformats.org/officeDocument/2006/relationships/hyperlink" Target="https://drive.google.com/file/d/1G2SiD23PPeSWGpMyE_0yWnlto6GClhIH/view?usp=drivesdk" TargetMode="External"/><Relationship Id="rId731" Type="http://schemas.openxmlformats.org/officeDocument/2006/relationships/hyperlink" Target="https://drive.google.com/file/d/1Xu4rm45HyVeBZRghHX4FZAMJRWgofjIJ/view?usp=drivesdk" TargetMode="External"/><Relationship Id="rId738" Type="http://schemas.openxmlformats.org/officeDocument/2006/relationships/hyperlink" Target="https://drive.google.com/file/d/1BBhoGA4uYz4Ek5ohL1ON4chU3mbjZPw5/view?usp=drivesdk" TargetMode="External"/><Relationship Id="rId737" Type="http://schemas.openxmlformats.org/officeDocument/2006/relationships/hyperlink" Target="https://drive.google.com/file/d/1nv60LENdh0epZIY3sOANo50sTaDvn-Hf/view?usp=drivesdk" TargetMode="External"/><Relationship Id="rId736" Type="http://schemas.openxmlformats.org/officeDocument/2006/relationships/hyperlink" Target="https://drive.google.com/file/d/1YU3Ki5hRMpZTfanLmHHB0sbP7MEfUbfv/view?usp=drivesdk" TargetMode="External"/><Relationship Id="rId735" Type="http://schemas.openxmlformats.org/officeDocument/2006/relationships/hyperlink" Target="https://drive.google.com/file/d/1G9Aa7XWmeDjChXqgKp7NBfHALvnQEibo/view?usp=drivesdk" TargetMode="External"/><Relationship Id="rId37" Type="http://schemas.openxmlformats.org/officeDocument/2006/relationships/hyperlink" Target="https://drive.google.com/file/d/1YVAHhnV9KSwaejFKErWKK_YKWFV6FjHB/view?usp=drivesdk" TargetMode="External"/><Relationship Id="rId36" Type="http://schemas.openxmlformats.org/officeDocument/2006/relationships/hyperlink" Target="https://drive.google.com/file/d/17FaOJ3NAbRIeCkdALQS715nFDSARP_Dv/view?usp=drivesdk" TargetMode="External"/><Relationship Id="rId39" Type="http://schemas.openxmlformats.org/officeDocument/2006/relationships/hyperlink" Target="https://drive.google.com/file/d/1CR51Bap8tLO8uKW2a5IcUY47Mj4qYQev/view?usp=drivesdk" TargetMode="External"/><Relationship Id="rId38" Type="http://schemas.openxmlformats.org/officeDocument/2006/relationships/hyperlink" Target="https://drive.google.com/file/d/1IAYauvJOo8jNSGHmaDxiCzSFqWwHJX8Q/view?usp=drivesdk" TargetMode="External"/><Relationship Id="rId730" Type="http://schemas.openxmlformats.org/officeDocument/2006/relationships/hyperlink" Target="https://drive.google.com/file/d/15PKqnEXXPkJtudDFVpaGaaEh6m5IAz7X/view?usp=drivesdk" TargetMode="External"/><Relationship Id="rId1320" Type="http://schemas.openxmlformats.org/officeDocument/2006/relationships/hyperlink" Target="https://drive.google.com/file/d/1zLfxYpTCKgKBZNeWuOMprMUibBtt7huR/view?usp=drivesdk" TargetMode="External"/><Relationship Id="rId1321" Type="http://schemas.openxmlformats.org/officeDocument/2006/relationships/hyperlink" Target="https://drive.google.com/file/d/1L_jqHK37c0BBduEFuHJCqV7so3ApE8lZ/view?usp=drivesdk" TargetMode="External"/><Relationship Id="rId1322" Type="http://schemas.openxmlformats.org/officeDocument/2006/relationships/hyperlink" Target="https://drive.google.com/file/d/1Wbd5ZBbszbXqROleI4D_aQeBDtZ3iKS1/view?usp=drivesdk" TargetMode="External"/><Relationship Id="rId1356" Type="http://schemas.openxmlformats.org/officeDocument/2006/relationships/hyperlink" Target="https://drive.google.com/file/d/1A6ivIwxlaLNJJyLr2qI6PHjmJxs2auhk/view?usp=drivesdk" TargetMode="External"/><Relationship Id="rId2203" Type="http://schemas.openxmlformats.org/officeDocument/2006/relationships/hyperlink" Target="https://drive.google.com/file/d/1isaIAw6aMtdmOw9i7y13hPklNl6Zs5kv/view?usp=drivesdk" TargetMode="External"/><Relationship Id="rId1357" Type="http://schemas.openxmlformats.org/officeDocument/2006/relationships/hyperlink" Target="https://drive.google.com/file/d/1uykDGrNKkC_1MkbNd2kf7Lny6N3B885q/view?usp=drivesdk" TargetMode="External"/><Relationship Id="rId2204" Type="http://schemas.openxmlformats.org/officeDocument/2006/relationships/hyperlink" Target="https://drive.google.com/file/d/1xj61KRL92l16-YSCwBqxp-rCFg_v2-Z8/view?usp=drivesdk" TargetMode="External"/><Relationship Id="rId20" Type="http://schemas.openxmlformats.org/officeDocument/2006/relationships/hyperlink" Target="https://drive.google.com/file/d/1w9RWQXI6NTUsRMmhZFFb1rfCwGdK76-m/view?usp=drivesdk" TargetMode="External"/><Relationship Id="rId1358" Type="http://schemas.openxmlformats.org/officeDocument/2006/relationships/hyperlink" Target="https://drive.google.com/file/d/1gdk5oUExFgty-m0YbLob7Z3-BVLvjZaz/view?usp=drivesdk" TargetMode="External"/><Relationship Id="rId2205" Type="http://schemas.openxmlformats.org/officeDocument/2006/relationships/hyperlink" Target="https://drive.google.com/file/d/1FTmVgxRrEPT9P-LxY5sLyenrKVPgJDhJ/view?usp=drivesdk" TargetMode="External"/><Relationship Id="rId1359" Type="http://schemas.openxmlformats.org/officeDocument/2006/relationships/hyperlink" Target="https://drive.google.com/file/d/1c7nEOMWu7U9Qtmz9Yr5iA0WhiZtSwRrl/view?usp=drivesdk" TargetMode="External"/><Relationship Id="rId2206" Type="http://schemas.openxmlformats.org/officeDocument/2006/relationships/hyperlink" Target="https://drive.google.com/file/d/1Txb0VF-cy4FdnS_p_7aK9bLJYKaQtD2B/view?usp=drivesdk" TargetMode="External"/><Relationship Id="rId22" Type="http://schemas.openxmlformats.org/officeDocument/2006/relationships/hyperlink" Target="https://drive.google.com/file/d/1zEQVzpx4cZS6lnMXNzK-U8JL1d2gtgH6/view?usp=drivesdk" TargetMode="External"/><Relationship Id="rId2207" Type="http://schemas.openxmlformats.org/officeDocument/2006/relationships/hyperlink" Target="https://drive.google.com/file/d/1lM8yx2hmKXAoRGBqYUZIZGC9lOLVi-9C/view?usp=drivesdk" TargetMode="External"/><Relationship Id="rId21" Type="http://schemas.openxmlformats.org/officeDocument/2006/relationships/hyperlink" Target="https://drive.google.com/file/d/1VJ70yS0FwRKCIBVyf3FYaYdnn515Dxdd/view?usp=drivesdk" TargetMode="External"/><Relationship Id="rId2208" Type="http://schemas.openxmlformats.org/officeDocument/2006/relationships/hyperlink" Target="https://drive.google.com/file/d/1exwL6qjWA4RTGHFji_t1xbMVSVk4IdId/view?usp=drivesdk" TargetMode="External"/><Relationship Id="rId24" Type="http://schemas.openxmlformats.org/officeDocument/2006/relationships/hyperlink" Target="https://drive.google.com/file/d/1Z7eebrV38Re1z43kWqABVTWDmrAphOlE/view?usp=drivesdk" TargetMode="External"/><Relationship Id="rId2209" Type="http://schemas.openxmlformats.org/officeDocument/2006/relationships/hyperlink" Target="https://drive.google.com/file/d/19O-s4jHigDzMOHPCGWgSP3HbLeZa0hFo/view?usp=drivesdk" TargetMode="External"/><Relationship Id="rId23" Type="http://schemas.openxmlformats.org/officeDocument/2006/relationships/hyperlink" Target="https://drive.google.com/file/d/1mhc6XpLuponHB68C2U4_ZOSYCT2_iPuu/view?usp=drivesdk" TargetMode="External"/><Relationship Id="rId767" Type="http://schemas.openxmlformats.org/officeDocument/2006/relationships/hyperlink" Target="https://drive.google.com/file/d/1uXdWRSMzEvIKJp6DeER1BtlLBzROY20a/view?usp=drivesdk" TargetMode="External"/><Relationship Id="rId766" Type="http://schemas.openxmlformats.org/officeDocument/2006/relationships/hyperlink" Target="https://drive.google.com/file/d/1PMzxC8wHYYgpK-mr_2n9QRoh-A8tPMA-/view?usp=drivesdk" TargetMode="External"/><Relationship Id="rId765" Type="http://schemas.openxmlformats.org/officeDocument/2006/relationships/hyperlink" Target="https://drive.google.com/file/d/1Apcv4IhrN4nmoZUm-QNGSl1fazlouqCo/view?usp=drivesdk" TargetMode="External"/><Relationship Id="rId764" Type="http://schemas.openxmlformats.org/officeDocument/2006/relationships/hyperlink" Target="https://drive.google.com/file/d/13TQyQtSbGthxA3o8lKLC7MEbE7pBUp1T/view?usp=drivesdk" TargetMode="External"/><Relationship Id="rId769" Type="http://schemas.openxmlformats.org/officeDocument/2006/relationships/hyperlink" Target="https://drive.google.com/file/d/1zGN7i6RD-P6TcWAwyFp58Oup862iD8bM/view?usp=drivesdk" TargetMode="External"/><Relationship Id="rId768" Type="http://schemas.openxmlformats.org/officeDocument/2006/relationships/hyperlink" Target="https://drive.google.com/file/d/18Z-olwiucjeLD1PmnT0VPh0XKnQ6lrPX/view?usp=drivesdk" TargetMode="External"/><Relationship Id="rId26" Type="http://schemas.openxmlformats.org/officeDocument/2006/relationships/hyperlink" Target="https://drive.google.com/file/d/1nOX0w6zt4A3JxwBjy1KPStofSQ0NPN9f/view?usp=drivesdk" TargetMode="External"/><Relationship Id="rId25" Type="http://schemas.openxmlformats.org/officeDocument/2006/relationships/hyperlink" Target="https://drive.google.com/file/d/1yalv6Vmt7U-vY-xlfjCfXXNtveH6zwTy/view?usp=drivesdk" TargetMode="External"/><Relationship Id="rId28" Type="http://schemas.openxmlformats.org/officeDocument/2006/relationships/hyperlink" Target="https://drive.google.com/file/d/1Kab0h5n55GuqB7yr4HwhPvZb9ZteWr5Y/view?usp=drivesdk" TargetMode="External"/><Relationship Id="rId1350" Type="http://schemas.openxmlformats.org/officeDocument/2006/relationships/hyperlink" Target="https://drive.google.com/file/d/1zh6a1NdR28cVjmg06HBMgvqbSpvvZ4NR/view?usp=drivesdk" TargetMode="External"/><Relationship Id="rId27" Type="http://schemas.openxmlformats.org/officeDocument/2006/relationships/hyperlink" Target="https://drive.google.com/file/d/1QcmQWvg0iYNaLAvtbqpR0wzgSIuz34FN/view?usp=drivesdk" TargetMode="External"/><Relationship Id="rId1351" Type="http://schemas.openxmlformats.org/officeDocument/2006/relationships/hyperlink" Target="https://drive.google.com/file/d/1IXQ_3yfG_0n0G1CxOYWA6Ds81JPoOCYj/view?usp=drivesdk" TargetMode="External"/><Relationship Id="rId763" Type="http://schemas.openxmlformats.org/officeDocument/2006/relationships/hyperlink" Target="https://drive.google.com/file/d/1yAO5Q9AvLRgsUtorDcb9Or-43Vbpa5n2/view?usp=drivesdk" TargetMode="External"/><Relationship Id="rId1352" Type="http://schemas.openxmlformats.org/officeDocument/2006/relationships/hyperlink" Target="https://drive.google.com/file/d/1hf4pZHvcpa2lxg7fLBPdrdHVB1RMSKMu/view?usp=drivesdk" TargetMode="External"/><Relationship Id="rId29" Type="http://schemas.openxmlformats.org/officeDocument/2006/relationships/hyperlink" Target="https://drive.google.com/file/d/1EcUrAALBBppNtdoUuC-k5QLh5urjggXj/view?usp=drivesdk" TargetMode="External"/><Relationship Id="rId762" Type="http://schemas.openxmlformats.org/officeDocument/2006/relationships/hyperlink" Target="https://drive.google.com/file/d/1_wnHWsZ2oyaiG1gWB0nKGV5H8G4rpZCl/view?usp=drivesdk" TargetMode="External"/><Relationship Id="rId1353" Type="http://schemas.openxmlformats.org/officeDocument/2006/relationships/hyperlink" Target="https://drive.google.com/file/d/1uwocSKMQwMBqTCmxD5O6ZVrQUaym9-65/view?usp=drivesdk" TargetMode="External"/><Relationship Id="rId2200" Type="http://schemas.openxmlformats.org/officeDocument/2006/relationships/hyperlink" Target="https://drive.google.com/file/d/1BiZTVrAVuvCBhOz3uF0VFZpitA3pcxod/view?usp=drivesdk" TargetMode="External"/><Relationship Id="rId761" Type="http://schemas.openxmlformats.org/officeDocument/2006/relationships/hyperlink" Target="https://drive.google.com/file/d/10R80ghwxf2sA2B3VRLcn4ab296Qn3niP/view?usp=drivesdk" TargetMode="External"/><Relationship Id="rId1354" Type="http://schemas.openxmlformats.org/officeDocument/2006/relationships/hyperlink" Target="https://drive.google.com/file/d/1QZdzQ9iM9z3TtEE2eCKEPBNnHztFgfK7/view?usp=drivesdk" TargetMode="External"/><Relationship Id="rId2201" Type="http://schemas.openxmlformats.org/officeDocument/2006/relationships/hyperlink" Target="https://drive.google.com/file/d/15bi-M_SlLthoE8vGTnucWHDYkKdNzOlW/view?usp=drivesdk" TargetMode="External"/><Relationship Id="rId760" Type="http://schemas.openxmlformats.org/officeDocument/2006/relationships/hyperlink" Target="https://drive.google.com/file/d/1Rnh4uDQBnyzf4nhKq3Tui6Si5OU88N6x/view?usp=drivesdk" TargetMode="External"/><Relationship Id="rId1355" Type="http://schemas.openxmlformats.org/officeDocument/2006/relationships/hyperlink" Target="https://drive.google.com/file/d/1IajQLgQ2clj-k0uq9XES6w4hqLBCqWwQ/view?usp=drivesdk" TargetMode="External"/><Relationship Id="rId2202" Type="http://schemas.openxmlformats.org/officeDocument/2006/relationships/hyperlink" Target="https://drive.google.com/file/d/18GO-1UJSIbI3G5tya9vUemVzpBQo-7vB/view?usp=drivesdk" TargetMode="External"/><Relationship Id="rId1345" Type="http://schemas.openxmlformats.org/officeDocument/2006/relationships/hyperlink" Target="https://drive.google.com/file/d/1F5bwCmOmqVnGGntophM8xjrXdse0coua/view?usp=drivesdk" TargetMode="External"/><Relationship Id="rId1346" Type="http://schemas.openxmlformats.org/officeDocument/2006/relationships/hyperlink" Target="https://drive.google.com/file/d/1wXBoA9fnqVTv_ItLMgXKHcmzaedNuUOJ/view?usp=drivesdk" TargetMode="External"/><Relationship Id="rId1347" Type="http://schemas.openxmlformats.org/officeDocument/2006/relationships/hyperlink" Target="https://drive.google.com/file/d/123F9a5kIztKrt_dkYud0hSQM8Mj3sUDe/view?usp=drivesdk" TargetMode="External"/><Relationship Id="rId1348" Type="http://schemas.openxmlformats.org/officeDocument/2006/relationships/hyperlink" Target="https://drive.google.com/file/d/1EpxRVbschcu2aYvGIf_e9ZjCQctcoCxR/view?usp=drivesdk" TargetMode="External"/><Relationship Id="rId11" Type="http://schemas.openxmlformats.org/officeDocument/2006/relationships/hyperlink" Target="https://drive.google.com/file/d/1Bw0ir7_xn-UwUNML0Ki5EQH4mWXIkgZ6/view?usp=drivesdk" TargetMode="External"/><Relationship Id="rId1349" Type="http://schemas.openxmlformats.org/officeDocument/2006/relationships/hyperlink" Target="https://drive.google.com/file/d/1jZwtDOl7YK8nxfB0se6QfSGscMxkIs1n/view?usp=drivesdk" TargetMode="External"/><Relationship Id="rId10" Type="http://schemas.openxmlformats.org/officeDocument/2006/relationships/hyperlink" Target="https://drive.google.com/file/d/1qNgnh2mvb8et_uGVhPgRi8eiCyZO-Dyi/view?usp=drivesdk" TargetMode="External"/><Relationship Id="rId13" Type="http://schemas.openxmlformats.org/officeDocument/2006/relationships/hyperlink" Target="https://drive.google.com/file/d/1VrpN60upC1JV1dqVjo-ldn2sTTkJ3H-y/view?usp=drivesdk" TargetMode="External"/><Relationship Id="rId12" Type="http://schemas.openxmlformats.org/officeDocument/2006/relationships/hyperlink" Target="https://drive.google.com/file/d/1fjbhy9rbJ0WAbPI9fl_k_Ux6D4Hsb1v8/view?usp=drivesdk" TargetMode="External"/><Relationship Id="rId756" Type="http://schemas.openxmlformats.org/officeDocument/2006/relationships/hyperlink" Target="https://drive.google.com/file/d/1APHUx9lFi3wFNqaG3m4d4VEHm0Xl6-bY/view?usp=drivesdk" TargetMode="External"/><Relationship Id="rId755" Type="http://schemas.openxmlformats.org/officeDocument/2006/relationships/hyperlink" Target="https://drive.google.com/file/d/1gE7_vAy6LA0qVg1B5KUyEvAboMoOOkng/view?usp=drivesdk" TargetMode="External"/><Relationship Id="rId754" Type="http://schemas.openxmlformats.org/officeDocument/2006/relationships/hyperlink" Target="https://drive.google.com/file/d/1I_46uNjjaLHwD2wTwkUSyfxgfx3J75Tt/view?usp=drivesdk" TargetMode="External"/><Relationship Id="rId753" Type="http://schemas.openxmlformats.org/officeDocument/2006/relationships/hyperlink" Target="https://drive.google.com/file/d/1L_9kzN4Vev6GSuzwoUpN1KHw5sfaKWeb/view?usp=drivesdk" TargetMode="External"/><Relationship Id="rId759" Type="http://schemas.openxmlformats.org/officeDocument/2006/relationships/hyperlink" Target="https://drive.google.com/file/d/16YLne6e_QxqnDt5W1l66pUpk6jENQx-R/view?usp=drivesdk" TargetMode="External"/><Relationship Id="rId758" Type="http://schemas.openxmlformats.org/officeDocument/2006/relationships/hyperlink" Target="https://drive.google.com/file/d/1o6EZ4miDgILhYCWGINPHG-ueaOnk5vkS/view?usp=drivesdk" TargetMode="External"/><Relationship Id="rId757" Type="http://schemas.openxmlformats.org/officeDocument/2006/relationships/hyperlink" Target="https://drive.google.com/file/d/1J3NMzZz-FEV5eqNhV0gJJ9S_GMDuu2MJ/view?usp=drivesdk" TargetMode="External"/><Relationship Id="rId15" Type="http://schemas.openxmlformats.org/officeDocument/2006/relationships/hyperlink" Target="https://drive.google.com/file/d/1xN5h-aKnPBi-e_A6p1zeKUJYxokSlTw9/view?usp=drivesdk" TargetMode="External"/><Relationship Id="rId14" Type="http://schemas.openxmlformats.org/officeDocument/2006/relationships/hyperlink" Target="https://drive.google.com/file/d/1W_A3lltarDGxsKtJCIUypkvYQPGWMdtC/view?usp=drivesdk" TargetMode="External"/><Relationship Id="rId17" Type="http://schemas.openxmlformats.org/officeDocument/2006/relationships/hyperlink" Target="https://drive.google.com/file/d/1dn2ItSJ38V-4bl_eu6Bl_2PZJy8reqI9/view?usp=drivesdk" TargetMode="External"/><Relationship Id="rId16" Type="http://schemas.openxmlformats.org/officeDocument/2006/relationships/hyperlink" Target="https://drive.google.com/file/d/1qp9ToK3a-H0_A7r6zD4e7xH-cUKMb0ig/view?usp=drivesdk" TargetMode="External"/><Relationship Id="rId1340" Type="http://schemas.openxmlformats.org/officeDocument/2006/relationships/hyperlink" Target="https://drive.google.com/file/d/1ALLVu_qIbdsqRTr_4bv-zGadzcTdMpQF/view?usp=drivesdk" TargetMode="External"/><Relationship Id="rId19" Type="http://schemas.openxmlformats.org/officeDocument/2006/relationships/hyperlink" Target="https://drive.google.com/file/d/1IHxNllGP7TWk99XJwcBKa1wG8yvEEw2l/view?usp=drivesdk" TargetMode="External"/><Relationship Id="rId752" Type="http://schemas.openxmlformats.org/officeDocument/2006/relationships/hyperlink" Target="https://drive.google.com/file/d/1K04uXo_2IOiHhv9R_ky3RygUjQQ_M1SK/view?usp=drivesdk" TargetMode="External"/><Relationship Id="rId1341" Type="http://schemas.openxmlformats.org/officeDocument/2006/relationships/hyperlink" Target="https://drive.google.com/file/d/18d16C1eYUu5WX5l8eDM0gffo5N_iCCFv/view?usp=drivesdk" TargetMode="External"/><Relationship Id="rId18" Type="http://schemas.openxmlformats.org/officeDocument/2006/relationships/hyperlink" Target="https://drive.google.com/file/d/1YN5NjFXEFLRoLv2qwosBzXsEfaOOGeRh/view?usp=drivesdk" TargetMode="External"/><Relationship Id="rId751" Type="http://schemas.openxmlformats.org/officeDocument/2006/relationships/hyperlink" Target="https://drive.google.com/file/d/1KDX43YTSdVDPgdEaXn0X8m5AvcKniKKr/view?usp=drivesdk" TargetMode="External"/><Relationship Id="rId1342" Type="http://schemas.openxmlformats.org/officeDocument/2006/relationships/hyperlink" Target="https://drive.google.com/file/d/1h8yPXuIBDeCv8zbyHewkgd_J4VITxVVO/view?usp=drivesdk" TargetMode="External"/><Relationship Id="rId750" Type="http://schemas.openxmlformats.org/officeDocument/2006/relationships/hyperlink" Target="https://drive.google.com/file/d/1iVhvwHEQ9EtfN1iUfU3PSlUXj0QEEOIb/view?usp=drivesdk" TargetMode="External"/><Relationship Id="rId1343" Type="http://schemas.openxmlformats.org/officeDocument/2006/relationships/hyperlink" Target="https://drive.google.com/file/d/1lg4vK1nurSgmxX6ZJV1kiN3Bf2MgJ3BG/view?usp=drivesdk" TargetMode="External"/><Relationship Id="rId1344" Type="http://schemas.openxmlformats.org/officeDocument/2006/relationships/hyperlink" Target="https://drive.google.com/file/d/1Vb-Wz3gjh4KyETzY65l89O4Z5OQvQj9K/view?usp=drivesdk" TargetMode="External"/><Relationship Id="rId84" Type="http://schemas.openxmlformats.org/officeDocument/2006/relationships/hyperlink" Target="https://drive.google.com/file/d/1JVeKZZedTVBXOY9oxXoYTarOKDRYFQcS/view?usp=drivesdk" TargetMode="External"/><Relationship Id="rId1774" Type="http://schemas.openxmlformats.org/officeDocument/2006/relationships/hyperlink" Target="https://drive.google.com/file/d/1TlDkSZei2D0Ic3jy1wiM7bmBW_BtepVZ/view?usp=drivesdk" TargetMode="External"/><Relationship Id="rId83" Type="http://schemas.openxmlformats.org/officeDocument/2006/relationships/hyperlink" Target="https://drive.google.com/file/d/1A_SmvKmDfOl8l4fBpBvzPLsjHgK1qGU1/view?usp=drivesdk" TargetMode="External"/><Relationship Id="rId1775" Type="http://schemas.openxmlformats.org/officeDocument/2006/relationships/hyperlink" Target="https://drive.google.com/file/d/1RPNwuWo9tvjwB48lGZr46izpGSDSfD8j/view?usp=drivesdk" TargetMode="External"/><Relationship Id="rId86" Type="http://schemas.openxmlformats.org/officeDocument/2006/relationships/hyperlink" Target="https://drive.google.com/file/d/1yOkmYyXkWKeVkL8T8T7VC2XhgxZifhFa/view?usp=drivesdk" TargetMode="External"/><Relationship Id="rId1776" Type="http://schemas.openxmlformats.org/officeDocument/2006/relationships/hyperlink" Target="https://drive.google.com/file/d/18Qqr0V5uLViqvgPHibYbCHV26-laDFNM/view?usp=drivesdk" TargetMode="External"/><Relationship Id="rId85" Type="http://schemas.openxmlformats.org/officeDocument/2006/relationships/hyperlink" Target="https://drive.google.com/file/d/1MryL-cMOQKioabtce5E3piPvQYDviVAx/view?usp=drivesdk" TargetMode="External"/><Relationship Id="rId1777" Type="http://schemas.openxmlformats.org/officeDocument/2006/relationships/hyperlink" Target="https://drive.google.com/file/d/1Ab-GgttHv5_8pBhjh57qXL4ozx-2SX0R/view?usp=drivesdk" TargetMode="External"/><Relationship Id="rId88" Type="http://schemas.openxmlformats.org/officeDocument/2006/relationships/hyperlink" Target="https://drive.google.com/file/d/1jKoII1zUY-phlkLX4WGMmI94VCr-wyeS/view?usp=drivesdk" TargetMode="External"/><Relationship Id="rId1778" Type="http://schemas.openxmlformats.org/officeDocument/2006/relationships/hyperlink" Target="https://drive.google.com/file/d/1dtB7gqGe3W4KMleAw-nycbHx-8FnJUyn/view?usp=drivesdk" TargetMode="External"/><Relationship Id="rId87" Type="http://schemas.openxmlformats.org/officeDocument/2006/relationships/hyperlink" Target="https://drive.google.com/file/d/1KuyX4bEEV8PfETBLX5kysK-XsyhNNPDl/view?usp=drivesdk" TargetMode="External"/><Relationship Id="rId1779" Type="http://schemas.openxmlformats.org/officeDocument/2006/relationships/hyperlink" Target="https://drive.google.com/file/d/1pfl1w1ZKa5juWBXhtK6khhZwY_pDcnqP/view?usp=drivesdk" TargetMode="External"/><Relationship Id="rId89" Type="http://schemas.openxmlformats.org/officeDocument/2006/relationships/hyperlink" Target="https://drive.google.com/file/d/18k51OsIiKGK-83B_Dpc21DVDUPlUJusT/view?usp=drivesdk" TargetMode="External"/><Relationship Id="rId709" Type="http://schemas.openxmlformats.org/officeDocument/2006/relationships/hyperlink" Target="https://drive.google.com/file/d/1oUvU5zGgQtzj8GMWMLHNVZP3LO1a9jqm/view?usp=drivesdk" TargetMode="External"/><Relationship Id="rId708" Type="http://schemas.openxmlformats.org/officeDocument/2006/relationships/hyperlink" Target="https://drive.google.com/file/d/102_mnPA2m8mxcz99S1NNnL1S4ie6tWJE/view?usp=drivesdk" TargetMode="External"/><Relationship Id="rId707" Type="http://schemas.openxmlformats.org/officeDocument/2006/relationships/hyperlink" Target="https://drive.google.com/file/d/1XGjV1zzGeO39V5P1BHcptzXriJWfi160/view?usp=drivesdk" TargetMode="External"/><Relationship Id="rId706" Type="http://schemas.openxmlformats.org/officeDocument/2006/relationships/hyperlink" Target="https://drive.google.com/file/d/1m6mH3bWGTgoPm4ZizdyTSo1iDrxvSA81/view?usp=drivesdk" TargetMode="External"/><Relationship Id="rId80" Type="http://schemas.openxmlformats.org/officeDocument/2006/relationships/hyperlink" Target="https://drive.google.com/file/d/1eG12qX-GLR3GxIT7rHXaEEiW0SLAj3SQ/view?usp=drivesdk" TargetMode="External"/><Relationship Id="rId82" Type="http://schemas.openxmlformats.org/officeDocument/2006/relationships/hyperlink" Target="https://drive.google.com/file/d/1YWqyu4fEof2gazfiNk73tHkCsi5ooEDN/view?usp=drivesdk" TargetMode="External"/><Relationship Id="rId81" Type="http://schemas.openxmlformats.org/officeDocument/2006/relationships/hyperlink" Target="https://drive.google.com/file/d/1Q--k1I1NG9XvR4iUPAhxQIbPjixdij0Z/view?usp=drivesdk" TargetMode="External"/><Relationship Id="rId701" Type="http://schemas.openxmlformats.org/officeDocument/2006/relationships/hyperlink" Target="https://drive.google.com/file/d/12cSpSSow4BfITnYSpA_tX1httDRabjxB/view?usp=drivesdk" TargetMode="External"/><Relationship Id="rId700" Type="http://schemas.openxmlformats.org/officeDocument/2006/relationships/hyperlink" Target="https://drive.google.com/file/d/1ENtwSu0kVADRZJ7fJacqR_wVfhc1bFtp/view?usp=drivesdk" TargetMode="External"/><Relationship Id="rId705" Type="http://schemas.openxmlformats.org/officeDocument/2006/relationships/hyperlink" Target="https://drive.google.com/file/d/1dCkzmw7wmO9lbS0zY26uPHfv4jzn-jIO/view?usp=drivesdk" TargetMode="External"/><Relationship Id="rId704" Type="http://schemas.openxmlformats.org/officeDocument/2006/relationships/hyperlink" Target="https://drive.google.com/file/d/1nuBLrv8LjlAUa_SaYi3K5yjbLehfITeN/view?usp=drivesdk" TargetMode="External"/><Relationship Id="rId703" Type="http://schemas.openxmlformats.org/officeDocument/2006/relationships/hyperlink" Target="https://drive.google.com/file/d/1szcrCS3OOM2weXuD8WNS_mtkWNoJH7cW/view?usp=drivesdk" TargetMode="External"/><Relationship Id="rId702" Type="http://schemas.openxmlformats.org/officeDocument/2006/relationships/hyperlink" Target="https://drive.google.com/file/d/1V5Md16l0PzLtrCswVpyGXC7935m_sQ_n/view?usp=drivesdk" TargetMode="External"/><Relationship Id="rId1770" Type="http://schemas.openxmlformats.org/officeDocument/2006/relationships/hyperlink" Target="https://drive.google.com/file/d/1zv1EFomu6duTWfcC9yaO9KnfzS9A7HIh/view?usp=drivesdk" TargetMode="External"/><Relationship Id="rId1771" Type="http://schemas.openxmlformats.org/officeDocument/2006/relationships/hyperlink" Target="https://drive.google.com/file/d/1KnT7UlPOrYugne1xxJicK-KV5qGWhxG1/view?usp=drivesdk" TargetMode="External"/><Relationship Id="rId1772" Type="http://schemas.openxmlformats.org/officeDocument/2006/relationships/hyperlink" Target="https://drive.google.com/file/d/1s8218oxtKFR94SD3aXpgJhHu0gpGAESU/view?usp=drivesdk" TargetMode="External"/><Relationship Id="rId1773" Type="http://schemas.openxmlformats.org/officeDocument/2006/relationships/hyperlink" Target="https://drive.google.com/file/d/145Z6hewMoQQEjpsv2D0Q332pr2xmWN5x/view?usp=drivesdk" TargetMode="External"/><Relationship Id="rId73" Type="http://schemas.openxmlformats.org/officeDocument/2006/relationships/hyperlink" Target="https://drive.google.com/file/d/1MZXfiYQ1gsx1vYIbVJwD8p9ENVzewyJ2/view?usp=drivesdk" TargetMode="External"/><Relationship Id="rId1763" Type="http://schemas.openxmlformats.org/officeDocument/2006/relationships/hyperlink" Target="https://drive.google.com/file/d/1qreypS9h8JIq6vyH-g8NztOFJg5nRwYU/view?usp=drivesdk" TargetMode="External"/><Relationship Id="rId72" Type="http://schemas.openxmlformats.org/officeDocument/2006/relationships/hyperlink" Target="https://drive.google.com/file/d/18ruexrwR8LkYI527Hb_Ysy1twGZ7SAxh/view?usp=drivesdk" TargetMode="External"/><Relationship Id="rId1764" Type="http://schemas.openxmlformats.org/officeDocument/2006/relationships/hyperlink" Target="https://drive.google.com/file/d/18zouF6JwUwOeAp6Vm10PifP8QH3Zytjd/view?usp=drivesdk" TargetMode="External"/><Relationship Id="rId75" Type="http://schemas.openxmlformats.org/officeDocument/2006/relationships/hyperlink" Target="https://drive.google.com/file/d/1zShQi0LSWpllUkthCUjGzxYD4nxG_LPa/view?usp=drivesdk" TargetMode="External"/><Relationship Id="rId1765" Type="http://schemas.openxmlformats.org/officeDocument/2006/relationships/hyperlink" Target="https://drive.google.com/file/d/14I0LMAu3vy5OEuuQepOWEgPyscboDEBF/view?usp=drivesdk" TargetMode="External"/><Relationship Id="rId74" Type="http://schemas.openxmlformats.org/officeDocument/2006/relationships/hyperlink" Target="https://drive.google.com/file/d/1W1LjXdaB27D91tlMIkk89dIO9I5jgwqn/view?usp=drivesdk" TargetMode="External"/><Relationship Id="rId1766" Type="http://schemas.openxmlformats.org/officeDocument/2006/relationships/hyperlink" Target="https://drive.google.com/file/d/1HICVHC8W7m-UV7gry5dzktQ48hqBeDfx/view?usp=drivesdk" TargetMode="External"/><Relationship Id="rId77" Type="http://schemas.openxmlformats.org/officeDocument/2006/relationships/hyperlink" Target="https://drive.google.com/file/d/18k__oIDAjcWyXCE8dI-H24kXf4iCyKdN/view?usp=drivesdk" TargetMode="External"/><Relationship Id="rId1767" Type="http://schemas.openxmlformats.org/officeDocument/2006/relationships/hyperlink" Target="https://drive.google.com/file/d/1wxuQwmdwXOmH8TDwwfpdVYIpMKipoZbi/view?usp=drivesdk" TargetMode="External"/><Relationship Id="rId76" Type="http://schemas.openxmlformats.org/officeDocument/2006/relationships/hyperlink" Target="https://drive.google.com/file/d/1WuAz2nt2o4fDKc1u38JF1QeX4bDbLhhG/view?usp=drivesdk" TargetMode="External"/><Relationship Id="rId1768" Type="http://schemas.openxmlformats.org/officeDocument/2006/relationships/hyperlink" Target="https://drive.google.com/file/d/1s6gfGVARz0C9E6wKo8O4lTy-yViUeeeP/view?usp=drivesdk" TargetMode="External"/><Relationship Id="rId79" Type="http://schemas.openxmlformats.org/officeDocument/2006/relationships/hyperlink" Target="https://drive.google.com/file/d/1hLuhAtiAWIMnc7h81kXyhQiHv-g1dOtO/view?usp=drivesdk" TargetMode="External"/><Relationship Id="rId1769" Type="http://schemas.openxmlformats.org/officeDocument/2006/relationships/hyperlink" Target="https://drive.google.com/file/d/18jvMU4s0E-3ad3EM44GZoKp74h4GuC8A/view?usp=drivesdk" TargetMode="External"/><Relationship Id="rId78" Type="http://schemas.openxmlformats.org/officeDocument/2006/relationships/hyperlink" Target="https://drive.google.com/file/d/1K_vQ1U6jSgFPobpkXesIlo5zzdDPbcf8/view?usp=drivesdk" TargetMode="External"/><Relationship Id="rId71" Type="http://schemas.openxmlformats.org/officeDocument/2006/relationships/hyperlink" Target="https://drive.google.com/file/d/1RXWsScXcZj56yAF0D24i7AfYicw7K9DE/view?usp=drivesdk" TargetMode="External"/><Relationship Id="rId70" Type="http://schemas.openxmlformats.org/officeDocument/2006/relationships/hyperlink" Target="https://drive.google.com/file/d/1z2hiaPWDAqn4ICmPbPpg2yVRGIneJRH7/view?usp=drivesdk" TargetMode="External"/><Relationship Id="rId1760" Type="http://schemas.openxmlformats.org/officeDocument/2006/relationships/hyperlink" Target="https://drive.google.com/file/d/1P-jJh6cqnn9EG65uWoPrUV12j--LB4FD/view?usp=drivesdk" TargetMode="External"/><Relationship Id="rId1761" Type="http://schemas.openxmlformats.org/officeDocument/2006/relationships/hyperlink" Target="https://drive.google.com/file/d/1G-GNcpo3yQ7Rcta8Jisx80jJj2RY2Z6v/view?usp=drivesdk" TargetMode="External"/><Relationship Id="rId1762" Type="http://schemas.openxmlformats.org/officeDocument/2006/relationships/hyperlink" Target="https://drive.google.com/file/d/1_aZLfTXzeVAG7OhJz247XIs5q6UCfTPP/view?usp=drivesdk" TargetMode="External"/><Relationship Id="rId62" Type="http://schemas.openxmlformats.org/officeDocument/2006/relationships/hyperlink" Target="https://drive.google.com/file/d/1GltbCChzYsVxaYThmnKT-UG0RkL72BrP/view?usp=drivesdk" TargetMode="External"/><Relationship Id="rId1312" Type="http://schemas.openxmlformats.org/officeDocument/2006/relationships/hyperlink" Target="https://drive.google.com/file/d/1LuFoQaCG2ntVD71Q9LZz6uBEoWzTBk5g/view?usp=drivesdk" TargetMode="External"/><Relationship Id="rId1796" Type="http://schemas.openxmlformats.org/officeDocument/2006/relationships/hyperlink" Target="https://drive.google.com/file/d/1Tb6B8SqPdbn21hqcO88iikCRQ9dvb9kr/view?usp=drivesdk" TargetMode="External"/><Relationship Id="rId61" Type="http://schemas.openxmlformats.org/officeDocument/2006/relationships/hyperlink" Target="https://drive.google.com/file/d/1Ef_xOJT_Z4z73h3ikkoeHNNNalwdH0af/view?usp=drivesdk" TargetMode="External"/><Relationship Id="rId1313" Type="http://schemas.openxmlformats.org/officeDocument/2006/relationships/hyperlink" Target="https://drive.google.com/file/d/1Jt1q4-MK9d3nBdJjF-96DeuiEUak4uQZ/view?usp=drivesdk" TargetMode="External"/><Relationship Id="rId1797" Type="http://schemas.openxmlformats.org/officeDocument/2006/relationships/hyperlink" Target="https://drive.google.com/file/d/1qRhHC6eqcAGkgBQ4kQpZsYHAfgwI3eUk/view?usp=drivesdk" TargetMode="External"/><Relationship Id="rId64" Type="http://schemas.openxmlformats.org/officeDocument/2006/relationships/hyperlink" Target="https://drive.google.com/file/d/1j9iRKwBP8PbWD-EXi6oGNDSvOLApEx8c/view?usp=drivesdk" TargetMode="External"/><Relationship Id="rId1314" Type="http://schemas.openxmlformats.org/officeDocument/2006/relationships/hyperlink" Target="https://drive.google.com/file/d/1vCkaq42gEw1ZFf-iXBPcgpHRykN0htoD/view?usp=drivesdk" TargetMode="External"/><Relationship Id="rId1798" Type="http://schemas.openxmlformats.org/officeDocument/2006/relationships/hyperlink" Target="https://drive.google.com/file/d/1z-xRYoPBgYCwkueeTsNSb6xEHbbDsNrU/view?usp=drivesdk" TargetMode="External"/><Relationship Id="rId63" Type="http://schemas.openxmlformats.org/officeDocument/2006/relationships/hyperlink" Target="https://drive.google.com/file/d/1zc7rYdHHhSlrtbszS5HWu8Go1TzdB-Gu/view?usp=drivesdk" TargetMode="External"/><Relationship Id="rId1315" Type="http://schemas.openxmlformats.org/officeDocument/2006/relationships/hyperlink" Target="https://drive.google.com/file/d/1kqGvT0h0283oiDKGI8AkkSqNs1-Xwrmu/view?usp=drivesdk" TargetMode="External"/><Relationship Id="rId1799" Type="http://schemas.openxmlformats.org/officeDocument/2006/relationships/hyperlink" Target="https://drive.google.com/file/d/1ZO3ha_3p4kSi34JVrqqyIYRhHW3au5Xd/view?usp=drivesdk" TargetMode="External"/><Relationship Id="rId66" Type="http://schemas.openxmlformats.org/officeDocument/2006/relationships/hyperlink" Target="https://drive.google.com/file/d/1tP5mpMZQDsVRaccfi6GkAF9l2VZ4R4AQ/view?usp=drivesdk" TargetMode="External"/><Relationship Id="rId1316" Type="http://schemas.openxmlformats.org/officeDocument/2006/relationships/hyperlink" Target="https://drive.google.com/file/d/1TOV7pfGl9ChTaG5aWzHN_cQJjF42-UQr/view?usp=drivesdk" TargetMode="External"/><Relationship Id="rId65" Type="http://schemas.openxmlformats.org/officeDocument/2006/relationships/hyperlink" Target="https://drive.google.com/file/d/1cUld6Tlz0jhzcmWBL1m7CCBdXGsQw1xl/view?usp=drivesdk" TargetMode="External"/><Relationship Id="rId1317" Type="http://schemas.openxmlformats.org/officeDocument/2006/relationships/hyperlink" Target="https://drive.google.com/file/d/18hv1oBWQvdI-t2Y4LXk3EQnXXTTtOBsM/view?usp=drivesdk" TargetMode="External"/><Relationship Id="rId68" Type="http://schemas.openxmlformats.org/officeDocument/2006/relationships/hyperlink" Target="https://drive.google.com/file/d/1THIWFamOTOYnUdmoT9ZVtghZW1zbs8NT/view?usp=drivesdk" TargetMode="External"/><Relationship Id="rId1318" Type="http://schemas.openxmlformats.org/officeDocument/2006/relationships/hyperlink" Target="https://drive.google.com/file/d/1P0ya8coIK9ikf3NPASCveoA37XJj7U7S/view?usp=drivesdk" TargetMode="External"/><Relationship Id="rId67" Type="http://schemas.openxmlformats.org/officeDocument/2006/relationships/hyperlink" Target="https://drive.google.com/file/d/1JHrL4k8H0XnWqxQoITT5JP1jiOEFB173/view?usp=drivesdk" TargetMode="External"/><Relationship Id="rId1319" Type="http://schemas.openxmlformats.org/officeDocument/2006/relationships/hyperlink" Target="https://drive.google.com/file/d/18CacFtHZkGaoT7vo8RdHCicfuH58lKbO/view?usp=drivesdk" TargetMode="External"/><Relationship Id="rId729" Type="http://schemas.openxmlformats.org/officeDocument/2006/relationships/hyperlink" Target="https://drive.google.com/file/d/1UN_AnFxZGxGLa3Wyj_4hYUOvKeXZtzB7/view?usp=drivesdk" TargetMode="External"/><Relationship Id="rId728" Type="http://schemas.openxmlformats.org/officeDocument/2006/relationships/hyperlink" Target="https://drive.google.com/file/d/1UWrDNGhflgS-fg9OQZFqU1hdTdPalHO2/view?usp=drivesdk" TargetMode="External"/><Relationship Id="rId60" Type="http://schemas.openxmlformats.org/officeDocument/2006/relationships/hyperlink" Target="https://drive.google.com/file/d/1yW6-s03tAKCbdkw12Dxth5wafIblZ9ta/view?usp=drivesdk" TargetMode="External"/><Relationship Id="rId723" Type="http://schemas.openxmlformats.org/officeDocument/2006/relationships/hyperlink" Target="https://drive.google.com/file/d/1i5cqrQGLXFd3RT2y2sdLdt90Ek1gChkF/view?usp=drivesdk" TargetMode="External"/><Relationship Id="rId722" Type="http://schemas.openxmlformats.org/officeDocument/2006/relationships/hyperlink" Target="https://drive.google.com/file/d/10SZdHnIxINTDOOBGv5igzwvSah_G9R3P/view?usp=drivesdk" TargetMode="External"/><Relationship Id="rId721" Type="http://schemas.openxmlformats.org/officeDocument/2006/relationships/hyperlink" Target="https://drive.google.com/file/d/1chntE9YivZetZ8N3KkowLM6qHaNIFVMa/view?usp=drivesdk" TargetMode="External"/><Relationship Id="rId720" Type="http://schemas.openxmlformats.org/officeDocument/2006/relationships/hyperlink" Target="https://drive.google.com/file/d/1t-uNMVYsJJSuR9xTy5ISMlMiyERePmMn/view?usp=drivesdk" TargetMode="External"/><Relationship Id="rId727" Type="http://schemas.openxmlformats.org/officeDocument/2006/relationships/hyperlink" Target="https://drive.google.com/file/d/1eeaP9RufNL6mxWHq47q_Ad5oW7MSeKqO/view?usp=drivesdk" TargetMode="External"/><Relationship Id="rId726" Type="http://schemas.openxmlformats.org/officeDocument/2006/relationships/hyperlink" Target="https://drive.google.com/file/d/1BfVh7bDBLIxsiNEEzYv61vYg8Y9P0EtZ/view?usp=drivesdk" TargetMode="External"/><Relationship Id="rId725" Type="http://schemas.openxmlformats.org/officeDocument/2006/relationships/hyperlink" Target="https://drive.google.com/file/d/1JwKDpGcWGE8rnj4FeVCZi82t0j83K8eG/view?usp=drivesdk" TargetMode="External"/><Relationship Id="rId724" Type="http://schemas.openxmlformats.org/officeDocument/2006/relationships/hyperlink" Target="https://drive.google.com/file/d/1aZd2KGoI_Xu-TM04OQs5aUCSIvyBO-O1/view?usp=drivesdk" TargetMode="External"/><Relationship Id="rId69" Type="http://schemas.openxmlformats.org/officeDocument/2006/relationships/hyperlink" Target="https://drive.google.com/file/d/1ydLry-mzDt8HtJSDfWs2CeZFJruJ2OPp/view?usp=drivesdk" TargetMode="External"/><Relationship Id="rId1790" Type="http://schemas.openxmlformats.org/officeDocument/2006/relationships/hyperlink" Target="https://drive.google.com/file/d/1G4mPzGt6uO3G4h4fGMF9DQQzVOz8A5pR/view?usp=drivesdk" TargetMode="External"/><Relationship Id="rId1791" Type="http://schemas.openxmlformats.org/officeDocument/2006/relationships/hyperlink" Target="https://drive.google.com/file/d/17xm_IvcB7QmAZLgyLb9c_kh8bpjokrDd/view?usp=drivesdk" TargetMode="External"/><Relationship Id="rId1792" Type="http://schemas.openxmlformats.org/officeDocument/2006/relationships/hyperlink" Target="https://drive.google.com/file/d/1PsvCfI6H4zvDKhqlb_fT2-T2Id9ipdGZ/view?usp=drivesdk" TargetMode="External"/><Relationship Id="rId1793" Type="http://schemas.openxmlformats.org/officeDocument/2006/relationships/hyperlink" Target="https://drive.google.com/file/d/1fcMhpQCBDloNhuv3cmm5sdeW_BUgV49g/view?usp=drivesdk" TargetMode="External"/><Relationship Id="rId1310" Type="http://schemas.openxmlformats.org/officeDocument/2006/relationships/hyperlink" Target="https://drive.google.com/file/d/1RTeCNeD0hi_f7vSh8l5TDgygNGYfOLG4/view?usp=drivesdk" TargetMode="External"/><Relationship Id="rId1794" Type="http://schemas.openxmlformats.org/officeDocument/2006/relationships/hyperlink" Target="https://drive.google.com/file/d/1JeipYzfZ2TU0ZN4KF5_d4YzCHBvyGLiV/view?usp=drivesdk" TargetMode="External"/><Relationship Id="rId1311" Type="http://schemas.openxmlformats.org/officeDocument/2006/relationships/hyperlink" Target="https://drive.google.com/file/d/1G6Sgr7ZpM7sZNk4lRUAYGBBVJGN2I9CH/view?usp=drivesdk" TargetMode="External"/><Relationship Id="rId1795" Type="http://schemas.openxmlformats.org/officeDocument/2006/relationships/hyperlink" Target="https://drive.google.com/file/d/1_IiHzg854gOeW4lVE5SrXgmT5eDnd8kE/view?usp=drivesdk" TargetMode="External"/><Relationship Id="rId51" Type="http://schemas.openxmlformats.org/officeDocument/2006/relationships/hyperlink" Target="https://drive.google.com/file/d/1wxE6x3oascTIJAKv67VZdraXNehlMIhK/view?usp=drivesdk" TargetMode="External"/><Relationship Id="rId1301" Type="http://schemas.openxmlformats.org/officeDocument/2006/relationships/hyperlink" Target="https://drive.google.com/file/d/1MsnCloXMBl5YRLryn8Dj8JetEee-bY9F/view?usp=drivesdk" TargetMode="External"/><Relationship Id="rId1785" Type="http://schemas.openxmlformats.org/officeDocument/2006/relationships/hyperlink" Target="https://drive.google.com/file/d/1wfNAUokuVizXRA8K3VzTuR6w2knVonLL/view?usp=drivesdk" TargetMode="External"/><Relationship Id="rId50" Type="http://schemas.openxmlformats.org/officeDocument/2006/relationships/hyperlink" Target="https://drive.google.com/file/d/1SfweraEGdxk4dGAFk36tZSL_9Jv6BYU6/view?usp=drivesdk" TargetMode="External"/><Relationship Id="rId1302" Type="http://schemas.openxmlformats.org/officeDocument/2006/relationships/hyperlink" Target="https://drive.google.com/file/d/1vbffU2E5dvPKVLKpvMCkP7ipsHEMAjW9/view?usp=drivesdk" TargetMode="External"/><Relationship Id="rId1786" Type="http://schemas.openxmlformats.org/officeDocument/2006/relationships/hyperlink" Target="https://drive.google.com/file/d/1KlTGMVUcQLBa2JE0UIrTiV3w99gFNx5P/view?usp=drivesdk" TargetMode="External"/><Relationship Id="rId53" Type="http://schemas.openxmlformats.org/officeDocument/2006/relationships/hyperlink" Target="https://drive.google.com/file/d/1JKWoxpoHeLmZRIoIA6OpBuYJBSFKT-3D/view?usp=drivesdk" TargetMode="External"/><Relationship Id="rId1303" Type="http://schemas.openxmlformats.org/officeDocument/2006/relationships/hyperlink" Target="https://drive.google.com/file/d/1SLFFLQmZ9B2YU7vGg70f6kWxI7VBrvp5/view?usp=drivesdk" TargetMode="External"/><Relationship Id="rId1787" Type="http://schemas.openxmlformats.org/officeDocument/2006/relationships/hyperlink" Target="https://drive.google.com/file/d/1I7YlaiJo5T7Lr-4o1w_IL1_zMYyIFupz/view?usp=drivesdk" TargetMode="External"/><Relationship Id="rId52" Type="http://schemas.openxmlformats.org/officeDocument/2006/relationships/hyperlink" Target="https://drive.google.com/file/d/1oKr04ws30FlNvwRobBWIUQa1NkvGk4N3/view?usp=drivesdk" TargetMode="External"/><Relationship Id="rId1304" Type="http://schemas.openxmlformats.org/officeDocument/2006/relationships/hyperlink" Target="https://drive.google.com/file/d/1lWzKOP5r0rWGbJLVPj63zcg6eYKW8ri_/view?usp=drivesdk" TargetMode="External"/><Relationship Id="rId1788" Type="http://schemas.openxmlformats.org/officeDocument/2006/relationships/hyperlink" Target="https://drive.google.com/file/d/15oRouy9iaPAuFS9JlaZ_OGqQQHvGbOlw/view?usp=drivesdk" TargetMode="External"/><Relationship Id="rId55" Type="http://schemas.openxmlformats.org/officeDocument/2006/relationships/hyperlink" Target="https://drive.google.com/file/d/1sEASaVVSk-6JT3oHmW8oif6-zMSxlwQE/view?usp=drivesdk" TargetMode="External"/><Relationship Id="rId1305" Type="http://schemas.openxmlformats.org/officeDocument/2006/relationships/hyperlink" Target="https://drive.google.com/file/d/1IJCIhnFCTFh7JsUr_YkT0sPxntzDuV7T/view?usp=drivesdk" TargetMode="External"/><Relationship Id="rId1789" Type="http://schemas.openxmlformats.org/officeDocument/2006/relationships/hyperlink" Target="https://drive.google.com/file/d/1wNDYJcSQ_HnTahhdsACdx_d_KBPWJI1s/view?usp=drivesdk" TargetMode="External"/><Relationship Id="rId54" Type="http://schemas.openxmlformats.org/officeDocument/2006/relationships/hyperlink" Target="https://drive.google.com/file/d/1tNZZZ3RmlgC7ah1WTB9xVxqD3Drx20x-/view?usp=drivesdk" TargetMode="External"/><Relationship Id="rId1306" Type="http://schemas.openxmlformats.org/officeDocument/2006/relationships/hyperlink" Target="https://drive.google.com/file/d/1porc5qCCdDO1ocEfgojVcB_sEG2EgEJc/view?usp=drivesdk" TargetMode="External"/><Relationship Id="rId57" Type="http://schemas.openxmlformats.org/officeDocument/2006/relationships/hyperlink" Target="https://drive.google.com/file/d/1Di0VnOwZ-yDVvFOQYQ9JSTcB3cb66phL/view?usp=drivesdk" TargetMode="External"/><Relationship Id="rId1307" Type="http://schemas.openxmlformats.org/officeDocument/2006/relationships/hyperlink" Target="https://drive.google.com/file/d/1Y0ghQvtd2Y_ruXKDnkbBuo79iAOyJec6/view?usp=drivesdk" TargetMode="External"/><Relationship Id="rId56" Type="http://schemas.openxmlformats.org/officeDocument/2006/relationships/hyperlink" Target="https://drive.google.com/file/d/1ce0SvYokuwTU6nrqI9rU3yBdjqRKdWX3/view?usp=drivesdk" TargetMode="External"/><Relationship Id="rId1308" Type="http://schemas.openxmlformats.org/officeDocument/2006/relationships/hyperlink" Target="https://drive.google.com/file/d/1VfqUWMMsB3SFKLZ4YepJJuYFfOS6dX-t/view?usp=drivesdk" TargetMode="External"/><Relationship Id="rId1309" Type="http://schemas.openxmlformats.org/officeDocument/2006/relationships/hyperlink" Target="https://drive.google.com/file/d/1y-f1xvip7SaGKm8gUeDJnRi0fHTHxOFQ/view?usp=drivesdk" TargetMode="External"/><Relationship Id="rId719" Type="http://schemas.openxmlformats.org/officeDocument/2006/relationships/hyperlink" Target="https://drive.google.com/file/d/1m61AFGsKp8oAWm-q6wt-82xZrcHzTidG/view?usp=drivesdk" TargetMode="External"/><Relationship Id="rId718" Type="http://schemas.openxmlformats.org/officeDocument/2006/relationships/hyperlink" Target="https://drive.google.com/file/d/1rfJainHczmiHPATtawRLuv5lk-Ll4HiE/view?usp=drivesdk" TargetMode="External"/><Relationship Id="rId717" Type="http://schemas.openxmlformats.org/officeDocument/2006/relationships/hyperlink" Target="https://drive.google.com/file/d/1Ij1v3Gm-oCuYVfITc0_f5AOuzC5azhp5/view?usp=drivesdk" TargetMode="External"/><Relationship Id="rId712" Type="http://schemas.openxmlformats.org/officeDocument/2006/relationships/hyperlink" Target="https://drive.google.com/file/d/1gtUQakdP0t1h9D3oyaPUjnRSxnYDHEoJ/view?usp=drivesdk" TargetMode="External"/><Relationship Id="rId711" Type="http://schemas.openxmlformats.org/officeDocument/2006/relationships/hyperlink" Target="https://drive.google.com/file/d/18osubb0tz0Gj44Eq1G5IFRyE_Rq8xbdW/view?usp=drivesdk" TargetMode="External"/><Relationship Id="rId710" Type="http://schemas.openxmlformats.org/officeDocument/2006/relationships/hyperlink" Target="https://drive.google.com/file/d/134eS8vhFHKZWxcT_PPubAWZiP8LJBDfP/view?usp=drivesdk" TargetMode="External"/><Relationship Id="rId716" Type="http://schemas.openxmlformats.org/officeDocument/2006/relationships/hyperlink" Target="https://drive.google.com/file/d/1nkng91xlu0geRW74a9Jlhad4epjS-afw/view?usp=drivesdk" TargetMode="External"/><Relationship Id="rId715" Type="http://schemas.openxmlformats.org/officeDocument/2006/relationships/hyperlink" Target="https://drive.google.com/file/d/1cyq3nUWeHHkgM7IrXRiAXnkFB2cNDjTv/view?usp=drivesdk" TargetMode="External"/><Relationship Id="rId714" Type="http://schemas.openxmlformats.org/officeDocument/2006/relationships/hyperlink" Target="https://drive.google.com/file/d/1HNXMAXY5s6vkHfvvUSa7gmgBjwep1dyh/view?usp=drivesdk" TargetMode="External"/><Relationship Id="rId713" Type="http://schemas.openxmlformats.org/officeDocument/2006/relationships/hyperlink" Target="https://drive.google.com/file/d/1qyOQfj_-nqOYzREzx4nUN7CJLPNWXI1e/view?usp=drivesdk" TargetMode="External"/><Relationship Id="rId59" Type="http://schemas.openxmlformats.org/officeDocument/2006/relationships/hyperlink" Target="https://drive.google.com/file/d/1bfU3_hxcdHbgiChsHJDlrBGpp9ZiKQq0/view?usp=drivesdk" TargetMode="External"/><Relationship Id="rId58" Type="http://schemas.openxmlformats.org/officeDocument/2006/relationships/hyperlink" Target="https://drive.google.com/file/d/1y6E99kz53EHEebZIA7B2nJqFIWKA0qkl/view?usp=drivesdk" TargetMode="External"/><Relationship Id="rId1780" Type="http://schemas.openxmlformats.org/officeDocument/2006/relationships/hyperlink" Target="https://drive.google.com/file/d/1mGnxWtZSZP1dLbtuKP1HM42VHiBsTiRj/view?usp=drivesdk" TargetMode="External"/><Relationship Id="rId1781" Type="http://schemas.openxmlformats.org/officeDocument/2006/relationships/hyperlink" Target="https://drive.google.com/file/d/1ne0J5ubPz8indd7jx8UxNNMpveKTB49b/view?usp=drivesdk" TargetMode="External"/><Relationship Id="rId1782" Type="http://schemas.openxmlformats.org/officeDocument/2006/relationships/hyperlink" Target="https://drive.google.com/file/d/1qTPVPiiG9U6JeiLSPKNBmnoo6ATHmeg8/view?usp=drivesdk" TargetMode="External"/><Relationship Id="rId1783" Type="http://schemas.openxmlformats.org/officeDocument/2006/relationships/hyperlink" Target="https://drive.google.com/file/d/1ImF5C0GGfoyjZMDY6KEWPJOsVQb_xgy6/view?usp=drivesdk" TargetMode="External"/><Relationship Id="rId1300" Type="http://schemas.openxmlformats.org/officeDocument/2006/relationships/hyperlink" Target="https://drive.google.com/file/d/14IhdofMFVBHHIZTGpeXS5W_Pp6_LeMFR/view?usp=drivesdk" TargetMode="External"/><Relationship Id="rId1784" Type="http://schemas.openxmlformats.org/officeDocument/2006/relationships/hyperlink" Target="https://drive.google.com/file/d/12j82_lTeGIbIHDzjCkdnYWtOVxrrnCIL/view?usp=drivesdk" TargetMode="External"/><Relationship Id="rId2269" Type="http://schemas.openxmlformats.org/officeDocument/2006/relationships/hyperlink" Target="https://drive.google.com/file/d/1dsbg-B7cgMLrEo-u85-1a-Wwc8wnloOU/view?usp=drivesdk" TargetMode="External"/><Relationship Id="rId349" Type="http://schemas.openxmlformats.org/officeDocument/2006/relationships/hyperlink" Target="https://drive.google.com/file/d/17VN8OtaSdxSs3saxO4XM9Zg9oKXEBTzL/view?usp=drivesdk" TargetMode="External"/><Relationship Id="rId348" Type="http://schemas.openxmlformats.org/officeDocument/2006/relationships/hyperlink" Target="https://drive.google.com/file/d/1IMj1XYpLF11Tp6GEhQ4VWHThSibghfdT/view?usp=drivesdk" TargetMode="External"/><Relationship Id="rId347" Type="http://schemas.openxmlformats.org/officeDocument/2006/relationships/hyperlink" Target="https://drive.google.com/file/d/1JqyM3pPZ8xhS6Jp4bQQ8BvLOkAPVRrz4/view?usp=drivesdk" TargetMode="External"/><Relationship Id="rId346" Type="http://schemas.openxmlformats.org/officeDocument/2006/relationships/hyperlink" Target="https://drive.google.com/file/d/1ru83i1SHE2ZRWrmwoX6BtWnAPTtdqPkM/view?usp=drivesdk" TargetMode="External"/><Relationship Id="rId2260" Type="http://schemas.openxmlformats.org/officeDocument/2006/relationships/hyperlink" Target="https://drive.google.com/file/d/1DotCOQVXKynZ17__q770LZKa24g2eSHa/view?usp=drivesdk" TargetMode="External"/><Relationship Id="rId341" Type="http://schemas.openxmlformats.org/officeDocument/2006/relationships/hyperlink" Target="https://drive.google.com/file/d/1CvmrFFKMZWtDyADehCN5mfU3DOnFyRjh/view?usp=drivesdk" TargetMode="External"/><Relationship Id="rId2261" Type="http://schemas.openxmlformats.org/officeDocument/2006/relationships/hyperlink" Target="https://drive.google.com/file/d/15dXpo61jlKN1IW3W1trLvqJVg8kq57wC/view?usp=drivesdk" TargetMode="External"/><Relationship Id="rId340" Type="http://schemas.openxmlformats.org/officeDocument/2006/relationships/hyperlink" Target="https://drive.google.com/file/d/17KhMCUIEB4wICX0ufosoqgxyevdeIZjq/view?usp=drivesdk" TargetMode="External"/><Relationship Id="rId2262" Type="http://schemas.openxmlformats.org/officeDocument/2006/relationships/hyperlink" Target="https://drive.google.com/file/d/1CpKW3Io2YZJ6lU5qK8o5OSe6A6KOMAr6/view?usp=drivesdk" TargetMode="External"/><Relationship Id="rId2263" Type="http://schemas.openxmlformats.org/officeDocument/2006/relationships/hyperlink" Target="https://drive.google.com/file/d/1IZEfeHglwhO0Tvk6A34ILshz6aWuoFjo/view?usp=drivesdk" TargetMode="External"/><Relationship Id="rId2264" Type="http://schemas.openxmlformats.org/officeDocument/2006/relationships/hyperlink" Target="https://drive.google.com/file/d/1MEJ7Op7p4gNBwQV9t9OJlm10-X6_0UeW/view?usp=drivesdk" TargetMode="External"/><Relationship Id="rId345" Type="http://schemas.openxmlformats.org/officeDocument/2006/relationships/hyperlink" Target="https://drive.google.com/file/d/1QDiC7lL0TQbHQOwRtpX-pP2z4KU7AfWq/view?usp=drivesdk" TargetMode="External"/><Relationship Id="rId2265" Type="http://schemas.openxmlformats.org/officeDocument/2006/relationships/hyperlink" Target="https://drive.google.com/file/d/1ONDkk1dzV8_VbAgUQFODawCE6oc5FTNS/view?usp=drivesdk" TargetMode="External"/><Relationship Id="rId344" Type="http://schemas.openxmlformats.org/officeDocument/2006/relationships/hyperlink" Target="https://drive.google.com/file/d/1gRsWzDLqb0B46yqgJ47oy8V5WZHsXjLI/view?usp=drivesdk" TargetMode="External"/><Relationship Id="rId2266" Type="http://schemas.openxmlformats.org/officeDocument/2006/relationships/hyperlink" Target="https://drive.google.com/file/d/119Op0QTycie6p5LBWHezJDx7pUQ8qlfn/view?usp=drivesdk" TargetMode="External"/><Relationship Id="rId343" Type="http://schemas.openxmlformats.org/officeDocument/2006/relationships/hyperlink" Target="https://drive.google.com/file/d/1saEeS9S73BNy9R-gAXq1SkGP_Hvcloys/view?usp=drivesdk" TargetMode="External"/><Relationship Id="rId2267" Type="http://schemas.openxmlformats.org/officeDocument/2006/relationships/hyperlink" Target="https://drive.google.com/file/d/1zEmfbrMoE_Ls97tOsUB9AEbf5Gwg1n2i/view?usp=drivesdk" TargetMode="External"/><Relationship Id="rId342" Type="http://schemas.openxmlformats.org/officeDocument/2006/relationships/hyperlink" Target="https://drive.google.com/file/d/1aZqFULCUfPxRpWWcIX-7WT7g56QFMam1/view?usp=drivesdk" TargetMode="External"/><Relationship Id="rId2268" Type="http://schemas.openxmlformats.org/officeDocument/2006/relationships/hyperlink" Target="https://drive.google.com/file/d/1MYUg5GPbFU4GfLvU6KRY4XQcwJAAppCp/view?usp=drivesdk" TargetMode="External"/><Relationship Id="rId2258" Type="http://schemas.openxmlformats.org/officeDocument/2006/relationships/hyperlink" Target="https://drive.google.com/file/d/1YmcSC_DMuoO-s1bheE_VYcOm2tblvn8L/view?usp=drivesdk" TargetMode="External"/><Relationship Id="rId2259" Type="http://schemas.openxmlformats.org/officeDocument/2006/relationships/hyperlink" Target="https://drive.google.com/file/d/1UQLzHwFnRPOPUNliQlhbC3iku9zgoVSs/view?usp=drivesdk" TargetMode="External"/><Relationship Id="rId338" Type="http://schemas.openxmlformats.org/officeDocument/2006/relationships/hyperlink" Target="https://drive.google.com/file/d/1TvmBf4yumJDY8GFoSy9NleAphLx6TmOO/view?usp=drivesdk" TargetMode="External"/><Relationship Id="rId337" Type="http://schemas.openxmlformats.org/officeDocument/2006/relationships/hyperlink" Target="https://drive.google.com/file/d/1eiMQWExzFN8w_fdfoWs9XdOhcHHH6Nfw/view?usp=drivesdk" TargetMode="External"/><Relationship Id="rId336" Type="http://schemas.openxmlformats.org/officeDocument/2006/relationships/hyperlink" Target="https://drive.google.com/file/d/1Z_QLpF79JSZy8-nr4gTRHFHbZgFqszbD/view?usp=drivesdk" TargetMode="External"/><Relationship Id="rId335" Type="http://schemas.openxmlformats.org/officeDocument/2006/relationships/hyperlink" Target="https://drive.google.com/file/d/1Ur6ThuO2GsTbuxfL1e6m1br5dx19wj0J/view?usp=drivesdk" TargetMode="External"/><Relationship Id="rId339" Type="http://schemas.openxmlformats.org/officeDocument/2006/relationships/hyperlink" Target="https://drive.google.com/file/d/1KiW3v3UDrIJgH4hf0MaK-oCvJOM8HRNi/view?usp=drivesdk" TargetMode="External"/><Relationship Id="rId330" Type="http://schemas.openxmlformats.org/officeDocument/2006/relationships/hyperlink" Target="https://drive.google.com/file/d/13fFd9EEqytgqgCqGrOkWZbF2hpFvfEVL/view?usp=drivesdk" TargetMode="External"/><Relationship Id="rId2250" Type="http://schemas.openxmlformats.org/officeDocument/2006/relationships/hyperlink" Target="https://drive.google.com/file/d/1x4lQj2sumYQiXlnvs4ixOWHPswnqkRQT/view?usp=drivesdk" TargetMode="External"/><Relationship Id="rId2251" Type="http://schemas.openxmlformats.org/officeDocument/2006/relationships/hyperlink" Target="https://drive.google.com/file/d/1JpyRxVIk87CzLDxd3Kt5ldqhS_a4MMQe/view?usp=drivesdk" TargetMode="External"/><Relationship Id="rId2252" Type="http://schemas.openxmlformats.org/officeDocument/2006/relationships/hyperlink" Target="https://drive.google.com/file/d/1gYtFlae8rHk8KerSaRrVtvMAMDiFk9fp/view?usp=drivesdk" TargetMode="External"/><Relationship Id="rId2253" Type="http://schemas.openxmlformats.org/officeDocument/2006/relationships/hyperlink" Target="https://drive.google.com/file/d/1lZpNhT87GAT2Q73-IwVcb-3Y-0IUimNl/view?usp=drivesdk" TargetMode="External"/><Relationship Id="rId334" Type="http://schemas.openxmlformats.org/officeDocument/2006/relationships/hyperlink" Target="https://drive.google.com/file/d/19D8AriGpGTQEH1j_bPxRA0xPe5lgx8ZM/view?usp=drivesdk" TargetMode="External"/><Relationship Id="rId2254" Type="http://schemas.openxmlformats.org/officeDocument/2006/relationships/hyperlink" Target="https://drive.google.com/file/d/1yYB3zq5Em_yxiWwdLFRparIe0dKwPYgf/view?usp=drivesdk" TargetMode="External"/><Relationship Id="rId333" Type="http://schemas.openxmlformats.org/officeDocument/2006/relationships/hyperlink" Target="https://drive.google.com/file/d/19K1sUO-g2WQIn_G01xIBF4OpZPbRIklM/view?usp=drivesdk" TargetMode="External"/><Relationship Id="rId2255" Type="http://schemas.openxmlformats.org/officeDocument/2006/relationships/hyperlink" Target="https://drive.google.com/file/d/1g6MgSfEG7ksKEjvQTamq8gzFqlEqUKNg/view?usp=drivesdk" TargetMode="External"/><Relationship Id="rId332" Type="http://schemas.openxmlformats.org/officeDocument/2006/relationships/hyperlink" Target="https://drive.google.com/file/d/1wUQwL4G1r0jTZ69jm3sF9q0p2MOIGimv/view?usp=drivesdk" TargetMode="External"/><Relationship Id="rId2256" Type="http://schemas.openxmlformats.org/officeDocument/2006/relationships/hyperlink" Target="https://drive.google.com/file/d/1dJKBFN-J0x1E41g1KIdwhbq6ux2QpqW1/view?usp=drivesdk" TargetMode="External"/><Relationship Id="rId331" Type="http://schemas.openxmlformats.org/officeDocument/2006/relationships/hyperlink" Target="https://drive.google.com/file/d/1rHg-7uimBCJiCfnwF6uMK9JKkllsPXtz/view?usp=drivesdk" TargetMode="External"/><Relationship Id="rId2257" Type="http://schemas.openxmlformats.org/officeDocument/2006/relationships/hyperlink" Target="https://drive.google.com/file/d/1aIopQ5kfNd60CKl5gpYGpj2K4JLnz-IW/view?usp=drivesdk" TargetMode="External"/><Relationship Id="rId370" Type="http://schemas.openxmlformats.org/officeDocument/2006/relationships/hyperlink" Target="https://drive.google.com/file/d/1k8ZyvwGpyhMMOnkt5RvGsdebzzZ7_iVJ/view?usp=drivesdk" TargetMode="External"/><Relationship Id="rId369" Type="http://schemas.openxmlformats.org/officeDocument/2006/relationships/hyperlink" Target="https://drive.google.com/file/d/1Q81otWr6jiJvEn8pjLi-ZYk9tP87L9T_/view?usp=drivesdk" TargetMode="External"/><Relationship Id="rId368" Type="http://schemas.openxmlformats.org/officeDocument/2006/relationships/hyperlink" Target="https://drive.google.com/file/d/1sdAT54BuIUP7o4LSEUHLnxFiDE_iTMH3/view?usp=drivesdk" TargetMode="External"/><Relationship Id="rId2280" Type="http://schemas.openxmlformats.org/officeDocument/2006/relationships/hyperlink" Target="https://drive.google.com/file/d/1aFo7IEk3FzNxjsAAyKSw916LWULN0Q8t/view?usp=drivesdk" TargetMode="External"/><Relationship Id="rId2281" Type="http://schemas.openxmlformats.org/officeDocument/2006/relationships/hyperlink" Target="https://drive.google.com/file/d/1tm38dqXlo4G2Y-ZkvNC0BkpQRyqn1qxi/view?usp=drivesdk" TargetMode="External"/><Relationship Id="rId2282" Type="http://schemas.openxmlformats.org/officeDocument/2006/relationships/hyperlink" Target="https://drive.google.com/file/d/1soW_UQIlKxwhRjyXda8vUmowzJpMQs2k/view?usp=drivesdk" TargetMode="External"/><Relationship Id="rId363" Type="http://schemas.openxmlformats.org/officeDocument/2006/relationships/hyperlink" Target="https://drive.google.com/file/d/1dYUzJIFQEVEhCwxqzCB2Odc0VfqH2UXE/view?usp=drivesdk" TargetMode="External"/><Relationship Id="rId2283" Type="http://schemas.openxmlformats.org/officeDocument/2006/relationships/hyperlink" Target="https://drive.google.com/file/d/1CgToN1cq2SsymYt0TNNQTqX3EIyFhIyW/view?usp=drivesdk" TargetMode="External"/><Relationship Id="rId362" Type="http://schemas.openxmlformats.org/officeDocument/2006/relationships/hyperlink" Target="https://drive.google.com/file/d/1xSVIGewlaEMJXGTK6czrrxnri3TmYqiC/view?usp=drivesdk" TargetMode="External"/><Relationship Id="rId2284" Type="http://schemas.openxmlformats.org/officeDocument/2006/relationships/hyperlink" Target="https://drive.google.com/file/d/1MlKtkGFfq0lsRoLxfgYTJ9kmoNQPhu2e/view?usp=drivesdk" TargetMode="External"/><Relationship Id="rId361" Type="http://schemas.openxmlformats.org/officeDocument/2006/relationships/hyperlink" Target="https://drive.google.com/file/d/1GkLASa3onuyI_C7PABSUOIs5T-OgKo7i/view?usp=drivesdk" TargetMode="External"/><Relationship Id="rId2285" Type="http://schemas.openxmlformats.org/officeDocument/2006/relationships/hyperlink" Target="https://drive.google.com/file/d/1009tIXIzvBIKSwUUwxywXursLJ9tgKz2/view?usp=drivesdk" TargetMode="External"/><Relationship Id="rId360" Type="http://schemas.openxmlformats.org/officeDocument/2006/relationships/hyperlink" Target="https://drive.google.com/file/d/1fRBe0TvqbJKr1dePeDeW8UGD6lRMtHM3/view?usp=drivesdk" TargetMode="External"/><Relationship Id="rId2286" Type="http://schemas.openxmlformats.org/officeDocument/2006/relationships/hyperlink" Target="https://drive.google.com/file/d/1gpnDBivnqiVF0QGH8sfE4b3BnaCn01u_/view?usp=drivesdk" TargetMode="External"/><Relationship Id="rId367" Type="http://schemas.openxmlformats.org/officeDocument/2006/relationships/hyperlink" Target="https://drive.google.com/file/d/1tGrzHCgN8nX5UQoN48OcOM97Wjh1WR4B/view?usp=drivesdk" TargetMode="External"/><Relationship Id="rId2287" Type="http://schemas.openxmlformats.org/officeDocument/2006/relationships/hyperlink" Target="https://drive.google.com/file/d/1UlelBCuMxoJ9wiPPlGgZWYBXtFqYH1b_/view?usp=drivesdk" TargetMode="External"/><Relationship Id="rId366" Type="http://schemas.openxmlformats.org/officeDocument/2006/relationships/hyperlink" Target="https://drive.google.com/file/d/1NNGt5gIcQVU04NNmLOMt0sO1VZG8afoJ/view?usp=drivesdk" TargetMode="External"/><Relationship Id="rId2288" Type="http://schemas.openxmlformats.org/officeDocument/2006/relationships/hyperlink" Target="https://drive.google.com/file/d/1BovmLMEvx8L-k27p0aNRsiU0PMBAxKaX/view?usp=drivesdk" TargetMode="External"/><Relationship Id="rId365" Type="http://schemas.openxmlformats.org/officeDocument/2006/relationships/hyperlink" Target="https://drive.google.com/file/d/1L_o7yAxZTJ_KcsxmhWMxXWPGKijhYYeL/view?usp=drivesdk" TargetMode="External"/><Relationship Id="rId2289" Type="http://schemas.openxmlformats.org/officeDocument/2006/relationships/hyperlink" Target="https://drive.google.com/file/d/1tJKWYaDbkcAKkF34IJmrpVZowIBffRhw/view?usp=drivesdk" TargetMode="External"/><Relationship Id="rId364" Type="http://schemas.openxmlformats.org/officeDocument/2006/relationships/hyperlink" Target="https://drive.google.com/file/d/1FaoSoO67CuM655NCqhivTrVOqr-qSla-/view?usp=drivesdk" TargetMode="External"/><Relationship Id="rId95" Type="http://schemas.openxmlformats.org/officeDocument/2006/relationships/hyperlink" Target="https://drive.google.com/file/d/1F8XLHTOUbZFKZStLoNSte9hBemjvPy9F/view?usp=drivesdk" TargetMode="External"/><Relationship Id="rId94" Type="http://schemas.openxmlformats.org/officeDocument/2006/relationships/hyperlink" Target="https://drive.google.com/file/d/1gCJiBJBuKq8zs78ylCazL-NwG2bTij4n/view?usp=drivesdk" TargetMode="External"/><Relationship Id="rId97" Type="http://schemas.openxmlformats.org/officeDocument/2006/relationships/hyperlink" Target="https://drive.google.com/file/d/1tYpsTIRoDHBTBeyV1R0tqM8ZMldrXtPn/view?usp=drivesdk" TargetMode="External"/><Relationship Id="rId96" Type="http://schemas.openxmlformats.org/officeDocument/2006/relationships/hyperlink" Target="https://drive.google.com/file/d/1kpjxC51-_w4TztDzJtyEIzk_7XXLeWil/view?usp=drivesdk" TargetMode="External"/><Relationship Id="rId99" Type="http://schemas.openxmlformats.org/officeDocument/2006/relationships/hyperlink" Target="https://drive.google.com/file/d/1mW80-n8y_aYuQTInfO0UYxtqd4msPJo2/view?usp=drivesdk" TargetMode="External"/><Relationship Id="rId98" Type="http://schemas.openxmlformats.org/officeDocument/2006/relationships/hyperlink" Target="https://drive.google.com/file/d/1DGxcdpttghIAi46q4udh3Et_EcDF7m4d/view?usp=drivesdk" TargetMode="External"/><Relationship Id="rId91" Type="http://schemas.openxmlformats.org/officeDocument/2006/relationships/hyperlink" Target="https://drive.google.com/file/d/1nXQzACWVafiPXsKE9TIUgOnc46t6fyoV/view?usp=drivesdk" TargetMode="External"/><Relationship Id="rId90" Type="http://schemas.openxmlformats.org/officeDocument/2006/relationships/hyperlink" Target="https://drive.google.com/file/d/1R8AluAH-hQFb7XThFVglThHMWb1uTDvw/view?usp=drivesdk" TargetMode="External"/><Relationship Id="rId93" Type="http://schemas.openxmlformats.org/officeDocument/2006/relationships/hyperlink" Target="https://drive.google.com/file/d/1heNv_usigEMOM6B5MNYwgrmuQ1SZCfrz/view?usp=drivesdk" TargetMode="External"/><Relationship Id="rId92" Type="http://schemas.openxmlformats.org/officeDocument/2006/relationships/hyperlink" Target="https://drive.google.com/file/d/1YpQPVelmfkRortpBBN-AMCZ-QfwGn-kE/view?usp=drivesdk" TargetMode="External"/><Relationship Id="rId359" Type="http://schemas.openxmlformats.org/officeDocument/2006/relationships/hyperlink" Target="https://drive.google.com/file/d/1OXvDXwrqjyoyCPM1M2bETKKbqCb8KbI7/view?usp=drivesdk" TargetMode="External"/><Relationship Id="rId358" Type="http://schemas.openxmlformats.org/officeDocument/2006/relationships/hyperlink" Target="https://drive.google.com/file/d/1JCGE-h2mPzsT7G-_XqzpdjtD7wGkEHWm/view?usp=drivesdk" TargetMode="External"/><Relationship Id="rId357" Type="http://schemas.openxmlformats.org/officeDocument/2006/relationships/hyperlink" Target="https://drive.google.com/file/d/1SyoTwlyoWFVP75ttBz2HH-llyqims492/view?usp=drivesdk" TargetMode="External"/><Relationship Id="rId2270" Type="http://schemas.openxmlformats.org/officeDocument/2006/relationships/hyperlink" Target="https://drive.google.com/file/d/1obukc6TnNLGiiHILt83aD1u30qARBk2F/view?usp=drivesdk" TargetMode="External"/><Relationship Id="rId2271" Type="http://schemas.openxmlformats.org/officeDocument/2006/relationships/hyperlink" Target="https://drive.google.com/file/d/1ZN5p7erRyn-xLco3NjQF2EidFwvh_1DS/view?usp=drivesdk" TargetMode="External"/><Relationship Id="rId352" Type="http://schemas.openxmlformats.org/officeDocument/2006/relationships/hyperlink" Target="https://drive.google.com/file/d/1sH9Hvf1Fo-rhoGdk9Ga5dgSgQNICa7GY/view?usp=drivesdk" TargetMode="External"/><Relationship Id="rId2272" Type="http://schemas.openxmlformats.org/officeDocument/2006/relationships/hyperlink" Target="https://drive.google.com/file/d/1HvvUpGtcaoRo1vObNeLoa17wVxE6tCjn/view?usp=drivesdk" TargetMode="External"/><Relationship Id="rId351" Type="http://schemas.openxmlformats.org/officeDocument/2006/relationships/hyperlink" Target="https://drive.google.com/file/d/1QIZflu0Rn35vgtudoVESPYwJwO2wxiN3/view?usp=drivesdk" TargetMode="External"/><Relationship Id="rId2273" Type="http://schemas.openxmlformats.org/officeDocument/2006/relationships/hyperlink" Target="https://drive.google.com/file/d/1nfD7MaYy2Qv6p-KbTpRspFg248O-25sA/view?usp=drivesdk" TargetMode="External"/><Relationship Id="rId350" Type="http://schemas.openxmlformats.org/officeDocument/2006/relationships/hyperlink" Target="https://drive.google.com/file/d/1AnS_I8G66Gxd6_IIW50q0dqnhpR4NTkE/view?usp=drivesdk" TargetMode="External"/><Relationship Id="rId2274" Type="http://schemas.openxmlformats.org/officeDocument/2006/relationships/hyperlink" Target="https://drive.google.com/file/d/1Sgwb_zy0DNoujHwCieCi0ECOpv5ZTjju/view?usp=drivesdk" TargetMode="External"/><Relationship Id="rId2275" Type="http://schemas.openxmlformats.org/officeDocument/2006/relationships/hyperlink" Target="https://drive.google.com/file/d/1vAeJTSe0gCL7SOwf8fWuwIVe5hewTWnn/view?usp=drivesdk" TargetMode="External"/><Relationship Id="rId356" Type="http://schemas.openxmlformats.org/officeDocument/2006/relationships/hyperlink" Target="https://drive.google.com/file/d/1pZ0s1I-sgbDtUTnm540U6dlzPvnX0xmN/view?usp=drivesdk" TargetMode="External"/><Relationship Id="rId2276" Type="http://schemas.openxmlformats.org/officeDocument/2006/relationships/hyperlink" Target="https://drive.google.com/file/d/1GAvyZNCGRLQKUQ03RIqJKAtmdJCjiZX8/view?usp=drivesdk" TargetMode="External"/><Relationship Id="rId355" Type="http://schemas.openxmlformats.org/officeDocument/2006/relationships/hyperlink" Target="https://drive.google.com/file/d/1I16mYJu0fcdWhrUZC3qYIcqmkk4nbdfS/view?usp=drivesdk" TargetMode="External"/><Relationship Id="rId2277" Type="http://schemas.openxmlformats.org/officeDocument/2006/relationships/hyperlink" Target="https://drive.google.com/file/d/15EpTZg4pprp7qgixyx_50xoSd6A1z95V/view?usp=drivesdk" TargetMode="External"/><Relationship Id="rId354" Type="http://schemas.openxmlformats.org/officeDocument/2006/relationships/hyperlink" Target="https://drive.google.com/file/d/1Sb49UrHFO1h7lmZxwKqf2ezlSMdOYctS/view?usp=drivesdk" TargetMode="External"/><Relationship Id="rId2278" Type="http://schemas.openxmlformats.org/officeDocument/2006/relationships/hyperlink" Target="https://drive.google.com/file/d/19DiuZyMqj27PsqrOJBKYTUIXndFfjpz9/view?usp=drivesdk" TargetMode="External"/><Relationship Id="rId353" Type="http://schemas.openxmlformats.org/officeDocument/2006/relationships/hyperlink" Target="https://drive.google.com/file/d/151bO35XpdFXVEFbyBYJoILPlLgOEmVLk/view?usp=drivesdk" TargetMode="External"/><Relationship Id="rId2279" Type="http://schemas.openxmlformats.org/officeDocument/2006/relationships/hyperlink" Target="https://drive.google.com/file/d/14xHgeySDx6hidjJbQOTJAEK2KC8DURPr/view?usp=drivesdk" TargetMode="External"/><Relationship Id="rId1378" Type="http://schemas.openxmlformats.org/officeDocument/2006/relationships/hyperlink" Target="https://drive.google.com/file/d/1eyNf2SRJp68jRik2uBhVj2xk-TehEtMa/view?usp=drivesdk" TargetMode="External"/><Relationship Id="rId2225" Type="http://schemas.openxmlformats.org/officeDocument/2006/relationships/hyperlink" Target="https://drive.google.com/file/d/178jA6xMU9F0NVcVIzTar8jLHeNo-l-2x/view?usp=drivesdk" TargetMode="External"/><Relationship Id="rId1379" Type="http://schemas.openxmlformats.org/officeDocument/2006/relationships/hyperlink" Target="https://drive.google.com/file/d/1uMu3p9ChWVTdHqScGnsVb4e-88FfERIf/view?usp=drivesdk" TargetMode="External"/><Relationship Id="rId2226" Type="http://schemas.openxmlformats.org/officeDocument/2006/relationships/hyperlink" Target="https://drive.google.com/file/d/1hLslTya_2v-nwWwLmggWmq5nm3hb2_yD/view?usp=drivesdk" TargetMode="External"/><Relationship Id="rId2227" Type="http://schemas.openxmlformats.org/officeDocument/2006/relationships/hyperlink" Target="https://drive.google.com/file/d/1SL6SP9rgzjjD16AlyL41VKUmwWCwr5bJ/view?usp=drivesdk" TargetMode="External"/><Relationship Id="rId2228" Type="http://schemas.openxmlformats.org/officeDocument/2006/relationships/hyperlink" Target="https://drive.google.com/file/d/1nZdtNy2sTn1Xgn6C_V_gOGfWdb08tlA0/view?usp=drivesdk" TargetMode="External"/><Relationship Id="rId2229" Type="http://schemas.openxmlformats.org/officeDocument/2006/relationships/hyperlink" Target="https://drive.google.com/file/d/1a60hgovm7CjKyIguBzPoHMMhoJwDF36m/view?usp=drivesdk" TargetMode="External"/><Relationship Id="rId305" Type="http://schemas.openxmlformats.org/officeDocument/2006/relationships/hyperlink" Target="https://drive.google.com/file/d/1vsPGB_j3l9gkUvuxpVNPvyaYbhdficlU/view?usp=drivesdk" TargetMode="External"/><Relationship Id="rId789" Type="http://schemas.openxmlformats.org/officeDocument/2006/relationships/hyperlink" Target="https://drive.google.com/file/d/1rOx1oJt2gQlBiqkPlt2SLHfRgaqObzvV/view?usp=drivesdk" TargetMode="External"/><Relationship Id="rId304" Type="http://schemas.openxmlformats.org/officeDocument/2006/relationships/hyperlink" Target="https://drive.google.com/file/d/1w_qmi6AvudQX9z3XEVMuaEb9ePy5iAgd/view?usp=drivesdk" TargetMode="External"/><Relationship Id="rId788" Type="http://schemas.openxmlformats.org/officeDocument/2006/relationships/hyperlink" Target="https://drive.google.com/file/d/1aqBqk1ITZvF1wnYeybjRpXe4muifhrqh/view?usp=drivesdk" TargetMode="External"/><Relationship Id="rId303" Type="http://schemas.openxmlformats.org/officeDocument/2006/relationships/hyperlink" Target="https://drive.google.com/file/d/1C48SyObInniogccRGhED-AL1oI8xy0bb/view?usp=drivesdk" TargetMode="External"/><Relationship Id="rId787" Type="http://schemas.openxmlformats.org/officeDocument/2006/relationships/hyperlink" Target="https://drive.google.com/file/d/1ZagRqAs4R7Nq5jhOMqbcqtpLvoxWX6Ur/view?usp=drivesdk" TargetMode="External"/><Relationship Id="rId302" Type="http://schemas.openxmlformats.org/officeDocument/2006/relationships/hyperlink" Target="https://drive.google.com/file/d/1qMELq4MgoeszO4visFmxAMQgyIuWhA2r/view?usp=drivesdk" TargetMode="External"/><Relationship Id="rId786" Type="http://schemas.openxmlformats.org/officeDocument/2006/relationships/hyperlink" Target="https://drive.google.com/file/d/12GKsxWL-VA6Dw1vXTKBL6WdfC7piEed2/view?usp=drivesdk" TargetMode="External"/><Relationship Id="rId309" Type="http://schemas.openxmlformats.org/officeDocument/2006/relationships/hyperlink" Target="https://drive.google.com/file/d/1K_9wN4fF7Y1j0FJAFQ9A54bc-EjpDD4I/view?usp=drivesdk" TargetMode="External"/><Relationship Id="rId308" Type="http://schemas.openxmlformats.org/officeDocument/2006/relationships/hyperlink" Target="https://drive.google.com/file/d/1fRtFGB0tcwO_Ipa612ryCMhxvcByLslk/view?usp=drivesdk" TargetMode="External"/><Relationship Id="rId307" Type="http://schemas.openxmlformats.org/officeDocument/2006/relationships/hyperlink" Target="https://drive.google.com/file/d/1hGgHQ7-BFV0RNyI-nBmxIvYf7zRvSN5i/view?usp=drivesdk" TargetMode="External"/><Relationship Id="rId306" Type="http://schemas.openxmlformats.org/officeDocument/2006/relationships/hyperlink" Target="https://drive.google.com/file/d/1Zh7qVi5FCjLw0iKOV3SPCPjf1gfvhvah/view?usp=drivesdk" TargetMode="External"/><Relationship Id="rId781" Type="http://schemas.openxmlformats.org/officeDocument/2006/relationships/hyperlink" Target="https://drive.google.com/file/d/11wRtkl9FTeuX-7Q4ysSOT6m00JF-_YQv/view?usp=drivesdk" TargetMode="External"/><Relationship Id="rId1370" Type="http://schemas.openxmlformats.org/officeDocument/2006/relationships/hyperlink" Target="https://drive.google.com/file/d/19V5NgAk8dTA4uGIzNrqUBg4RtezVzyAc/view?usp=drivesdk" TargetMode="External"/><Relationship Id="rId780" Type="http://schemas.openxmlformats.org/officeDocument/2006/relationships/hyperlink" Target="https://drive.google.com/file/d/19eIWepqfDu3M2mIta_hWZ8aUlQW_7VqY/view?usp=drivesdk" TargetMode="External"/><Relationship Id="rId1371" Type="http://schemas.openxmlformats.org/officeDocument/2006/relationships/hyperlink" Target="https://drive.google.com/file/d/18g3AajASqf7cR2e-lqvr5aPdVMk0cVMe/view?usp=drivesdk" TargetMode="External"/><Relationship Id="rId1372" Type="http://schemas.openxmlformats.org/officeDocument/2006/relationships/hyperlink" Target="https://drive.google.com/file/d/1CjW1oOFABajJwAqm-oMB_p0xgwkIEKdj/view?usp=drivesdk" TargetMode="External"/><Relationship Id="rId1373" Type="http://schemas.openxmlformats.org/officeDocument/2006/relationships/hyperlink" Target="https://drive.google.com/file/d/1D4oDQSizbF6KXhON_dofJ3s-SWwTakqn/view?usp=drivesdk" TargetMode="External"/><Relationship Id="rId2220" Type="http://schemas.openxmlformats.org/officeDocument/2006/relationships/hyperlink" Target="https://drive.google.com/file/d/1PPW_zfV-ksf7d2nvMKW-heQhRDckvM4u/view?usp=drivesdk" TargetMode="External"/><Relationship Id="rId301" Type="http://schemas.openxmlformats.org/officeDocument/2006/relationships/hyperlink" Target="https://drive.google.com/file/d/1tnQR1x_oqvs-OE4LNuzYdATa9cVTxsC6/view?usp=drivesdk" TargetMode="External"/><Relationship Id="rId785" Type="http://schemas.openxmlformats.org/officeDocument/2006/relationships/hyperlink" Target="https://drive.google.com/file/d/1e_rngAUubOybHTF_MDbSqUvdvp9ufiFV/view?usp=drivesdk" TargetMode="External"/><Relationship Id="rId1374" Type="http://schemas.openxmlformats.org/officeDocument/2006/relationships/hyperlink" Target="https://drive.google.com/file/d/1AeM-OKYFH11yX59pRimnkm2NPg32o9aP/view?usp=drivesdk" TargetMode="External"/><Relationship Id="rId2221" Type="http://schemas.openxmlformats.org/officeDocument/2006/relationships/hyperlink" Target="https://drive.google.com/file/d/1J-6VRI8yR_RlZvMm15gcLxq7uWiWowvE/view?usp=drivesdk" TargetMode="External"/><Relationship Id="rId300" Type="http://schemas.openxmlformats.org/officeDocument/2006/relationships/hyperlink" Target="https://drive.google.com/file/d/1CUVyIET4yaFeAcTvgtBjWpbfERHUM5i8/view?usp=drivesdk" TargetMode="External"/><Relationship Id="rId784" Type="http://schemas.openxmlformats.org/officeDocument/2006/relationships/hyperlink" Target="https://drive.google.com/file/d/1JVKmMizB7yx6FIceW6WR1nPe2D_H4IK9/view?usp=drivesdk" TargetMode="External"/><Relationship Id="rId1375" Type="http://schemas.openxmlformats.org/officeDocument/2006/relationships/hyperlink" Target="https://drive.google.com/file/d/1xPwoDvI9ouokfoGz4SzeXM38gZ9ce0K0/view?usp=drivesdk" TargetMode="External"/><Relationship Id="rId2222" Type="http://schemas.openxmlformats.org/officeDocument/2006/relationships/hyperlink" Target="https://drive.google.com/file/d/1VMcMjrtoHLeq6CB_-yJ5TjEyetpCfygJ/view?usp=drivesdk" TargetMode="External"/><Relationship Id="rId783" Type="http://schemas.openxmlformats.org/officeDocument/2006/relationships/hyperlink" Target="https://drive.google.com/file/d/1XOfYCvnFtcFxwCZD5iZhePPrQ6d7mR_C/view?usp=drivesdk" TargetMode="External"/><Relationship Id="rId1376" Type="http://schemas.openxmlformats.org/officeDocument/2006/relationships/hyperlink" Target="https://drive.google.com/file/d/1HR6vSZBXKLMY0bRyIjcNZKrUym76Mcpz/view?usp=drivesdk" TargetMode="External"/><Relationship Id="rId2223" Type="http://schemas.openxmlformats.org/officeDocument/2006/relationships/hyperlink" Target="https://drive.google.com/file/d/1zRciUgbzAf4_jl_NgyK2ki8An3vDV33c/view?usp=drivesdk" TargetMode="External"/><Relationship Id="rId782" Type="http://schemas.openxmlformats.org/officeDocument/2006/relationships/hyperlink" Target="https://drive.google.com/file/d/1MotzWHoJjqUMTrfkF9Oaa7NPkDA9sYiB/view?usp=drivesdk" TargetMode="External"/><Relationship Id="rId1377" Type="http://schemas.openxmlformats.org/officeDocument/2006/relationships/hyperlink" Target="https://drive.google.com/file/d/12yQ-MSj4puz-mQCt3ViuAsPq2znAUSUr/view?usp=drivesdk" TargetMode="External"/><Relationship Id="rId2224" Type="http://schemas.openxmlformats.org/officeDocument/2006/relationships/hyperlink" Target="https://drive.google.com/file/d/1N4WaGNUftF7SZt6fr4O8peWs1aPTv_Q4/view?usp=drivesdk" TargetMode="External"/><Relationship Id="rId1367" Type="http://schemas.openxmlformats.org/officeDocument/2006/relationships/hyperlink" Target="https://drive.google.com/file/d/1WQyR9wanZadM_QTTSumaqVDrP1UT7-h1/view?usp=drivesdk" TargetMode="External"/><Relationship Id="rId2214" Type="http://schemas.openxmlformats.org/officeDocument/2006/relationships/hyperlink" Target="https://drive.google.com/file/d/1fbp7ApBYZXMUKCYNuHiAhBiTsEQVnfZH/view?usp=drivesdk" TargetMode="External"/><Relationship Id="rId1368" Type="http://schemas.openxmlformats.org/officeDocument/2006/relationships/hyperlink" Target="https://drive.google.com/file/d/1U0h3ykcivUN9fsUWo36yuEE_xXj43VMx/view?usp=drivesdk" TargetMode="External"/><Relationship Id="rId2215" Type="http://schemas.openxmlformats.org/officeDocument/2006/relationships/hyperlink" Target="https://drive.google.com/file/d/1jO9KVERi2X5gyjiYUWv1gwxJNqFNiUwZ/view?usp=drivesdk" TargetMode="External"/><Relationship Id="rId1369" Type="http://schemas.openxmlformats.org/officeDocument/2006/relationships/hyperlink" Target="https://drive.google.com/file/d/1azAvTAbrx4jtkIxMZFcjzE2nENd-7xsm/view?usp=drivesdk" TargetMode="External"/><Relationship Id="rId2216" Type="http://schemas.openxmlformats.org/officeDocument/2006/relationships/hyperlink" Target="https://drive.google.com/file/d/1vJhmh9hFcuQO5oT5al6e35V0a7BwEOCn/view?usp=drivesdk" TargetMode="External"/><Relationship Id="rId2217" Type="http://schemas.openxmlformats.org/officeDocument/2006/relationships/hyperlink" Target="https://drive.google.com/file/d/10mYj07NFN46z6Kwr4Y2Ee4SGLBw3D6Wl/view?usp=drivesdk" TargetMode="External"/><Relationship Id="rId2218" Type="http://schemas.openxmlformats.org/officeDocument/2006/relationships/hyperlink" Target="https://drive.google.com/file/d/1u52uIcVF6TAMA3l4GhVGJzJ7_VCdNsyY/view?usp=drivesdk" TargetMode="External"/><Relationship Id="rId2219" Type="http://schemas.openxmlformats.org/officeDocument/2006/relationships/hyperlink" Target="https://drive.google.com/file/d/1Trv4CIQg-4Rk9E78ukmIdzr0Wu1KKgfM/view?usp=drivesdk" TargetMode="External"/><Relationship Id="rId778" Type="http://schemas.openxmlformats.org/officeDocument/2006/relationships/hyperlink" Target="https://drive.google.com/file/d/1VHocoRzT8DubRPYLDdOmLE_ZG3mOhO09/view?usp=drivesdk" TargetMode="External"/><Relationship Id="rId777" Type="http://schemas.openxmlformats.org/officeDocument/2006/relationships/hyperlink" Target="https://drive.google.com/file/d/1BxiZMdQpRf0xba6Yc7DQM5HRhudGz33p/view?usp=drivesdk" TargetMode="External"/><Relationship Id="rId776" Type="http://schemas.openxmlformats.org/officeDocument/2006/relationships/hyperlink" Target="https://drive.google.com/file/d/1LaG7bfcKRBo0WfO_lohggT49kpa18fo4/view?usp=drivesdk" TargetMode="External"/><Relationship Id="rId775" Type="http://schemas.openxmlformats.org/officeDocument/2006/relationships/hyperlink" Target="https://drive.google.com/file/d/1vb7XZj0lmwGQOrkzmAPvsY5EhS1nkDv7/view?usp=drivesdk" TargetMode="External"/><Relationship Id="rId779" Type="http://schemas.openxmlformats.org/officeDocument/2006/relationships/hyperlink" Target="https://drive.google.com/file/d/14oCbVQwIhxx_faYb9b6GXXjdyJs6saiw/view?usp=drivesdk" TargetMode="External"/><Relationship Id="rId770" Type="http://schemas.openxmlformats.org/officeDocument/2006/relationships/hyperlink" Target="https://drive.google.com/file/d/1wjYKVvLl7FmMfPGHsXQqRknQrmvYP1pr/view?usp=drivesdk" TargetMode="External"/><Relationship Id="rId1360" Type="http://schemas.openxmlformats.org/officeDocument/2006/relationships/hyperlink" Target="https://drive.google.com/file/d/16T7-ymEB6O21wyiaKPkiO_W52GGl8SwB/view?usp=drivesdk" TargetMode="External"/><Relationship Id="rId1361" Type="http://schemas.openxmlformats.org/officeDocument/2006/relationships/hyperlink" Target="https://drive.google.com/file/d/1dYlfrpVQUycaU9aDYNZfg243QTEqva9m/view?usp=drivesdk" TargetMode="External"/><Relationship Id="rId1362" Type="http://schemas.openxmlformats.org/officeDocument/2006/relationships/hyperlink" Target="https://drive.google.com/file/d/1HaymJjolfHRwp4T3PrpeKhxxORZeTTIN/view?usp=drivesdk" TargetMode="External"/><Relationship Id="rId774" Type="http://schemas.openxmlformats.org/officeDocument/2006/relationships/hyperlink" Target="https://drive.google.com/file/d/1gfeXi-2wpb5sjRLu9fNe0XdaRsuzOiZK/view?usp=drivesdk" TargetMode="External"/><Relationship Id="rId1363" Type="http://schemas.openxmlformats.org/officeDocument/2006/relationships/hyperlink" Target="https://drive.google.com/file/d/1sF9_6OYuIQkIqvvkA7bVR0HoW_Sbw22f/view?usp=drivesdk" TargetMode="External"/><Relationship Id="rId2210" Type="http://schemas.openxmlformats.org/officeDocument/2006/relationships/hyperlink" Target="https://drive.google.com/file/d/1LRp82AMY4KWTzHjKeqJQfVuMIv0CH2ri/view?usp=drivesdk" TargetMode="External"/><Relationship Id="rId773" Type="http://schemas.openxmlformats.org/officeDocument/2006/relationships/hyperlink" Target="https://drive.google.com/file/d/132h9rXsJgnfYwhmxfzAJznGD1hAalQQ_/view?usp=drivesdk" TargetMode="External"/><Relationship Id="rId1364" Type="http://schemas.openxmlformats.org/officeDocument/2006/relationships/hyperlink" Target="https://drive.google.com/file/d/1C22LcRT9jgdT7_tFoIhMqpwpdb_dsu8G/view?usp=drivesdk" TargetMode="External"/><Relationship Id="rId2211" Type="http://schemas.openxmlformats.org/officeDocument/2006/relationships/hyperlink" Target="https://drive.google.com/file/d/1073ubzTvR5dZvrBtpfMWEAi8DU1ROC9U/view?usp=drivesdk" TargetMode="External"/><Relationship Id="rId772" Type="http://schemas.openxmlformats.org/officeDocument/2006/relationships/hyperlink" Target="https://drive.google.com/file/d/1qLjX5UtCZqobJtRjqvt4bq0sr-_MRwcF/view?usp=drivesdk" TargetMode="External"/><Relationship Id="rId1365" Type="http://schemas.openxmlformats.org/officeDocument/2006/relationships/hyperlink" Target="https://drive.google.com/file/d/1VJlAA48HkfAMRwFfQ9WDBXC7ppLWP_2N/view?usp=drivesdk" TargetMode="External"/><Relationship Id="rId2212" Type="http://schemas.openxmlformats.org/officeDocument/2006/relationships/hyperlink" Target="https://drive.google.com/file/d/1gtvapwR8OTswPM_plqc-NcDcW--AF7vS/view?usp=drivesdk" TargetMode="External"/><Relationship Id="rId771" Type="http://schemas.openxmlformats.org/officeDocument/2006/relationships/hyperlink" Target="https://drive.google.com/file/d/1bB71vZtl5R2l2ER_x-92hs_WXR1cMPQa/view?usp=drivesdk" TargetMode="External"/><Relationship Id="rId1366" Type="http://schemas.openxmlformats.org/officeDocument/2006/relationships/hyperlink" Target="https://drive.google.com/file/d/1QDd92R5HWZwV0V3A3fiaivZFoqn3BhBs/view?usp=drivesdk" TargetMode="External"/><Relationship Id="rId2213" Type="http://schemas.openxmlformats.org/officeDocument/2006/relationships/hyperlink" Target="https://drive.google.com/file/d/1k0IZAFLqeJGIRNUV6kK-gDj7i2u2_reX/view?usp=drivesdk" TargetMode="External"/><Relationship Id="rId2247" Type="http://schemas.openxmlformats.org/officeDocument/2006/relationships/hyperlink" Target="https://drive.google.com/file/d/1_zWLvQRss6eLkRILckPR3MfX_2SshApu/view?usp=drivesdk" TargetMode="External"/><Relationship Id="rId2248" Type="http://schemas.openxmlformats.org/officeDocument/2006/relationships/hyperlink" Target="https://drive.google.com/file/d/1VRebVIgsM2PuuOmEgwNtSWYzD9yg2Ng0/view?usp=drivesdk" TargetMode="External"/><Relationship Id="rId2249" Type="http://schemas.openxmlformats.org/officeDocument/2006/relationships/hyperlink" Target="https://drive.google.com/file/d/1rbp0E3jLvj7ohL0L3rWugezr-t-kfCB_/view?usp=drivesdk" TargetMode="External"/><Relationship Id="rId327" Type="http://schemas.openxmlformats.org/officeDocument/2006/relationships/hyperlink" Target="https://drive.google.com/file/d/1hIH1rhSaDai8xV0JXFp8AroR33IEoRtI/view?usp=drivesdk" TargetMode="External"/><Relationship Id="rId326" Type="http://schemas.openxmlformats.org/officeDocument/2006/relationships/hyperlink" Target="https://drive.google.com/file/d/1JgUnoZQjSOnRTvjUqngjEaKm5oNH3b7Z/view?usp=drivesdk" TargetMode="External"/><Relationship Id="rId325" Type="http://schemas.openxmlformats.org/officeDocument/2006/relationships/hyperlink" Target="https://drive.google.com/file/d/1dD3W5lJJ6ad5fLxr_Xft_ZNT2OVmxHdW/view?usp=drivesdk" TargetMode="External"/><Relationship Id="rId324" Type="http://schemas.openxmlformats.org/officeDocument/2006/relationships/hyperlink" Target="https://drive.google.com/file/d/1H7Wo_fdcOhM4GMwwPEgczGe2QU6pJ2Fy/view?usp=drivesdk" TargetMode="External"/><Relationship Id="rId329" Type="http://schemas.openxmlformats.org/officeDocument/2006/relationships/hyperlink" Target="https://drive.google.com/file/d/1I-px4H0LYV1oxlEtkZBa3TBqXMJxvVfd/view?usp=drivesdk" TargetMode="External"/><Relationship Id="rId1390" Type="http://schemas.openxmlformats.org/officeDocument/2006/relationships/hyperlink" Target="https://drive.google.com/file/d/1_JjnS_4DpkogBJqh1YNDPSDn8Bkm6XHf/view?usp=drivesdk" TargetMode="External"/><Relationship Id="rId328" Type="http://schemas.openxmlformats.org/officeDocument/2006/relationships/hyperlink" Target="https://drive.google.com/file/d/1zn5-hwIiIydIJH20Wmc-WT-7mKgxrjUo/view?usp=drivesdk" TargetMode="External"/><Relationship Id="rId1391" Type="http://schemas.openxmlformats.org/officeDocument/2006/relationships/hyperlink" Target="https://drive.google.com/file/d/1Q_fsOvx3TSzAQ8DtKZowzXR1qhV4m9wJ/view?usp=drivesdk" TargetMode="External"/><Relationship Id="rId1392" Type="http://schemas.openxmlformats.org/officeDocument/2006/relationships/hyperlink" Target="https://drive.google.com/file/d/1mx-BAiEyy6iQn8wby8i5uW56AIEwTGYs/view?usp=drivesdk" TargetMode="External"/><Relationship Id="rId1393" Type="http://schemas.openxmlformats.org/officeDocument/2006/relationships/hyperlink" Target="https://drive.google.com/file/d/1PDiToEkFkb-rumfJiR-1cllSS7Ir6j6y/view?usp=drivesdk" TargetMode="External"/><Relationship Id="rId2240" Type="http://schemas.openxmlformats.org/officeDocument/2006/relationships/hyperlink" Target="https://drive.google.com/file/d/1vRidQOmZaX0opfTkjkHeWQxzIuDh7moC/view?usp=drivesdk" TargetMode="External"/><Relationship Id="rId1394" Type="http://schemas.openxmlformats.org/officeDocument/2006/relationships/hyperlink" Target="https://drive.google.com/file/d/1D4qz8J_uEzUKSefqkrigOVBLF2EPL8_F/view?usp=drivesdk" TargetMode="External"/><Relationship Id="rId2241" Type="http://schemas.openxmlformats.org/officeDocument/2006/relationships/hyperlink" Target="https://drive.google.com/file/d/1aUFSdzYG-O3aDt8TZtFmJGbGxJR-bV2s/view?usp=drivesdk" TargetMode="External"/><Relationship Id="rId1395" Type="http://schemas.openxmlformats.org/officeDocument/2006/relationships/hyperlink" Target="https://drive.google.com/file/d/1Ofp-24-7bZ2YnstPdA1P4ERfWDv8Or92/view?usp=drivesdk" TargetMode="External"/><Relationship Id="rId2242" Type="http://schemas.openxmlformats.org/officeDocument/2006/relationships/hyperlink" Target="https://drive.google.com/file/d/1xLYuBtDfuodp4bcMQ_eHUuNQAkKa5zaA/view?usp=drivesdk" TargetMode="External"/><Relationship Id="rId323" Type="http://schemas.openxmlformats.org/officeDocument/2006/relationships/hyperlink" Target="https://drive.google.com/file/d/1FTdF_BWtlnNzjmmo0GTF2vddeY0qcrTV/view?usp=drivesdk" TargetMode="External"/><Relationship Id="rId1396" Type="http://schemas.openxmlformats.org/officeDocument/2006/relationships/hyperlink" Target="https://drive.google.com/file/d/12FkzcsnvoWu5Nyc_RljJ5exiq73eippo/view?usp=drivesdk" TargetMode="External"/><Relationship Id="rId2243" Type="http://schemas.openxmlformats.org/officeDocument/2006/relationships/hyperlink" Target="https://drive.google.com/file/d/1n1IH2Wfhd8N04XYnDcyH-GjppbyJUia9/view?usp=drivesdk" TargetMode="External"/><Relationship Id="rId322" Type="http://schemas.openxmlformats.org/officeDocument/2006/relationships/hyperlink" Target="https://drive.google.com/file/d/1i67OcZ-jtq0EDKgjR388R2U449ISboUv/view?usp=drivesdk" TargetMode="External"/><Relationship Id="rId1397" Type="http://schemas.openxmlformats.org/officeDocument/2006/relationships/hyperlink" Target="https://drive.google.com/file/d/1SnfzcKjV02nLSuMe5a8_tVH37NdSrmhV/view?usp=drivesdk" TargetMode="External"/><Relationship Id="rId2244" Type="http://schemas.openxmlformats.org/officeDocument/2006/relationships/hyperlink" Target="https://drive.google.com/file/d/1gs6udu5AC4xNrtaw8kXcQd6-Cr3Cq_GD/view?usp=drivesdk" TargetMode="External"/><Relationship Id="rId321" Type="http://schemas.openxmlformats.org/officeDocument/2006/relationships/hyperlink" Target="https://drive.google.com/file/d/1Ux8i6YX4zlpqQlGK9OwjHzQJlG52wbnz/view?usp=drivesdk" TargetMode="External"/><Relationship Id="rId1398" Type="http://schemas.openxmlformats.org/officeDocument/2006/relationships/hyperlink" Target="https://drive.google.com/file/d/1aITdivN8bq2OhZeO6KIH1TNpPkDq9zPz/view?usp=drivesdk" TargetMode="External"/><Relationship Id="rId2245" Type="http://schemas.openxmlformats.org/officeDocument/2006/relationships/hyperlink" Target="https://drive.google.com/file/d/1_h8kQ0YB5SNReJ1Lml1dHDD7qHMg6clo/view?usp=drivesdk" TargetMode="External"/><Relationship Id="rId320" Type="http://schemas.openxmlformats.org/officeDocument/2006/relationships/hyperlink" Target="https://drive.google.com/file/d/1rJ44HgCbd_B7Isi06ehtY0ojxVNPbBVm/view?usp=drivesdk" TargetMode="External"/><Relationship Id="rId1399" Type="http://schemas.openxmlformats.org/officeDocument/2006/relationships/hyperlink" Target="https://drive.google.com/file/d/12AmcUpYLUdDOn5V9481X9b8ePR3gpekr/view?usp=drivesdk" TargetMode="External"/><Relationship Id="rId2246" Type="http://schemas.openxmlformats.org/officeDocument/2006/relationships/hyperlink" Target="https://drive.google.com/file/d/1hKVaBSF-4BmLVni1roJ0-wZGf3vc5zR5/view?usp=drivesdk" TargetMode="External"/><Relationship Id="rId1389" Type="http://schemas.openxmlformats.org/officeDocument/2006/relationships/hyperlink" Target="https://drive.google.com/file/d/1y2xm-OOPgPFl0RkuJ8tU8SRal9XnxnMi/view?usp=drivesdk" TargetMode="External"/><Relationship Id="rId2236" Type="http://schemas.openxmlformats.org/officeDocument/2006/relationships/hyperlink" Target="https://drive.google.com/file/d/1NqiGgdJmZqMDBk0HBvm2sIUrmstHG7kb/view?usp=drivesdk" TargetMode="External"/><Relationship Id="rId2237" Type="http://schemas.openxmlformats.org/officeDocument/2006/relationships/hyperlink" Target="https://drive.google.com/file/d/1XXSjt3vVmQpBkIuYS_MntQk4GwRZ7OB3/view?usp=drivesdk" TargetMode="External"/><Relationship Id="rId2238" Type="http://schemas.openxmlformats.org/officeDocument/2006/relationships/hyperlink" Target="https://drive.google.com/file/d/1AEeoKhs8vpOO3iR8dh_QoHDPtUY90OWA/view?usp=drivesdk" TargetMode="External"/><Relationship Id="rId2239" Type="http://schemas.openxmlformats.org/officeDocument/2006/relationships/hyperlink" Target="https://drive.google.com/file/d/1Wc-e9Bv9xJrD-hIR8dQfB4XxThgHyEEB/view?usp=drivesdk" TargetMode="External"/><Relationship Id="rId316" Type="http://schemas.openxmlformats.org/officeDocument/2006/relationships/hyperlink" Target="https://drive.google.com/file/d/1sWJl-AhWOtsljURCfGZbIBfKDDmB7x41/view?usp=drivesdk" TargetMode="External"/><Relationship Id="rId315" Type="http://schemas.openxmlformats.org/officeDocument/2006/relationships/hyperlink" Target="https://drive.google.com/file/d/1W1rJCIDowWm9gJcgxe_aCRZjPLBs7-Fv/view?usp=drivesdk" TargetMode="External"/><Relationship Id="rId799" Type="http://schemas.openxmlformats.org/officeDocument/2006/relationships/hyperlink" Target="https://drive.google.com/file/d/1w953vEWXNUkopNIMj13By3tnoedzrR-S/view?usp=drivesdk" TargetMode="External"/><Relationship Id="rId314" Type="http://schemas.openxmlformats.org/officeDocument/2006/relationships/hyperlink" Target="https://drive.google.com/file/d/1jga7grhc8JlGtOY5hIdr46Oo5MZbDPBB/view?usp=drivesdk" TargetMode="External"/><Relationship Id="rId798" Type="http://schemas.openxmlformats.org/officeDocument/2006/relationships/hyperlink" Target="https://drive.google.com/file/d/1ksOJgvMxFXJWPQ0u26-ygbYwEfZiCRDK/view?usp=drivesdk" TargetMode="External"/><Relationship Id="rId313" Type="http://schemas.openxmlformats.org/officeDocument/2006/relationships/hyperlink" Target="https://drive.google.com/file/d/1hgi382mv0OgJ21dtDCQaIQU0vgyBRfEQ/view?usp=drivesdk" TargetMode="External"/><Relationship Id="rId797" Type="http://schemas.openxmlformats.org/officeDocument/2006/relationships/hyperlink" Target="https://drive.google.com/file/d/1_CNrqk3ZzHkjeuoK9o6QuDnb7zEsL-ya/view?usp=drivesdk" TargetMode="External"/><Relationship Id="rId319" Type="http://schemas.openxmlformats.org/officeDocument/2006/relationships/hyperlink" Target="https://drive.google.com/file/d/1UF4vJdoXa9ocTX_HoVWyogdh0BS_hYtN/view?usp=drivesdk" TargetMode="External"/><Relationship Id="rId318" Type="http://schemas.openxmlformats.org/officeDocument/2006/relationships/hyperlink" Target="https://drive.google.com/file/d/1G8EdZo4gWilnurjAMKm0m0DQRSzCbHa7/view?usp=drivesdk" TargetMode="External"/><Relationship Id="rId317" Type="http://schemas.openxmlformats.org/officeDocument/2006/relationships/hyperlink" Target="https://drive.google.com/file/d/1x34cah_wQNI8KcN5huL6rf_WTy6DkaeS/view?usp=drivesdk" TargetMode="External"/><Relationship Id="rId1380" Type="http://schemas.openxmlformats.org/officeDocument/2006/relationships/hyperlink" Target="https://drive.google.com/file/d/19MiCUCqKxxXNTpVGLwWRiJgMt1KEV7xZ/view?usp=drivesdk" TargetMode="External"/><Relationship Id="rId792" Type="http://schemas.openxmlformats.org/officeDocument/2006/relationships/hyperlink" Target="https://drive.google.com/file/d/1-3UsA_F-_NCgAia136mReebgkJR_CAg3/view?usp=drivesdk" TargetMode="External"/><Relationship Id="rId1381" Type="http://schemas.openxmlformats.org/officeDocument/2006/relationships/hyperlink" Target="https://drive.google.com/file/d/1cPLHwpgK56xWxXbx69Kt8y-3g1alqz6R/view?usp=drivesdk" TargetMode="External"/><Relationship Id="rId791" Type="http://schemas.openxmlformats.org/officeDocument/2006/relationships/hyperlink" Target="https://drive.google.com/file/d/1_xCO1kbqtBAMuulo_vDr4btd_tgEJDAn/view?usp=drivesdk" TargetMode="External"/><Relationship Id="rId1382" Type="http://schemas.openxmlformats.org/officeDocument/2006/relationships/hyperlink" Target="https://drive.google.com/file/d/1SaYuHVnC5lByxzqd4uJBoPLEisGptjd7/view?usp=drivesdk" TargetMode="External"/><Relationship Id="rId790" Type="http://schemas.openxmlformats.org/officeDocument/2006/relationships/hyperlink" Target="https://drive.google.com/file/d/1bllLE8PtE_WHnURX1A5152zacQzZeiq7/view?usp=drivesdk" TargetMode="External"/><Relationship Id="rId1383" Type="http://schemas.openxmlformats.org/officeDocument/2006/relationships/hyperlink" Target="https://drive.google.com/file/d/1myBXoX_dGcce2DMw5QOPOVKvcOCEfIuk/view?usp=drivesdk" TargetMode="External"/><Relationship Id="rId2230" Type="http://schemas.openxmlformats.org/officeDocument/2006/relationships/hyperlink" Target="https://drive.google.com/file/d/1VB7GqQ4H4r0VMkZbv9ExBolJw4Tvmao7/view?usp=drivesdk" TargetMode="External"/><Relationship Id="rId1384" Type="http://schemas.openxmlformats.org/officeDocument/2006/relationships/hyperlink" Target="https://drive.google.com/file/d/1WSYWDpHDMTzKPcwbt1-zcksPuwkcvRtH/view?usp=drivesdk" TargetMode="External"/><Relationship Id="rId2231" Type="http://schemas.openxmlformats.org/officeDocument/2006/relationships/hyperlink" Target="https://drive.google.com/file/d/1XxA9ehvCTNLCIbQb-GW7iM4uqmqvf1V5/view?usp=drivesdk" TargetMode="External"/><Relationship Id="rId312" Type="http://schemas.openxmlformats.org/officeDocument/2006/relationships/hyperlink" Target="https://drive.google.com/file/d/1X0vbLgifYmIawNjmL9akvDjwgCQyIUal/view?usp=drivesdk" TargetMode="External"/><Relationship Id="rId796" Type="http://schemas.openxmlformats.org/officeDocument/2006/relationships/hyperlink" Target="https://drive.google.com/file/d/1_-ShmGbFan6JcD-Gbor5vlrTcDs3d6sO/view?usp=drivesdk" TargetMode="External"/><Relationship Id="rId1385" Type="http://schemas.openxmlformats.org/officeDocument/2006/relationships/hyperlink" Target="https://drive.google.com/file/d/1a3XdHAcIFhygicnW3E8D2VECMkiSPOY4/view?usp=drivesdk" TargetMode="External"/><Relationship Id="rId2232" Type="http://schemas.openxmlformats.org/officeDocument/2006/relationships/hyperlink" Target="https://drive.google.com/file/d/197OU6yhsGyrC8ICkMpElUMhLawePmLvf/view?usp=drivesdk" TargetMode="External"/><Relationship Id="rId311" Type="http://schemas.openxmlformats.org/officeDocument/2006/relationships/hyperlink" Target="https://drive.google.com/file/d/1O7M-og0XwOOkT6ATlLapgs1ftc9XNybg/view?usp=drivesdk" TargetMode="External"/><Relationship Id="rId795" Type="http://schemas.openxmlformats.org/officeDocument/2006/relationships/hyperlink" Target="https://drive.google.com/file/d/1r-OQVf8SjqOU_sVlXCFB8AmGX73LQIbU/view?usp=drivesdk" TargetMode="External"/><Relationship Id="rId1386" Type="http://schemas.openxmlformats.org/officeDocument/2006/relationships/hyperlink" Target="https://drive.google.com/file/d/1wGod-5Sk7m1xa0dmVjNH7DpLtq0MQtRZ/view?usp=drivesdk" TargetMode="External"/><Relationship Id="rId2233" Type="http://schemas.openxmlformats.org/officeDocument/2006/relationships/hyperlink" Target="https://drive.google.com/file/d/1jDMKSd1NXpRVV10fm_rtmHENpeNAbNVX/view?usp=drivesdk" TargetMode="External"/><Relationship Id="rId310" Type="http://schemas.openxmlformats.org/officeDocument/2006/relationships/hyperlink" Target="https://drive.google.com/file/d/1aDdZN1coO_zcA8ZMaEb1LDgBdOvbLgkO/view?usp=drivesdk" TargetMode="External"/><Relationship Id="rId794" Type="http://schemas.openxmlformats.org/officeDocument/2006/relationships/hyperlink" Target="https://drive.google.com/file/d/1Ye16c-XgUrlxpzMu6tRzTavms1DQJphr/view?usp=drivesdk" TargetMode="External"/><Relationship Id="rId1387" Type="http://schemas.openxmlformats.org/officeDocument/2006/relationships/hyperlink" Target="https://drive.google.com/file/d/1AMuvvIw_h4_OqTFVjCSCx60JLeyfVF2_/view?usp=drivesdk" TargetMode="External"/><Relationship Id="rId2234" Type="http://schemas.openxmlformats.org/officeDocument/2006/relationships/hyperlink" Target="https://drive.google.com/file/d/1AK3-E6BmCnGGK9rYbvSLTzyWxQeVnBKa/view?usp=drivesdk" TargetMode="External"/><Relationship Id="rId793" Type="http://schemas.openxmlformats.org/officeDocument/2006/relationships/hyperlink" Target="https://drive.google.com/file/d/1JnAD07ocTGwS5i7SkRz_PL1O7avEL1b5/view?usp=drivesdk" TargetMode="External"/><Relationship Id="rId1388" Type="http://schemas.openxmlformats.org/officeDocument/2006/relationships/hyperlink" Target="https://drive.google.com/file/d/1y7Xpdbht9vnj2ZxyBQENrNCv-dGXELMr/view?usp=drivesdk" TargetMode="External"/><Relationship Id="rId2235" Type="http://schemas.openxmlformats.org/officeDocument/2006/relationships/hyperlink" Target="https://drive.google.com/file/d/1QOpYTd0bJuHB4Fh5EHf2S8z4vCD801Yv/view?usp=drivesdk" TargetMode="External"/><Relationship Id="rId297" Type="http://schemas.openxmlformats.org/officeDocument/2006/relationships/hyperlink" Target="https://drive.google.com/file/d/1n4EdfETu1GOPhK3YCz-PnmnVJ0kzRZ_1/view?usp=drivesdk" TargetMode="External"/><Relationship Id="rId296" Type="http://schemas.openxmlformats.org/officeDocument/2006/relationships/hyperlink" Target="https://drive.google.com/file/d/1QdaKAYvMi7Umlw9p7aQIc5-u949R1gnC/view?usp=drivesdk" TargetMode="External"/><Relationship Id="rId295" Type="http://schemas.openxmlformats.org/officeDocument/2006/relationships/hyperlink" Target="https://drive.google.com/file/d/16KoMMqsB_NOtbni1F087wwrC7mIktZ5q/view?usp=drivesdk" TargetMode="External"/><Relationship Id="rId294" Type="http://schemas.openxmlformats.org/officeDocument/2006/relationships/hyperlink" Target="https://drive.google.com/file/d/1IfNSS1avSVBvWKmlEsjsmPMpxZIwqSFG/view?usp=drivesdk" TargetMode="External"/><Relationship Id="rId299" Type="http://schemas.openxmlformats.org/officeDocument/2006/relationships/hyperlink" Target="https://drive.google.com/file/d/1SIIHHuPFoAttN8i3zWWX5LrFRfqC_4sp/view?usp=drivesdk" TargetMode="External"/><Relationship Id="rId298" Type="http://schemas.openxmlformats.org/officeDocument/2006/relationships/hyperlink" Target="https://drive.google.com/file/d/1MaYJbV_TK6ypMeDVp0ipTWzRD2oR8aWf/view?usp=drivesdk" TargetMode="External"/><Relationship Id="rId271" Type="http://schemas.openxmlformats.org/officeDocument/2006/relationships/hyperlink" Target="https://drive.google.com/file/d/1nqo8mbp6uiIwTnBmLEMGCYyJiFGM_328/view?usp=drivesdk" TargetMode="External"/><Relationship Id="rId270" Type="http://schemas.openxmlformats.org/officeDocument/2006/relationships/hyperlink" Target="https://drive.google.com/file/d/1pjTx5F7w3F92APME93Pp3jJAu_NoecYb/view?usp=drivesdk" TargetMode="External"/><Relationship Id="rId269" Type="http://schemas.openxmlformats.org/officeDocument/2006/relationships/hyperlink" Target="https://drive.google.com/file/d/1XqtlU6aPjmBFAoVzvRW2k4VnzAnPSysS/view?usp=drivesdk" TargetMode="External"/><Relationship Id="rId264" Type="http://schemas.openxmlformats.org/officeDocument/2006/relationships/hyperlink" Target="https://drive.google.com/file/d/1BvM1wtPKr4zvubxWMmKJtmk1pbdi9Hqu/view?usp=drivesdk" TargetMode="External"/><Relationship Id="rId263" Type="http://schemas.openxmlformats.org/officeDocument/2006/relationships/hyperlink" Target="https://drive.google.com/file/d/1CnRP3OsEM2Vv5I24FInuMa8C9NcqyJuI/view?usp=drivesdk" TargetMode="External"/><Relationship Id="rId262" Type="http://schemas.openxmlformats.org/officeDocument/2006/relationships/hyperlink" Target="https://drive.google.com/file/d/15oKCf7nLwaDUItqVdB0WIAUelmBE4sGA/view?usp=drivesdk" TargetMode="External"/><Relationship Id="rId261" Type="http://schemas.openxmlformats.org/officeDocument/2006/relationships/hyperlink" Target="https://drive.google.com/file/d/1xT2WDsUvcdNfbmB7lnB6ns1MsXGU6PLI/view?usp=drivesdk" TargetMode="External"/><Relationship Id="rId268" Type="http://schemas.openxmlformats.org/officeDocument/2006/relationships/hyperlink" Target="https://drive.google.com/file/d/1g_nzTyxXnpBfFRlxatjcH9Ib_c2KUbNJ/view?usp=drivesdk" TargetMode="External"/><Relationship Id="rId267" Type="http://schemas.openxmlformats.org/officeDocument/2006/relationships/hyperlink" Target="https://drive.google.com/file/d/1P_ja2hfAH8CObryhVHbpgWE8Q9Kxxo3h/view?usp=drivesdk" TargetMode="External"/><Relationship Id="rId266" Type="http://schemas.openxmlformats.org/officeDocument/2006/relationships/hyperlink" Target="https://drive.google.com/file/d/1FrTiSkVmTzGnjmMTPgbkldzXpEk9PWkQ/view?usp=drivesdk" TargetMode="External"/><Relationship Id="rId265" Type="http://schemas.openxmlformats.org/officeDocument/2006/relationships/hyperlink" Target="https://drive.google.com/file/d/1-GYa9hqn8A5isW9NwgxgP5P-6AmFNADt/view?usp=drivesdk" TargetMode="External"/><Relationship Id="rId260" Type="http://schemas.openxmlformats.org/officeDocument/2006/relationships/hyperlink" Target="https://drive.google.com/file/d/1MwOk_GXSxiydrWEgxzEa5PS1Pbnyci87/view?usp=drivesdk" TargetMode="External"/><Relationship Id="rId259" Type="http://schemas.openxmlformats.org/officeDocument/2006/relationships/hyperlink" Target="https://drive.google.com/file/d/1VwNd6ElNabHiqZIEK1ucop5yMa3McIti/view?usp=drivesdk" TargetMode="External"/><Relationship Id="rId258" Type="http://schemas.openxmlformats.org/officeDocument/2006/relationships/hyperlink" Target="https://drive.google.com/file/d/1wXdupEua2vvBNEH2X7l1dv8OsA6gvLpf/view?usp=drivesdk" TargetMode="External"/><Relationship Id="rId2290" Type="http://schemas.openxmlformats.org/officeDocument/2006/relationships/hyperlink" Target="https://drive.google.com/file/d/16l_gUqYzOOXhPOX3gzm_kRzvLxxnr5Oq/view?usp=drivesdk" TargetMode="External"/><Relationship Id="rId2291" Type="http://schemas.openxmlformats.org/officeDocument/2006/relationships/hyperlink" Target="https://drive.google.com/file/d/1Ic0c8Kd1thpMF0bjLhP9HA-Ab9oNJmxc/view?usp=drivesdk" TargetMode="External"/><Relationship Id="rId2292" Type="http://schemas.openxmlformats.org/officeDocument/2006/relationships/hyperlink" Target="https://drive.google.com/file/d/1bNj17QwP5-9TT6W3BvuZTqRfiIMop0rD/view?usp=drivesdk" TargetMode="External"/><Relationship Id="rId2293" Type="http://schemas.openxmlformats.org/officeDocument/2006/relationships/hyperlink" Target="https://drive.google.com/file/d/1lFA4tK11NdG-AiNHeN68IZDVGRb0Mwbh/view?usp=drivesdk" TargetMode="External"/><Relationship Id="rId253" Type="http://schemas.openxmlformats.org/officeDocument/2006/relationships/hyperlink" Target="https://drive.google.com/file/d/10DRHcj_Hu4G4s6b6aWh-e9WAPrcL-j0J/view?usp=drivesdk" TargetMode="External"/><Relationship Id="rId2294" Type="http://schemas.openxmlformats.org/officeDocument/2006/relationships/hyperlink" Target="https://drive.google.com/file/d/1HODYvpM9G2wPJ2u9dtsYQYrn6IFdFt4O/view?usp=drivesdk" TargetMode="External"/><Relationship Id="rId252" Type="http://schemas.openxmlformats.org/officeDocument/2006/relationships/hyperlink" Target="https://drive.google.com/file/d/1xa4Y2Dr7eSDb8yziPIKyx08aN-xqioSt/view?usp=drivesdk" TargetMode="External"/><Relationship Id="rId2295" Type="http://schemas.openxmlformats.org/officeDocument/2006/relationships/hyperlink" Target="https://drive.google.com/file/d/1CQ8natl2BE_iikTGhz94t9oFNFnm6g9N/view?usp=drivesdk" TargetMode="External"/><Relationship Id="rId251" Type="http://schemas.openxmlformats.org/officeDocument/2006/relationships/hyperlink" Target="https://drive.google.com/file/d/18qLfJvC5xGQUBwOUuQN8nsjVHFya11ve/view?usp=drivesdk" TargetMode="External"/><Relationship Id="rId2296" Type="http://schemas.openxmlformats.org/officeDocument/2006/relationships/hyperlink" Target="https://drive.google.com/file/d/1vNSjf4irNkQYVeSBvPXV0VnbmKUADZ1r/view?usp=drivesdk" TargetMode="External"/><Relationship Id="rId250" Type="http://schemas.openxmlformats.org/officeDocument/2006/relationships/hyperlink" Target="https://drive.google.com/file/d/1iJVzyNI0Ysy8jErYKSfpNirK5Le6XWei/view?usp=drivesdk" TargetMode="External"/><Relationship Id="rId2297" Type="http://schemas.openxmlformats.org/officeDocument/2006/relationships/hyperlink" Target="https://drive.google.com/file/d/13AGRsDZFuHuE0YQe6ljJ_aH8lMEF7RTe/view?usp=drivesdk" TargetMode="External"/><Relationship Id="rId257" Type="http://schemas.openxmlformats.org/officeDocument/2006/relationships/hyperlink" Target="https://drive.google.com/file/d/1MuYvWsUpZaf_xocgDVb-iVor0ptji82G/view?usp=drivesdk" TargetMode="External"/><Relationship Id="rId2298" Type="http://schemas.openxmlformats.org/officeDocument/2006/relationships/hyperlink" Target="https://drive.google.com/file/d/19Z_d5FMetPubnHMx8_o4OzFQfJSQgzPi/view?usp=drivesdk" TargetMode="External"/><Relationship Id="rId256" Type="http://schemas.openxmlformats.org/officeDocument/2006/relationships/hyperlink" Target="https://drive.google.com/file/d/1D6s24jeMcxMT7WyT5auyWuEATVjotvxv/view?usp=drivesdk" TargetMode="External"/><Relationship Id="rId2299" Type="http://schemas.openxmlformats.org/officeDocument/2006/relationships/hyperlink" Target="https://drive.google.com/file/d/1169-kWcUAtMHrOkByrLvYxfbaIJG5snQ/view?usp=drivesdk" TargetMode="External"/><Relationship Id="rId255" Type="http://schemas.openxmlformats.org/officeDocument/2006/relationships/hyperlink" Target="https://drive.google.com/file/d/1EEIq7YpWrWfYTnR8yuR70e3ua7-ey9U-/view?usp=drivesdk" TargetMode="External"/><Relationship Id="rId254" Type="http://schemas.openxmlformats.org/officeDocument/2006/relationships/hyperlink" Target="https://drive.google.com/file/d/1H0PP8zB8L5c8RuiDcD1E6_F1yh4Ktx2e/view?usp=drivesdk" TargetMode="External"/><Relationship Id="rId293" Type="http://schemas.openxmlformats.org/officeDocument/2006/relationships/hyperlink" Target="https://drive.google.com/file/d/1bxcMp5oVeymqU1woRWnEAnWRlpo6AMGq/view?usp=drivesdk" TargetMode="External"/><Relationship Id="rId292" Type="http://schemas.openxmlformats.org/officeDocument/2006/relationships/hyperlink" Target="https://drive.google.com/file/d/1ONJm2zfLHKud_qB9f_CYyIb-3G0Gco9I/view?usp=drivesdk" TargetMode="External"/><Relationship Id="rId291" Type="http://schemas.openxmlformats.org/officeDocument/2006/relationships/hyperlink" Target="https://drive.google.com/file/d/1wYQ_V1zMIftphs1RhNuf20Lnen1XCBR9/view?usp=drivesdk" TargetMode="External"/><Relationship Id="rId290" Type="http://schemas.openxmlformats.org/officeDocument/2006/relationships/hyperlink" Target="https://drive.google.com/file/d/1HKpLPoM-7Q0wbnO53vpqcvI825rqPAr9/view?usp=drivesdk" TargetMode="External"/><Relationship Id="rId286" Type="http://schemas.openxmlformats.org/officeDocument/2006/relationships/hyperlink" Target="https://drive.google.com/file/d/16RNOxEsSMfve2HQyXmqbCLTSA-71Kkt-/view?usp=drivesdk" TargetMode="External"/><Relationship Id="rId285" Type="http://schemas.openxmlformats.org/officeDocument/2006/relationships/hyperlink" Target="https://drive.google.com/file/d/1rss-z8XX9kY9ak0Gm-TXgfVnx3szeKhc/view?usp=drivesdk" TargetMode="External"/><Relationship Id="rId284" Type="http://schemas.openxmlformats.org/officeDocument/2006/relationships/hyperlink" Target="https://drive.google.com/file/d/1N0A7zdK1KSgAudkIKsf7r_1DOEJRPwBp/view?usp=drivesdk" TargetMode="External"/><Relationship Id="rId283" Type="http://schemas.openxmlformats.org/officeDocument/2006/relationships/hyperlink" Target="https://drive.google.com/file/d/1_RY_5RbN9-3G7zpAymtIq5WnefxoVJj0/view?usp=drivesdk" TargetMode="External"/><Relationship Id="rId289" Type="http://schemas.openxmlformats.org/officeDocument/2006/relationships/hyperlink" Target="https://drive.google.com/file/d/1AzJlg-uWQ9hsecPd14JEnx190TvOXquN/view?usp=drivesdk" TargetMode="External"/><Relationship Id="rId288" Type="http://schemas.openxmlformats.org/officeDocument/2006/relationships/hyperlink" Target="https://drive.google.com/file/d/1FPBwD62cT7DWib_q-cKrwnuX5OL1xBVg/view?usp=drivesdk" TargetMode="External"/><Relationship Id="rId287" Type="http://schemas.openxmlformats.org/officeDocument/2006/relationships/hyperlink" Target="https://drive.google.com/file/d/1CSmTi_XmEIERo7WcRCa83CryAFSxxNeC/view?usp=drivesdk" TargetMode="External"/><Relationship Id="rId282" Type="http://schemas.openxmlformats.org/officeDocument/2006/relationships/hyperlink" Target="https://drive.google.com/file/d/1fdPMhBwpNbpnV79rntOOw7GEoVdnD3XX/view?usp=drivesdk" TargetMode="External"/><Relationship Id="rId281" Type="http://schemas.openxmlformats.org/officeDocument/2006/relationships/hyperlink" Target="https://drive.google.com/file/d/1VB1blncZd9BNAbcQVZFbfmz3XtirMp88/view?usp=drivesdk" TargetMode="External"/><Relationship Id="rId280" Type="http://schemas.openxmlformats.org/officeDocument/2006/relationships/hyperlink" Target="https://drive.google.com/file/d/1PtgWJHuSdjPeJJGJFtoLGJc6LafENe3d/view?usp=drivesdk" TargetMode="External"/><Relationship Id="rId275" Type="http://schemas.openxmlformats.org/officeDocument/2006/relationships/hyperlink" Target="https://drive.google.com/file/d/15zzaLuymkzx3UTdCdXSI9zzdhqjosv8l/view?usp=drivesdk" TargetMode="External"/><Relationship Id="rId274" Type="http://schemas.openxmlformats.org/officeDocument/2006/relationships/hyperlink" Target="https://drive.google.com/file/d/1NuoplWmpnpe5sqKsTbU627sgDrdzn2gm/view?usp=drivesdk" TargetMode="External"/><Relationship Id="rId273" Type="http://schemas.openxmlformats.org/officeDocument/2006/relationships/hyperlink" Target="https://drive.google.com/file/d/1Dkk3eG4H8U2dnHlK2sBJYWrdWmf4JzEj/view?usp=drivesdk" TargetMode="External"/><Relationship Id="rId272" Type="http://schemas.openxmlformats.org/officeDocument/2006/relationships/hyperlink" Target="https://drive.google.com/file/d/1SYLPmgMp4QuX95qS1r0abJEmbhfW_Bqb/view?usp=drivesdk" TargetMode="External"/><Relationship Id="rId279" Type="http://schemas.openxmlformats.org/officeDocument/2006/relationships/hyperlink" Target="https://drive.google.com/file/d/12aVk5z0qt20NZuluiLR3SHeELSbQQmdS/view?usp=drivesdk" TargetMode="External"/><Relationship Id="rId278" Type="http://schemas.openxmlformats.org/officeDocument/2006/relationships/hyperlink" Target="https://drive.google.com/file/d/1ko-gY7_vQcQF_6tbtr_8ClMSLnNA0FZj/view?usp=drivesdk" TargetMode="External"/><Relationship Id="rId277" Type="http://schemas.openxmlformats.org/officeDocument/2006/relationships/hyperlink" Target="https://drive.google.com/file/d/1Ogj6v-uvWaYsZ1BQUV1MCc7Iu2U2Ybit/view?usp=drivesdk" TargetMode="External"/><Relationship Id="rId276" Type="http://schemas.openxmlformats.org/officeDocument/2006/relationships/hyperlink" Target="https://drive.google.com/file/d/1_iVAfxmXGTR8hnnkq6ZvamL0Iz7PQrJH/view?usp=drivesdk" TargetMode="External"/><Relationship Id="rId1851" Type="http://schemas.openxmlformats.org/officeDocument/2006/relationships/hyperlink" Target="https://drive.google.com/file/d/1fgSZXG3PD2i2WE3GWDR1zGkPfsdXwlN7/view?usp=drivesdk" TargetMode="External"/><Relationship Id="rId1852" Type="http://schemas.openxmlformats.org/officeDocument/2006/relationships/hyperlink" Target="https://drive.google.com/file/d/1AzMSy4n-5_dj8bSTPQEmjIuKcbZ4wgqu/view?usp=drivesdk" TargetMode="External"/><Relationship Id="rId1853" Type="http://schemas.openxmlformats.org/officeDocument/2006/relationships/hyperlink" Target="https://drive.google.com/file/d/1abfowfHvPSFNuSi8uuGtY7rAbBNyWR-8/view?usp=drivesdk" TargetMode="External"/><Relationship Id="rId1854" Type="http://schemas.openxmlformats.org/officeDocument/2006/relationships/hyperlink" Target="https://drive.google.com/file/d/1jikWIfiDK8IqnzQrZs730BNglbWxY8lU/view?usp=drivesdk" TargetMode="External"/><Relationship Id="rId1855" Type="http://schemas.openxmlformats.org/officeDocument/2006/relationships/hyperlink" Target="https://drive.google.com/file/d/1mL6MNiMC_QPxqWKKzGii1fN5zrHjOo0O/view?usp=drivesdk" TargetMode="External"/><Relationship Id="rId1856" Type="http://schemas.openxmlformats.org/officeDocument/2006/relationships/hyperlink" Target="https://drive.google.com/file/d/19Pyif-Lat84lORiy68lV05hbg3siqARC/view?usp=drivesdk" TargetMode="External"/><Relationship Id="rId1857" Type="http://schemas.openxmlformats.org/officeDocument/2006/relationships/hyperlink" Target="https://drive.google.com/file/d/1u0snraKHhbMmaytHWu8WiDURY2H62XhE/view?usp=drivesdk" TargetMode="External"/><Relationship Id="rId1858" Type="http://schemas.openxmlformats.org/officeDocument/2006/relationships/hyperlink" Target="https://drive.google.com/file/d/1-Nmo5eSoQADi2LbgvKuZDIgWbA9HMqR6/view?usp=drivesdk" TargetMode="External"/><Relationship Id="rId1859" Type="http://schemas.openxmlformats.org/officeDocument/2006/relationships/hyperlink" Target="https://drive.google.com/file/d/1EUAY_BkPnJp8mnhwG_azXy3Sc63K23p7/view?usp=drivesdk" TargetMode="External"/><Relationship Id="rId1850" Type="http://schemas.openxmlformats.org/officeDocument/2006/relationships/hyperlink" Target="https://drive.google.com/file/d/1z7tavBQnljyBdYKrvrJV8zdriJcsXJo7/view?usp=drivesdk" TargetMode="External"/><Relationship Id="rId1840" Type="http://schemas.openxmlformats.org/officeDocument/2006/relationships/hyperlink" Target="https://drive.google.com/file/d/1DhF4rXZ9AqFgPLEuwDF2fF5wsns7JfKR/view?usp=drivesdk" TargetMode="External"/><Relationship Id="rId1841" Type="http://schemas.openxmlformats.org/officeDocument/2006/relationships/hyperlink" Target="https://drive.google.com/file/d/1Nr9QXsgiURCxN07R-u3ik8-gOjYYC3LB/view?usp=drivesdk" TargetMode="External"/><Relationship Id="rId1842" Type="http://schemas.openxmlformats.org/officeDocument/2006/relationships/hyperlink" Target="https://drive.google.com/file/d/1M-g4qVR9XxSPqyRrLKuGyw5bc305kVMD/view?usp=drivesdk" TargetMode="External"/><Relationship Id="rId1843" Type="http://schemas.openxmlformats.org/officeDocument/2006/relationships/hyperlink" Target="https://drive.google.com/file/d/1Qm_6fyDKZxpdY9-Zglsd6fCsKqms811A/view?usp=drivesdk" TargetMode="External"/><Relationship Id="rId1844" Type="http://schemas.openxmlformats.org/officeDocument/2006/relationships/hyperlink" Target="https://drive.google.com/file/d/1AJg3YafLoeCBE3mkhp0a7lStG3RALBZu/view?usp=drivesdk" TargetMode="External"/><Relationship Id="rId1845" Type="http://schemas.openxmlformats.org/officeDocument/2006/relationships/hyperlink" Target="https://drive.google.com/file/d/1XlxUsm8pomG_6jBbwinsItBBkfo6KMre/view?usp=drivesdk" TargetMode="External"/><Relationship Id="rId1846" Type="http://schemas.openxmlformats.org/officeDocument/2006/relationships/hyperlink" Target="https://drive.google.com/file/d/1ueU651Noy9Gg0mpemduIm5tRDKKaZA6J/view?usp=drivesdk" TargetMode="External"/><Relationship Id="rId1847" Type="http://schemas.openxmlformats.org/officeDocument/2006/relationships/hyperlink" Target="https://drive.google.com/file/d/1cpQmW5rarxw8hwcz3yVZCFNbuY50qfJd/view?usp=drivesdk" TargetMode="External"/><Relationship Id="rId1848" Type="http://schemas.openxmlformats.org/officeDocument/2006/relationships/hyperlink" Target="https://drive.google.com/file/d/1f_sQwdQL2gD9jKNq3UJajaD20muhD1rl/view?usp=drivesdk" TargetMode="External"/><Relationship Id="rId1849" Type="http://schemas.openxmlformats.org/officeDocument/2006/relationships/hyperlink" Target="https://drive.google.com/file/d/17WCM-9qGI76VpnBo0E7nOOubNWrvPTnl/view?usp=drivesdk" TargetMode="External"/><Relationship Id="rId1873" Type="http://schemas.openxmlformats.org/officeDocument/2006/relationships/hyperlink" Target="https://drive.google.com/file/d/1NC98x5ri3AW_QhIG5D8IpZ4SVIv_nxS3/view?usp=drivesdk" TargetMode="External"/><Relationship Id="rId1874" Type="http://schemas.openxmlformats.org/officeDocument/2006/relationships/hyperlink" Target="https://drive.google.com/file/d/1gUBlZ8Pvqxyoe7m0jKkM1HL8GxIIXiVv/view?usp=drivesdk" TargetMode="External"/><Relationship Id="rId1875" Type="http://schemas.openxmlformats.org/officeDocument/2006/relationships/hyperlink" Target="https://drive.google.com/file/d/1A4w9pVdFG3goShFQloG7OY9FOqlXKXp1/view?usp=drivesdk" TargetMode="External"/><Relationship Id="rId1876" Type="http://schemas.openxmlformats.org/officeDocument/2006/relationships/hyperlink" Target="https://drive.google.com/file/d/1YvBSDYLFknTtJFPfpN0-aynvfCmh7ooQ/view?usp=drivesdk" TargetMode="External"/><Relationship Id="rId1877" Type="http://schemas.openxmlformats.org/officeDocument/2006/relationships/hyperlink" Target="https://drive.google.com/file/d/1VDRkr6TGSCqPwOD_GsSo2CLYeCb2njDC/view?usp=drivesdk" TargetMode="External"/><Relationship Id="rId1878" Type="http://schemas.openxmlformats.org/officeDocument/2006/relationships/hyperlink" Target="https://drive.google.com/file/d/1YHH45SR0H0h2jQRDzsg8QAxyuLkus9pu/view?usp=drivesdk" TargetMode="External"/><Relationship Id="rId1879" Type="http://schemas.openxmlformats.org/officeDocument/2006/relationships/hyperlink" Target="https://drive.google.com/file/d/1m9YkV3B0dsyHfPAerGgkl4xvmpLWUkAh/view?usp=drivesdk" TargetMode="External"/><Relationship Id="rId1870" Type="http://schemas.openxmlformats.org/officeDocument/2006/relationships/hyperlink" Target="https://drive.google.com/file/d/1nODqjUU8GPD8y_1qE-uUyoLczRsRC3jJ/view?usp=drivesdk" TargetMode="External"/><Relationship Id="rId1871" Type="http://schemas.openxmlformats.org/officeDocument/2006/relationships/hyperlink" Target="https://drive.google.com/file/d/1qJzxsIdrMbCy8jXvWyCQRfofuN80AxnA/view?usp=drivesdk" TargetMode="External"/><Relationship Id="rId1872" Type="http://schemas.openxmlformats.org/officeDocument/2006/relationships/hyperlink" Target="https://drive.google.com/file/d/1qUVm79t_6o89U0dwIwXp2wI-o5zvncUI/view?usp=drivesdk" TargetMode="External"/><Relationship Id="rId1862" Type="http://schemas.openxmlformats.org/officeDocument/2006/relationships/hyperlink" Target="https://drive.google.com/file/d/1-9aaUjvkFXgtzDNLYidzLjEhXQ4lGYbE/view?usp=drivesdk" TargetMode="External"/><Relationship Id="rId1863" Type="http://schemas.openxmlformats.org/officeDocument/2006/relationships/hyperlink" Target="https://drive.google.com/file/d/1afSig5vMq6-aQ5vOSbK5KNSYbto7NpiR/view?usp=drivesdk" TargetMode="External"/><Relationship Id="rId1864" Type="http://schemas.openxmlformats.org/officeDocument/2006/relationships/hyperlink" Target="https://drive.google.com/file/d/1KMp-xviYVPDpz9V2QmhqI3TtLcUbiwwh/view?usp=drivesdk" TargetMode="External"/><Relationship Id="rId1865" Type="http://schemas.openxmlformats.org/officeDocument/2006/relationships/hyperlink" Target="https://drive.google.com/file/d/1HeYKufitwrkvkgknET0X6G4Zd00yrBtB/view?usp=drivesdk" TargetMode="External"/><Relationship Id="rId1866" Type="http://schemas.openxmlformats.org/officeDocument/2006/relationships/hyperlink" Target="https://drive.google.com/file/d/1xqCv0SmOLydvm-JWOaBqHYcReYxsNdq6/view?usp=drivesdk" TargetMode="External"/><Relationship Id="rId1867" Type="http://schemas.openxmlformats.org/officeDocument/2006/relationships/hyperlink" Target="https://drive.google.com/file/d/1HKVmhQGGkeQVGAoNkzrnGljjF_9bUXzH/view?usp=drivesdk" TargetMode="External"/><Relationship Id="rId1868" Type="http://schemas.openxmlformats.org/officeDocument/2006/relationships/hyperlink" Target="https://drive.google.com/file/d/1kVE9iVqfo-LSW7Hhe7J6fWpuk_f32e-M/view?usp=drivesdk" TargetMode="External"/><Relationship Id="rId1869" Type="http://schemas.openxmlformats.org/officeDocument/2006/relationships/hyperlink" Target="https://drive.google.com/file/d/1__Qe0uvp3egQGqwX6XQxljxt41AeucpN/view?usp=drivesdk" TargetMode="External"/><Relationship Id="rId1860" Type="http://schemas.openxmlformats.org/officeDocument/2006/relationships/hyperlink" Target="https://drive.google.com/file/d/179cH3sAbtcYF51Vwyli8_Ac8OnTN-4KE/view?usp=drivesdk" TargetMode="External"/><Relationship Id="rId1861" Type="http://schemas.openxmlformats.org/officeDocument/2006/relationships/hyperlink" Target="https://drive.google.com/file/d/1tURjxtMZ_zR8Iw0mNLhfQs0idDuFpSOk/view?usp=drivesdk" TargetMode="External"/><Relationship Id="rId1810" Type="http://schemas.openxmlformats.org/officeDocument/2006/relationships/hyperlink" Target="https://drive.google.com/file/d/1JwgssvGjntgtTXGRsEZcb2YvX_nceYPn/view?usp=drivesdk" TargetMode="External"/><Relationship Id="rId1811" Type="http://schemas.openxmlformats.org/officeDocument/2006/relationships/hyperlink" Target="https://drive.google.com/file/d/1UVqqx0exElkz6kztsIxkbY8oRSc0vA5O/view?usp=drivesdk" TargetMode="External"/><Relationship Id="rId1812" Type="http://schemas.openxmlformats.org/officeDocument/2006/relationships/hyperlink" Target="https://drive.google.com/file/d/1TXrshDLzDEWAsut_vySH959zErxzndjf/view?usp=drivesdk" TargetMode="External"/><Relationship Id="rId1813" Type="http://schemas.openxmlformats.org/officeDocument/2006/relationships/hyperlink" Target="https://drive.google.com/file/d/1r-skQmgaNd8EWme8Gk6yhX16A_ScFYQ5/view?usp=drivesdk" TargetMode="External"/><Relationship Id="rId1814" Type="http://schemas.openxmlformats.org/officeDocument/2006/relationships/hyperlink" Target="https://drive.google.com/file/d/1RfQhwdkBMVlvb9ZjxmVwH76HyHQ6cU4-/view?usp=drivesdk" TargetMode="External"/><Relationship Id="rId1815" Type="http://schemas.openxmlformats.org/officeDocument/2006/relationships/hyperlink" Target="https://drive.google.com/file/d/1xhTwIAdgJIFHahOKr88dWhAOty6fgNzj/view?usp=drivesdk" TargetMode="External"/><Relationship Id="rId1816" Type="http://schemas.openxmlformats.org/officeDocument/2006/relationships/hyperlink" Target="https://drive.google.com/file/d/1FsThEJs9r9VEVMa-TWCL_kSmR1Hbm_1K/view?usp=drivesdk" TargetMode="External"/><Relationship Id="rId1817" Type="http://schemas.openxmlformats.org/officeDocument/2006/relationships/hyperlink" Target="https://drive.google.com/file/d/1TdQT8CAQSyARYaMvtZqPh9WdB6lzCFMs/view?usp=drivesdk" TargetMode="External"/><Relationship Id="rId1818" Type="http://schemas.openxmlformats.org/officeDocument/2006/relationships/hyperlink" Target="https://drive.google.com/file/d/1PgV8z16mHQUwq0GGXKjbSLf2EYVNA6m1/view?usp=drivesdk" TargetMode="External"/><Relationship Id="rId1819" Type="http://schemas.openxmlformats.org/officeDocument/2006/relationships/hyperlink" Target="https://drive.google.com/file/d/1llXxac0txiJ0AcLT5O4akClIxuYqDxJq/view?usp=drivesdk" TargetMode="External"/><Relationship Id="rId1800" Type="http://schemas.openxmlformats.org/officeDocument/2006/relationships/hyperlink" Target="https://drive.google.com/file/d/1JV-lBj4tabNMcshbanHLp9lPoh1e_VbQ/view?usp=drivesdk" TargetMode="External"/><Relationship Id="rId1801" Type="http://schemas.openxmlformats.org/officeDocument/2006/relationships/hyperlink" Target="https://drive.google.com/file/d/1ZQceB2-fE9JkTw37s7c9b-oCWoFr9-2E/view?usp=drivesdk" TargetMode="External"/><Relationship Id="rId1802" Type="http://schemas.openxmlformats.org/officeDocument/2006/relationships/hyperlink" Target="https://drive.google.com/file/d/1yK0w_UBcxp8a-BKhhM3jZMYhf978mC0f/view?usp=drivesdk" TargetMode="External"/><Relationship Id="rId1803" Type="http://schemas.openxmlformats.org/officeDocument/2006/relationships/hyperlink" Target="https://drive.google.com/file/d/1e-OIcmHrhKIIX8N_sdje7-J23WbMEvUd/view?usp=drivesdk" TargetMode="External"/><Relationship Id="rId1804" Type="http://schemas.openxmlformats.org/officeDocument/2006/relationships/hyperlink" Target="https://drive.google.com/file/d/1UWo7-mCmJ943ULCsoQRCQGbRS_HxnE_8/view?usp=drivesdk" TargetMode="External"/><Relationship Id="rId1805" Type="http://schemas.openxmlformats.org/officeDocument/2006/relationships/hyperlink" Target="https://drive.google.com/file/d/1RGaKRrHjyYjCBUJlv6xlx5Pn8FdxNGTr/view?usp=drivesdk" TargetMode="External"/><Relationship Id="rId1806" Type="http://schemas.openxmlformats.org/officeDocument/2006/relationships/hyperlink" Target="https://drive.google.com/file/d/1LYA0EHhOGmNt1MNyhXeUM2CxKAHYVMI1/view?usp=drivesdk" TargetMode="External"/><Relationship Id="rId1807" Type="http://schemas.openxmlformats.org/officeDocument/2006/relationships/hyperlink" Target="https://drive.google.com/file/d/1VG_O27_le6spG47dfV8m5RkCpe1ur6w1/view?usp=drivesdk" TargetMode="External"/><Relationship Id="rId1808" Type="http://schemas.openxmlformats.org/officeDocument/2006/relationships/hyperlink" Target="https://drive.google.com/file/d/1RYYusXg0ArBkYV6CU7Q73BQ8V_0DUd8m/view?usp=drivesdk" TargetMode="External"/><Relationship Id="rId1809" Type="http://schemas.openxmlformats.org/officeDocument/2006/relationships/hyperlink" Target="https://drive.google.com/file/d/1vyGEdj8c1IplEwqLlMYXhpfHMxcDzvu8/view?usp=drivesdk" TargetMode="External"/><Relationship Id="rId1830" Type="http://schemas.openxmlformats.org/officeDocument/2006/relationships/hyperlink" Target="https://drive.google.com/file/d/1O5DM2aeLT2bSrEwf-3fRkeD2vNdFEGuq/view?usp=drivesdk" TargetMode="External"/><Relationship Id="rId1831" Type="http://schemas.openxmlformats.org/officeDocument/2006/relationships/hyperlink" Target="https://drive.google.com/file/d/1mQYexeCPwd_njLv4UKGR_WAAfIVjl2ob/view?usp=drivesdk" TargetMode="External"/><Relationship Id="rId1832" Type="http://schemas.openxmlformats.org/officeDocument/2006/relationships/hyperlink" Target="https://drive.google.com/file/d/1aS_toIL110PFv4AZ8gUYJDyJEY9rWol-/view?usp=drivesdk" TargetMode="External"/><Relationship Id="rId1833" Type="http://schemas.openxmlformats.org/officeDocument/2006/relationships/hyperlink" Target="https://drive.google.com/file/d/1n-FIFsZGzIS17DqNsSfYWljiYKT3X57S/view?usp=drivesdk" TargetMode="External"/><Relationship Id="rId1834" Type="http://schemas.openxmlformats.org/officeDocument/2006/relationships/hyperlink" Target="https://drive.google.com/file/d/1ZX_X7fCZuMDlvAebA-1dnMRsV1zlUbhr/view?usp=drivesdk" TargetMode="External"/><Relationship Id="rId1835" Type="http://schemas.openxmlformats.org/officeDocument/2006/relationships/hyperlink" Target="https://drive.google.com/file/d/1pbKiKQPgEw2FcVmJ6lwbOiKL6sQfI737/view?usp=drivesdk" TargetMode="External"/><Relationship Id="rId1836" Type="http://schemas.openxmlformats.org/officeDocument/2006/relationships/hyperlink" Target="https://drive.google.com/file/d/1gZDHatbiLrs3g45mOPDpSmQVV1CneMzE/view?usp=drivesdk" TargetMode="External"/><Relationship Id="rId1837" Type="http://schemas.openxmlformats.org/officeDocument/2006/relationships/hyperlink" Target="https://drive.google.com/file/d/1oHZv-l7EvANh9413mRPc2Lwrog0gXJgl/view?usp=drivesdk" TargetMode="External"/><Relationship Id="rId1838" Type="http://schemas.openxmlformats.org/officeDocument/2006/relationships/hyperlink" Target="https://drive.google.com/file/d/1p3FVzbUnUbhsc_PyY_EABWotUTB2kb_o/view?usp=drivesdk" TargetMode="External"/><Relationship Id="rId1839" Type="http://schemas.openxmlformats.org/officeDocument/2006/relationships/hyperlink" Target="https://drive.google.com/file/d/19EYT_oFrU8uQellnnMZGZVTPxy_dN_W7/view?usp=drivesdk" TargetMode="External"/><Relationship Id="rId1820" Type="http://schemas.openxmlformats.org/officeDocument/2006/relationships/hyperlink" Target="https://drive.google.com/file/d/1wZCfVNBeBpDBDb1dcvAZ8EhpS6BsXoUS/view?usp=drivesdk" TargetMode="External"/><Relationship Id="rId1821" Type="http://schemas.openxmlformats.org/officeDocument/2006/relationships/hyperlink" Target="https://drive.google.com/file/d/1cgP6p9dB_9FjNjKlwxCHZY_DDX386tPn/view?usp=drivesdk" TargetMode="External"/><Relationship Id="rId1822" Type="http://schemas.openxmlformats.org/officeDocument/2006/relationships/hyperlink" Target="https://drive.google.com/file/d/1rhUx9wA_lXC41gFnzzNJurTo9Xp81_Ge/view?usp=drivesdk" TargetMode="External"/><Relationship Id="rId1823" Type="http://schemas.openxmlformats.org/officeDocument/2006/relationships/hyperlink" Target="https://drive.google.com/file/d/16a7iXZtFDTICttKQM_ar9oZHx1g9XhQf/view?usp=drivesdk" TargetMode="External"/><Relationship Id="rId1824" Type="http://schemas.openxmlformats.org/officeDocument/2006/relationships/hyperlink" Target="https://drive.google.com/file/d/1GPldfE9IjrMxKaMHp1XmXN0XW2tjXOEP/view?usp=drivesdk" TargetMode="External"/><Relationship Id="rId1825" Type="http://schemas.openxmlformats.org/officeDocument/2006/relationships/hyperlink" Target="https://drive.google.com/file/d/1qXSk_0kSOVtB8s0PEtTKX98rHRU7faAM/view?usp=drivesdk" TargetMode="External"/><Relationship Id="rId1826" Type="http://schemas.openxmlformats.org/officeDocument/2006/relationships/hyperlink" Target="https://drive.google.com/file/d/1di1eEyJfXHaZTPc356ZVidOwI9yByVaa/view?usp=drivesdk" TargetMode="External"/><Relationship Id="rId1827" Type="http://schemas.openxmlformats.org/officeDocument/2006/relationships/hyperlink" Target="https://drive.google.com/file/d/1apDILVJM_mO_KRRTXMzS78EhPYu_k0Pd/view?usp=drivesdk" TargetMode="External"/><Relationship Id="rId1828" Type="http://schemas.openxmlformats.org/officeDocument/2006/relationships/hyperlink" Target="https://drive.google.com/file/d/1iY3vVFEImqmPCWgFtPRDOxsO_g3IL9EH/view?usp=drivesdk" TargetMode="External"/><Relationship Id="rId1829" Type="http://schemas.openxmlformats.org/officeDocument/2006/relationships/hyperlink" Target="https://drive.google.com/file/d/1F_17bIBJTWkzrLHxuxwXjEbPGvc1TW6w/view?usp=drivesdk" TargetMode="External"/><Relationship Id="rId1455" Type="http://schemas.openxmlformats.org/officeDocument/2006/relationships/hyperlink" Target="https://drive.google.com/file/d/1X6vCSkxVjL8DCqif4htmYRgK6k7JyepT/view?usp=drivesdk" TargetMode="External"/><Relationship Id="rId2302" Type="http://schemas.openxmlformats.org/officeDocument/2006/relationships/hyperlink" Target="https://drive.google.com/file/d/1FX9jt-ex8GoCyfL6uJXlkPYws_W2k6ee/view?usp=drivesdk" TargetMode="External"/><Relationship Id="rId1456" Type="http://schemas.openxmlformats.org/officeDocument/2006/relationships/hyperlink" Target="https://drive.google.com/file/d/1d_HEdwjjUwkmB2KGyWDxshnG30TzIiFB/view?usp=drivesdk" TargetMode="External"/><Relationship Id="rId2303" Type="http://schemas.openxmlformats.org/officeDocument/2006/relationships/hyperlink" Target="https://drive.google.com/file/d/1AVxalBdakzq4P7wI60hpJgSj-rsgeYmX/view?usp=drivesdk" TargetMode="External"/><Relationship Id="rId1457" Type="http://schemas.openxmlformats.org/officeDocument/2006/relationships/hyperlink" Target="https://drive.google.com/file/d/15Egv42h-6QO8De2LlKJb6A8Ic6i2fBmW/view?usp=drivesdk" TargetMode="External"/><Relationship Id="rId2304" Type="http://schemas.openxmlformats.org/officeDocument/2006/relationships/hyperlink" Target="https://drive.google.com/file/d/1n6SIyEGtFVXxFD4dMuSKx2QdqQ6-ihWV/view?usp=drivesdk" TargetMode="External"/><Relationship Id="rId1458" Type="http://schemas.openxmlformats.org/officeDocument/2006/relationships/hyperlink" Target="https://drive.google.com/file/d/1Lx_OjR8WqkCh32ayklS86NJ99AsrQIg1/view?usp=drivesdk" TargetMode="External"/><Relationship Id="rId2305" Type="http://schemas.openxmlformats.org/officeDocument/2006/relationships/hyperlink" Target="https://drive.google.com/file/d/1y19NBv5kAIrgQGjIS612WaTn9tzXE8tH/view?usp=drivesdk" TargetMode="External"/><Relationship Id="rId1459" Type="http://schemas.openxmlformats.org/officeDocument/2006/relationships/hyperlink" Target="https://drive.google.com/file/d/15ObHHstwAccnQMKviNRFTIRFRTaqMb9y/view?usp=drivesdk" TargetMode="External"/><Relationship Id="rId2306" Type="http://schemas.openxmlformats.org/officeDocument/2006/relationships/hyperlink" Target="https://drive.google.com/file/d/1oCYGZdBwgTHZEim5qcosevaGRW-BqtbX/view?usp=drivesdk" TargetMode="External"/><Relationship Id="rId2307" Type="http://schemas.openxmlformats.org/officeDocument/2006/relationships/hyperlink" Target="https://drive.google.com/file/d/1WJwAxLltsE85op19eieyE7g0UoqA5tq2/view?usp=drivesdk" TargetMode="External"/><Relationship Id="rId2308" Type="http://schemas.openxmlformats.org/officeDocument/2006/relationships/hyperlink" Target="https://drive.google.com/file/d/1ymUJxxZYIN-CO_h1wYaJonrsnAwRPS6w/view?usp=drivesdk" TargetMode="External"/><Relationship Id="rId2309" Type="http://schemas.openxmlformats.org/officeDocument/2006/relationships/hyperlink" Target="https://drive.google.com/file/d/1PP0YUZlQnWCNr9qghf-OdrZN67d6Zhv2/view?usp=drivesdk" TargetMode="External"/><Relationship Id="rId629" Type="http://schemas.openxmlformats.org/officeDocument/2006/relationships/hyperlink" Target="https://drive.google.com/file/d/1x19iyZ1l0NPeChf1CUC2RuXVlbEFcUkf/view?usp=drivesdk" TargetMode="External"/><Relationship Id="rId624" Type="http://schemas.openxmlformats.org/officeDocument/2006/relationships/hyperlink" Target="https://drive.google.com/file/d/1Dv-nhtVTtINQSOIsbx7dYabmGu6BT4yD/view?usp=drivesdk" TargetMode="External"/><Relationship Id="rId623" Type="http://schemas.openxmlformats.org/officeDocument/2006/relationships/hyperlink" Target="https://drive.google.com/file/d/1KwWfYCDSRfDBVhbQtLOjgFxc99a8ElOp/view?usp=drivesdk" TargetMode="External"/><Relationship Id="rId622" Type="http://schemas.openxmlformats.org/officeDocument/2006/relationships/hyperlink" Target="https://drive.google.com/file/d/10WogByzFvauXibxyhpylPfg8_5bo8WnV/view?usp=drivesdk" TargetMode="External"/><Relationship Id="rId621" Type="http://schemas.openxmlformats.org/officeDocument/2006/relationships/hyperlink" Target="https://drive.google.com/file/d/17b0G5u3UFVV4X4uW83mrIIzUwy6JrhIu/view?usp=drivesdk" TargetMode="External"/><Relationship Id="rId628" Type="http://schemas.openxmlformats.org/officeDocument/2006/relationships/hyperlink" Target="https://drive.google.com/file/d/1o2s_h5uz8sRsSO5fLwE7rly4_SU5UxOX/view?usp=drivesdk" TargetMode="External"/><Relationship Id="rId627" Type="http://schemas.openxmlformats.org/officeDocument/2006/relationships/hyperlink" Target="https://drive.google.com/file/d/16xV2Ihm6CvccPV0uV29-gp_eLTh0LF49/view?usp=drivesdk" TargetMode="External"/><Relationship Id="rId626" Type="http://schemas.openxmlformats.org/officeDocument/2006/relationships/hyperlink" Target="https://drive.google.com/file/d/1O9yKv4l5KDsg8i_OCC2il9sTp0Num9om/view?usp=drivesdk" TargetMode="External"/><Relationship Id="rId625" Type="http://schemas.openxmlformats.org/officeDocument/2006/relationships/hyperlink" Target="https://drive.google.com/file/d/1I1p2qk79hPOH5HPyYgkiB5sWzfo9K9jZ/view?usp=drivesdk" TargetMode="External"/><Relationship Id="rId1450" Type="http://schemas.openxmlformats.org/officeDocument/2006/relationships/hyperlink" Target="https://drive.google.com/file/d/171toMQcCTOhCegwU5d8Pbm20197T6uiZ/view?usp=drivesdk" TargetMode="External"/><Relationship Id="rId620" Type="http://schemas.openxmlformats.org/officeDocument/2006/relationships/hyperlink" Target="https://drive.google.com/file/d/1IZU4S8PoVeH_4VH_4IaMWoto-BlbtOrE/view?usp=drivesdk" TargetMode="External"/><Relationship Id="rId1451" Type="http://schemas.openxmlformats.org/officeDocument/2006/relationships/hyperlink" Target="https://drive.google.com/file/d/1snqG1XopzNKAdG_lSXlO3WiAh5zqn-hK/view?usp=drivesdk" TargetMode="External"/><Relationship Id="rId1452" Type="http://schemas.openxmlformats.org/officeDocument/2006/relationships/hyperlink" Target="https://drive.google.com/file/d/1TWhG9I3gcbUpdshOVbHmb2jANqc5xoAb/view?usp=drivesdk" TargetMode="External"/><Relationship Id="rId1453" Type="http://schemas.openxmlformats.org/officeDocument/2006/relationships/hyperlink" Target="https://drive.google.com/file/d/1Pp3Xx2ZUpRPCnsyySRWdyIOOaMZQBHvB/view?usp=drivesdk" TargetMode="External"/><Relationship Id="rId2300" Type="http://schemas.openxmlformats.org/officeDocument/2006/relationships/hyperlink" Target="https://drive.google.com/file/d/1QOQukPNCTw1YiCUbYMknZN8SxnFrMe2m/view?usp=drivesdk" TargetMode="External"/><Relationship Id="rId1454" Type="http://schemas.openxmlformats.org/officeDocument/2006/relationships/hyperlink" Target="https://drive.google.com/file/d/15nWltkGdVJQrRC2_SvWwGEiP-a17OT6Q/view?usp=drivesdk" TargetMode="External"/><Relationship Id="rId2301" Type="http://schemas.openxmlformats.org/officeDocument/2006/relationships/hyperlink" Target="https://drive.google.com/file/d/1ou3XT-bzZv_MvZ7NHmnbRtYwLhBAF3Dy/view?usp=drivesdk" TargetMode="External"/><Relationship Id="rId1444" Type="http://schemas.openxmlformats.org/officeDocument/2006/relationships/hyperlink" Target="https://drive.google.com/file/d/1pazF1B118gFEGwBX3A8JQYL33XJLn25c/view?usp=drivesdk" TargetMode="External"/><Relationship Id="rId1445" Type="http://schemas.openxmlformats.org/officeDocument/2006/relationships/hyperlink" Target="https://drive.google.com/file/d/1QX75Huk12rPwF0smYIU2avXL5tBcAfI8/view?usp=drivesdk" TargetMode="External"/><Relationship Id="rId1446" Type="http://schemas.openxmlformats.org/officeDocument/2006/relationships/hyperlink" Target="https://drive.google.com/file/d/1ayKwFEJ4JaGoVIQODDwK_88cH1yedfZs/view?usp=drivesdk" TargetMode="External"/><Relationship Id="rId1447" Type="http://schemas.openxmlformats.org/officeDocument/2006/relationships/hyperlink" Target="https://drive.google.com/file/d/1nDoUGSWnPle_wpMItchwTURjvZwoYkZp/view?usp=drivesdk" TargetMode="External"/><Relationship Id="rId1448" Type="http://schemas.openxmlformats.org/officeDocument/2006/relationships/hyperlink" Target="https://drive.google.com/file/d/1qUeanwTRphwo0NsT51hVukPRwkzESeyS/view?usp=drivesdk" TargetMode="External"/><Relationship Id="rId1449" Type="http://schemas.openxmlformats.org/officeDocument/2006/relationships/hyperlink" Target="https://drive.google.com/file/d/1jSksCM-Vv4w22_xJ0vNBjIWoQtjqMh3G/view?usp=drivesdk" TargetMode="External"/><Relationship Id="rId619" Type="http://schemas.openxmlformats.org/officeDocument/2006/relationships/hyperlink" Target="https://drive.google.com/file/d/18U4CyXU7N78dED3gWOtVW57N52OHKLOe/view?usp=drivesdk" TargetMode="External"/><Relationship Id="rId618" Type="http://schemas.openxmlformats.org/officeDocument/2006/relationships/hyperlink" Target="https://drive.google.com/file/d/10AHYCSEs6V-PrwBrYCPln_IA73wFVFyk/view?usp=drivesdk" TargetMode="External"/><Relationship Id="rId613" Type="http://schemas.openxmlformats.org/officeDocument/2006/relationships/hyperlink" Target="https://drive.google.com/file/d/1DCAHOPRgAAP9m-AArEsKtsRz7aRHYE4o/view?usp=drivesdk" TargetMode="External"/><Relationship Id="rId612" Type="http://schemas.openxmlformats.org/officeDocument/2006/relationships/hyperlink" Target="https://drive.google.com/file/d/1Ej4rVLYF7j7jQ9m6WdcLBKuIJR-5SwEJ/view?usp=drivesdk" TargetMode="External"/><Relationship Id="rId611" Type="http://schemas.openxmlformats.org/officeDocument/2006/relationships/hyperlink" Target="https://drive.google.com/file/d/14ydBpyELKu7xWDw8YfxErUAxBYGgu8gl/view?usp=drivesdk" TargetMode="External"/><Relationship Id="rId610" Type="http://schemas.openxmlformats.org/officeDocument/2006/relationships/hyperlink" Target="https://drive.google.com/file/d/1HtibOKco4X7ElmNjnvdAQ_ISsVxUFSsy/view?usp=drivesdk" TargetMode="External"/><Relationship Id="rId617" Type="http://schemas.openxmlformats.org/officeDocument/2006/relationships/hyperlink" Target="https://drive.google.com/file/d/1TKRTqbpSkVP-Fs4ydq0xfpBECk6CiFsV/view?usp=drivesdk" TargetMode="External"/><Relationship Id="rId616" Type="http://schemas.openxmlformats.org/officeDocument/2006/relationships/hyperlink" Target="https://drive.google.com/file/d/11XI2H3PXB09-T3wVlRzuYfGxwTByi92h/view?usp=drivesdk" TargetMode="External"/><Relationship Id="rId615" Type="http://schemas.openxmlformats.org/officeDocument/2006/relationships/hyperlink" Target="https://drive.google.com/file/d/1OnSEKh3gvpbASp9wJ_Gy1WC169985CKa/view?usp=drivesdk" TargetMode="External"/><Relationship Id="rId614" Type="http://schemas.openxmlformats.org/officeDocument/2006/relationships/hyperlink" Target="https://drive.google.com/file/d/1MpMmdJvhD276HB6MBUHMA8HU9jDxYoB8/view?usp=drivesdk" TargetMode="External"/><Relationship Id="rId1440" Type="http://schemas.openxmlformats.org/officeDocument/2006/relationships/hyperlink" Target="https://drive.google.com/file/d/1ac8RS66M-qXioGJlkk9vmu7NLfBbLmL9/view?usp=drivesdk" TargetMode="External"/><Relationship Id="rId1441" Type="http://schemas.openxmlformats.org/officeDocument/2006/relationships/hyperlink" Target="https://drive.google.com/file/d/17cXznlOrjH9rMs1KwA_sysfkDS6C9lKZ/view?usp=drivesdk" TargetMode="External"/><Relationship Id="rId1442" Type="http://schemas.openxmlformats.org/officeDocument/2006/relationships/hyperlink" Target="https://drive.google.com/file/d/1s8SoQoRypUQchQ1O7hpfBj_B0l9af6fz/view?usp=drivesdk" TargetMode="External"/><Relationship Id="rId1443" Type="http://schemas.openxmlformats.org/officeDocument/2006/relationships/hyperlink" Target="https://drive.google.com/file/d/1-6rl-4q4FQewdgX4uEyTT4w17zaHUHWI/view?usp=drivesdk" TargetMode="External"/><Relationship Id="rId1477" Type="http://schemas.openxmlformats.org/officeDocument/2006/relationships/hyperlink" Target="https://drive.google.com/file/d/1WhjCWLwHqrMfqNnzFmNyeWduSPxV11XV/view?usp=drivesdk" TargetMode="External"/><Relationship Id="rId2324" Type="http://schemas.openxmlformats.org/officeDocument/2006/relationships/hyperlink" Target="https://drive.google.com/file/d/1Qqq5Id0SGvazijMAW1oI5o_ndDvG2iFw/view?usp=drivesdk" TargetMode="External"/><Relationship Id="rId1478" Type="http://schemas.openxmlformats.org/officeDocument/2006/relationships/hyperlink" Target="https://drive.google.com/file/d/1iQNOiR2lIRT4LP0OWGzdc_X_PDtAR0wp/view?usp=drivesdk" TargetMode="External"/><Relationship Id="rId2325" Type="http://schemas.openxmlformats.org/officeDocument/2006/relationships/hyperlink" Target="https://drive.google.com/file/d/1hYdcaf4TU7ovCc5h15cl9uOYHoVW2PS9/view?usp=drivesdk" TargetMode="External"/><Relationship Id="rId1479" Type="http://schemas.openxmlformats.org/officeDocument/2006/relationships/hyperlink" Target="https://drive.google.com/file/d/1Oegaet8j1FIzHqC_wD5NWE9NVf7_mA--/view?usp=drivesdk" TargetMode="External"/><Relationship Id="rId2326" Type="http://schemas.openxmlformats.org/officeDocument/2006/relationships/hyperlink" Target="https://drive.google.com/file/d/1b-cumK5YwJK7hO80OBK3Lr2dsID4qfMG/view?usp=drivesdk" TargetMode="External"/><Relationship Id="rId2327" Type="http://schemas.openxmlformats.org/officeDocument/2006/relationships/hyperlink" Target="https://drive.google.com/file/d/1fkGb2h8Zi5znShqvhDxT2Vs4jJI06Tmz/view?usp=drivesdk" TargetMode="External"/><Relationship Id="rId2328" Type="http://schemas.openxmlformats.org/officeDocument/2006/relationships/hyperlink" Target="https://drive.google.com/file/d/1xgFVoYMKnN9GrrcsKJwTIiskzO_MrOm1/view?usp=drivesdk" TargetMode="External"/><Relationship Id="rId2329" Type="http://schemas.openxmlformats.org/officeDocument/2006/relationships/hyperlink" Target="https://drive.google.com/file/d/12af6Uc0VPC8DpGMxxjGhqSRwiwZbrca_/view?usp=drivesdk" TargetMode="External"/><Relationship Id="rId646" Type="http://schemas.openxmlformats.org/officeDocument/2006/relationships/hyperlink" Target="https://drive.google.com/file/d/1K5AnrUzy-OaLdiCNic-Ty1NTrvmHbKHQ/view?usp=drivesdk" TargetMode="External"/><Relationship Id="rId645" Type="http://schemas.openxmlformats.org/officeDocument/2006/relationships/hyperlink" Target="https://drive.google.com/file/d/147n_4hKlcgSEuSgnSkE_ksbqs8Q24Iir/view?usp=drivesdk" TargetMode="External"/><Relationship Id="rId644" Type="http://schemas.openxmlformats.org/officeDocument/2006/relationships/hyperlink" Target="https://drive.google.com/file/d/1wmZOW92EG3Qnu9uh03I2i4DfdTaA-X5K/view?usp=drivesdk" TargetMode="External"/><Relationship Id="rId643" Type="http://schemas.openxmlformats.org/officeDocument/2006/relationships/hyperlink" Target="https://drive.google.com/file/d/1iXXLDudrwMHtjsjJQyGzlRIcC7Hy8K-G/view?usp=drivesdk" TargetMode="External"/><Relationship Id="rId649" Type="http://schemas.openxmlformats.org/officeDocument/2006/relationships/hyperlink" Target="https://drive.google.com/file/d/1zCNN89KCmGBw6f_nNB0gZ7bfVBb4nnjo/view?usp=drivesdk" TargetMode="External"/><Relationship Id="rId648" Type="http://schemas.openxmlformats.org/officeDocument/2006/relationships/hyperlink" Target="https://drive.google.com/file/d/1yhec-KsItF5WBUco_5vkXq2WH1BDCS9t/view?usp=drivesdk" TargetMode="External"/><Relationship Id="rId647" Type="http://schemas.openxmlformats.org/officeDocument/2006/relationships/hyperlink" Target="https://drive.google.com/file/d/1kbb-Cyz9G0uKYYn1lfdJO8Kz08rVr40w/view?usp=drivesdk" TargetMode="External"/><Relationship Id="rId1470" Type="http://schemas.openxmlformats.org/officeDocument/2006/relationships/hyperlink" Target="https://drive.google.com/file/d/1PTHMnPw2TfcxvSbu0C-bzcIM2tjCmjFQ/view?usp=drivesdk" TargetMode="External"/><Relationship Id="rId1471" Type="http://schemas.openxmlformats.org/officeDocument/2006/relationships/hyperlink" Target="https://drive.google.com/file/d/1KioC7LHJRpnHKfbfFtdp0WYzfL8y7461/view?usp=drivesdk" TargetMode="External"/><Relationship Id="rId1472" Type="http://schemas.openxmlformats.org/officeDocument/2006/relationships/hyperlink" Target="https://drive.google.com/file/d/1IYcFgmeGvihLlqBHyaB4lokWi3Iytlsz/view?usp=drivesdk" TargetMode="External"/><Relationship Id="rId642" Type="http://schemas.openxmlformats.org/officeDocument/2006/relationships/hyperlink" Target="https://drive.google.com/file/d/1pTVY_u8SBMMJSeeCXcj7zRqiWC6lGSPN/view?usp=drivesdk" TargetMode="External"/><Relationship Id="rId1473" Type="http://schemas.openxmlformats.org/officeDocument/2006/relationships/hyperlink" Target="https://drive.google.com/file/d/1JhSVOlluJrtwDc7p5HNa5rCf6jeygXgc/view?usp=drivesdk" TargetMode="External"/><Relationship Id="rId2320" Type="http://schemas.openxmlformats.org/officeDocument/2006/relationships/hyperlink" Target="https://drive.google.com/file/d/1A9KJmWtb5xKBCyffnQ9iNRvxtBaxbfk5/view?usp=drivesdk" TargetMode="External"/><Relationship Id="rId641" Type="http://schemas.openxmlformats.org/officeDocument/2006/relationships/hyperlink" Target="https://drive.google.com/file/d/1HcmeN35dat8Ggah06g4daD60pQUi8Ln-/view?usp=drivesdk" TargetMode="External"/><Relationship Id="rId1474" Type="http://schemas.openxmlformats.org/officeDocument/2006/relationships/hyperlink" Target="https://drive.google.com/file/d/1N-ErnIYTnY0CJLNKjCB5M8fY9ylY8YZ6/view?usp=drivesdk" TargetMode="External"/><Relationship Id="rId2321" Type="http://schemas.openxmlformats.org/officeDocument/2006/relationships/hyperlink" Target="https://drive.google.com/file/d/1gWtuzjpBBHqrcafx0tsy997IIJ6DJ6HR/view?usp=drivesdk" TargetMode="External"/><Relationship Id="rId640" Type="http://schemas.openxmlformats.org/officeDocument/2006/relationships/hyperlink" Target="https://drive.google.com/file/d/1X8RuuQMtZsBMiaAwx0cuYLsIqJJXdM6M/view?usp=drivesdk" TargetMode="External"/><Relationship Id="rId1475" Type="http://schemas.openxmlformats.org/officeDocument/2006/relationships/hyperlink" Target="https://drive.google.com/file/d/1KpCYD3ERP6ymw3-DvdmmYURH29Mi8PIo/view?usp=drivesdk" TargetMode="External"/><Relationship Id="rId2322" Type="http://schemas.openxmlformats.org/officeDocument/2006/relationships/hyperlink" Target="https://drive.google.com/file/d/10P54A73EfdpahanU6htFi7Sy3pXrlt-I/view?usp=drivesdk" TargetMode="External"/><Relationship Id="rId1476" Type="http://schemas.openxmlformats.org/officeDocument/2006/relationships/hyperlink" Target="https://drive.google.com/file/d/10SEdKyR1NSvOPJPPexZKj2r3fb0QKQWf/view?usp=drivesdk" TargetMode="External"/><Relationship Id="rId2323" Type="http://schemas.openxmlformats.org/officeDocument/2006/relationships/hyperlink" Target="https://drive.google.com/file/d/18mo0BAv2EDX9Ciy4eegw-r2yrhVivx7s/view?usp=drivesdk" TargetMode="External"/><Relationship Id="rId1466" Type="http://schemas.openxmlformats.org/officeDocument/2006/relationships/hyperlink" Target="https://drive.google.com/file/d/1joKskiKzmqJjkHU8Mq74TCNOiLBqq-1r/view?usp=drivesdk" TargetMode="External"/><Relationship Id="rId2313" Type="http://schemas.openxmlformats.org/officeDocument/2006/relationships/hyperlink" Target="https://drive.google.com/file/d/1hAB7zI5alqIk-XV4Jp2e71GWgo6NwEmf/view?usp=drivesdk" TargetMode="External"/><Relationship Id="rId1467" Type="http://schemas.openxmlformats.org/officeDocument/2006/relationships/hyperlink" Target="https://drive.google.com/file/d/1sXsrMur_EmU2Tny6F9AREzwkcK_zItVM/view?usp=drivesdk" TargetMode="External"/><Relationship Id="rId2314" Type="http://schemas.openxmlformats.org/officeDocument/2006/relationships/hyperlink" Target="https://drive.google.com/file/d/1Q39mwXvmO-EBI3lmgvK8Ap5VsEFPedPX/view?usp=drivesdk" TargetMode="External"/><Relationship Id="rId1468" Type="http://schemas.openxmlformats.org/officeDocument/2006/relationships/hyperlink" Target="https://drive.google.com/file/d/1fAt9aFr_dG5pFP9z3V0d_IVWQHlra0KO/view?usp=drivesdk" TargetMode="External"/><Relationship Id="rId2315" Type="http://schemas.openxmlformats.org/officeDocument/2006/relationships/hyperlink" Target="https://drive.google.com/file/d/17fPfiTUAfJC_ns3pULAVh_PyGDtUWsp_/view?usp=drivesdk" TargetMode="External"/><Relationship Id="rId1469" Type="http://schemas.openxmlformats.org/officeDocument/2006/relationships/hyperlink" Target="https://drive.google.com/file/d/1-kovRoGKvupRBHBKzeBL6H-7Lhw4sYUf/view?usp=drivesdk" TargetMode="External"/><Relationship Id="rId2316" Type="http://schemas.openxmlformats.org/officeDocument/2006/relationships/hyperlink" Target="https://drive.google.com/file/d/1-12BuE65tu6QiZYHujWqjfDdG1N3PiLx/view?usp=drivesdk" TargetMode="External"/><Relationship Id="rId2317" Type="http://schemas.openxmlformats.org/officeDocument/2006/relationships/hyperlink" Target="https://drive.google.com/file/d/1wo98R5hizlAN1TWcXkP1o8B6CaR-LSDu/view?usp=drivesdk" TargetMode="External"/><Relationship Id="rId2318" Type="http://schemas.openxmlformats.org/officeDocument/2006/relationships/hyperlink" Target="https://drive.google.com/file/d/1n3ROQXRrenGx8x_DLiKjAKzy-vhSjyJp/view?usp=drivesdk" TargetMode="External"/><Relationship Id="rId2319" Type="http://schemas.openxmlformats.org/officeDocument/2006/relationships/hyperlink" Target="https://drive.google.com/file/d/1XC2eqrYen01lpbTF7p5osC-sEIvYXpUs/view?usp=drivesdk" TargetMode="External"/><Relationship Id="rId635" Type="http://schemas.openxmlformats.org/officeDocument/2006/relationships/hyperlink" Target="https://drive.google.com/file/d/1hlnvT3WKhz3b3DG1yF2-QYb7oU1G7Urn/view?usp=drivesdk" TargetMode="External"/><Relationship Id="rId634" Type="http://schemas.openxmlformats.org/officeDocument/2006/relationships/hyperlink" Target="https://drive.google.com/file/d/1EUgDnZvg6DGEGOmV0yMF2bLar5fhBb2p/view?usp=drivesdk" TargetMode="External"/><Relationship Id="rId633" Type="http://schemas.openxmlformats.org/officeDocument/2006/relationships/hyperlink" Target="https://drive.google.com/file/d/1NIg9bP-iIAWFEfgpjGRpUDvIlX1CcQ-X/view?usp=drivesdk" TargetMode="External"/><Relationship Id="rId632" Type="http://schemas.openxmlformats.org/officeDocument/2006/relationships/hyperlink" Target="https://drive.google.com/file/d/17sjfffVPc46ILUXzE_cVyHVYDPjRnwuZ/view?usp=drivesdk" TargetMode="External"/><Relationship Id="rId639" Type="http://schemas.openxmlformats.org/officeDocument/2006/relationships/hyperlink" Target="https://drive.google.com/file/d/1iQ93ikFUAwsogDc7zkksCtVF4r11b3Cy/view?usp=drivesdk" TargetMode="External"/><Relationship Id="rId638" Type="http://schemas.openxmlformats.org/officeDocument/2006/relationships/hyperlink" Target="https://drive.google.com/file/d/1fNjMDsCJTHjIeU70K4lNFSZ3z1AlUeel/view?usp=drivesdk" TargetMode="External"/><Relationship Id="rId637" Type="http://schemas.openxmlformats.org/officeDocument/2006/relationships/hyperlink" Target="https://drive.google.com/file/d/1QNrXmfKiNAeHJwJwNE08OCENh90aj1NS/view?usp=drivesdk" TargetMode="External"/><Relationship Id="rId636" Type="http://schemas.openxmlformats.org/officeDocument/2006/relationships/hyperlink" Target="https://drive.google.com/file/d/1xo6pFE1904WrqJHyr4F_ZTHqkTEPjnde/view?usp=drivesdk" TargetMode="External"/><Relationship Id="rId1460" Type="http://schemas.openxmlformats.org/officeDocument/2006/relationships/hyperlink" Target="https://drive.google.com/file/d/1A1wDazTUMy9B5TrQfJqaZDvqpr5s5dHn/view?usp=drivesdk" TargetMode="External"/><Relationship Id="rId1461" Type="http://schemas.openxmlformats.org/officeDocument/2006/relationships/hyperlink" Target="https://drive.google.com/file/d/1VGYbCgk_aCg_SfC9Q_wTUy1k5WCGO18H/view?usp=drivesdk" TargetMode="External"/><Relationship Id="rId631" Type="http://schemas.openxmlformats.org/officeDocument/2006/relationships/hyperlink" Target="https://drive.google.com/file/d/1irPo5wV-U5hmPdEdpyEE7osebjhV4fKB/view?usp=drivesdk" TargetMode="External"/><Relationship Id="rId1462" Type="http://schemas.openxmlformats.org/officeDocument/2006/relationships/hyperlink" Target="https://drive.google.com/file/d/1az87ixaZY9SgvZMeQYzVZl_k74kHruKq/view?usp=drivesdk" TargetMode="External"/><Relationship Id="rId630" Type="http://schemas.openxmlformats.org/officeDocument/2006/relationships/hyperlink" Target="https://drive.google.com/file/d/1a1eqizxrjen86jmtnRH_ccA5qt1MFVYW/view?usp=drivesdk" TargetMode="External"/><Relationship Id="rId1463" Type="http://schemas.openxmlformats.org/officeDocument/2006/relationships/hyperlink" Target="https://drive.google.com/file/d/1PjV88C-khTaMhXaJw6M64jr7_WZZT9Uv/view?usp=drivesdk" TargetMode="External"/><Relationship Id="rId2310" Type="http://schemas.openxmlformats.org/officeDocument/2006/relationships/hyperlink" Target="https://drive.google.com/file/d/1ihUSdwvNfijKmhRqJXBI1EmdH56hPSPz/view?usp=drivesdk" TargetMode="External"/><Relationship Id="rId1464" Type="http://schemas.openxmlformats.org/officeDocument/2006/relationships/hyperlink" Target="https://drive.google.com/file/d/1J1rY3W_X44c-gD-lXecRgpJzEp1PFdIc/view?usp=drivesdk" TargetMode="External"/><Relationship Id="rId2311" Type="http://schemas.openxmlformats.org/officeDocument/2006/relationships/hyperlink" Target="https://drive.google.com/file/d/1KPCLvWkiQVJEsHMQJLY6GWG3JqI2lKF2/view?usp=drivesdk" TargetMode="External"/><Relationship Id="rId1465" Type="http://schemas.openxmlformats.org/officeDocument/2006/relationships/hyperlink" Target="https://drive.google.com/file/d/1VjVr-AOfmd9h2qkQa3-qGuzH94Az8eGo/view?usp=drivesdk" TargetMode="External"/><Relationship Id="rId2312" Type="http://schemas.openxmlformats.org/officeDocument/2006/relationships/hyperlink" Target="https://drive.google.com/file/d/1rW_oY6_fneyKJCKwStz8w_ikeFeOAsjj/view?usp=drivesdk" TargetMode="External"/><Relationship Id="rId1411" Type="http://schemas.openxmlformats.org/officeDocument/2006/relationships/hyperlink" Target="https://drive.google.com/file/d/1sD171Mal-E6WsamSQI_xTt-M6h7siPC7/view?usp=drivesdk" TargetMode="External"/><Relationship Id="rId1895" Type="http://schemas.openxmlformats.org/officeDocument/2006/relationships/hyperlink" Target="https://drive.google.com/file/d/1klis8A5FXBlPXhcyRsUqPEdQLGXCTbVA/view?usp=drivesdk" TargetMode="External"/><Relationship Id="rId1412" Type="http://schemas.openxmlformats.org/officeDocument/2006/relationships/hyperlink" Target="https://drive.google.com/file/d/1wGrTwYOrZWOmPoU2kmufyWi3gfkdLwZR/view?usp=drivesdk" TargetMode="External"/><Relationship Id="rId1896" Type="http://schemas.openxmlformats.org/officeDocument/2006/relationships/hyperlink" Target="https://drive.google.com/file/d/1lZJUNJgVLXTnASaWm-LDPTkQqUfe_sEt/view?usp=drivesdk" TargetMode="External"/><Relationship Id="rId1413" Type="http://schemas.openxmlformats.org/officeDocument/2006/relationships/hyperlink" Target="https://drive.google.com/file/d/1TEZB6XYbNEDI6ybGYoQayvTdG6IBaM66/view?usp=drivesdk" TargetMode="External"/><Relationship Id="rId1897" Type="http://schemas.openxmlformats.org/officeDocument/2006/relationships/hyperlink" Target="https://drive.google.com/file/d/1b8Mq1pds6aLl8GLUImKdit_IQe925-uh/view?usp=drivesdk" TargetMode="External"/><Relationship Id="rId1414" Type="http://schemas.openxmlformats.org/officeDocument/2006/relationships/hyperlink" Target="https://drive.google.com/file/d/1G_5gaRcW0uM6-T2WmBDTyrNaVZ53LQC7/view?usp=drivesdk" TargetMode="External"/><Relationship Id="rId1898" Type="http://schemas.openxmlformats.org/officeDocument/2006/relationships/hyperlink" Target="https://drive.google.com/file/d/17JNyANSVx907Kd4JJvaNfwd4OUcBKuMi/view?usp=drivesdk" TargetMode="External"/><Relationship Id="rId1415" Type="http://schemas.openxmlformats.org/officeDocument/2006/relationships/hyperlink" Target="https://drive.google.com/file/d/1wDYDFWMmujLvp6gFDM4j-hvBAH98OLh7/view?usp=drivesdk" TargetMode="External"/><Relationship Id="rId1899" Type="http://schemas.openxmlformats.org/officeDocument/2006/relationships/hyperlink" Target="https://drive.google.com/file/d/1_3NWp7p9R8IO11LxTntocIcZKPLAVd_G/view?usp=drivesdk" TargetMode="External"/><Relationship Id="rId1416" Type="http://schemas.openxmlformats.org/officeDocument/2006/relationships/hyperlink" Target="https://drive.google.com/file/d/1HlggGxe8McjgJkqVr9gqzR06anpr0Hby/view?usp=drivesdk" TargetMode="External"/><Relationship Id="rId1417" Type="http://schemas.openxmlformats.org/officeDocument/2006/relationships/hyperlink" Target="https://drive.google.com/file/d/1LhQAtypgGNF3_CduVBrGI0_IAvdWkbhp/view?usp=drivesdk" TargetMode="External"/><Relationship Id="rId1418" Type="http://schemas.openxmlformats.org/officeDocument/2006/relationships/hyperlink" Target="https://drive.google.com/file/d/1zApOEFm5oULNAUEhgEMQZI79jZq5ZpY9/view?usp=drivesdk" TargetMode="External"/><Relationship Id="rId1419" Type="http://schemas.openxmlformats.org/officeDocument/2006/relationships/hyperlink" Target="https://drive.google.com/file/d/1N0dd_4bdM1qSt0KUND1mLdgZPvmcg35N/view?usp=drivesdk" TargetMode="External"/><Relationship Id="rId1890" Type="http://schemas.openxmlformats.org/officeDocument/2006/relationships/hyperlink" Target="https://drive.google.com/file/d/12y29s7oWNQAcXcyVHBdTW5cy4fb0FOY3/view?usp=drivesdk" TargetMode="External"/><Relationship Id="rId1891" Type="http://schemas.openxmlformats.org/officeDocument/2006/relationships/hyperlink" Target="https://drive.google.com/file/d/1VOD6jwFeaYp4bxrvQl7FgpROlfxxwt2J/view?usp=drivesdk" TargetMode="External"/><Relationship Id="rId1892" Type="http://schemas.openxmlformats.org/officeDocument/2006/relationships/hyperlink" Target="https://drive.google.com/file/d/1--O7Rm2MaN5f5_6gi7DGCVY5n4PhNWtR/view?usp=drivesdk" TargetMode="External"/><Relationship Id="rId1893" Type="http://schemas.openxmlformats.org/officeDocument/2006/relationships/hyperlink" Target="https://drive.google.com/file/d/1_CEeyT5LgavvsSlkylD64md0zpwTJ8eY/view?usp=drivesdk" TargetMode="External"/><Relationship Id="rId1410" Type="http://schemas.openxmlformats.org/officeDocument/2006/relationships/hyperlink" Target="https://drive.google.com/file/d/1KiOLONcvCuDN0AjdSu1Wt7ivujPSkx7L/view?usp=drivesdk" TargetMode="External"/><Relationship Id="rId1894" Type="http://schemas.openxmlformats.org/officeDocument/2006/relationships/hyperlink" Target="https://drive.google.com/file/d/11FCHvZUrru2LBaJyAtdJznwPX_WC1jmE/view?usp=drivesdk" TargetMode="External"/><Relationship Id="rId1400" Type="http://schemas.openxmlformats.org/officeDocument/2006/relationships/hyperlink" Target="https://drive.google.com/file/d/1RvgArQ7cWZsFnxzaX5FWip34oIbNJc7V/view?usp=drivesdk" TargetMode="External"/><Relationship Id="rId1884" Type="http://schemas.openxmlformats.org/officeDocument/2006/relationships/hyperlink" Target="https://drive.google.com/file/d/1sgj-iNkC6pkkhbK0rs7RQTewgUQapKMp/view?usp=drivesdk" TargetMode="External"/><Relationship Id="rId1401" Type="http://schemas.openxmlformats.org/officeDocument/2006/relationships/hyperlink" Target="https://drive.google.com/file/d/1op0spXw8HhtVC3-sof1LbSAG--FOb5Qr/view?usp=drivesdk" TargetMode="External"/><Relationship Id="rId1885" Type="http://schemas.openxmlformats.org/officeDocument/2006/relationships/hyperlink" Target="https://drive.google.com/file/d/1pfrYvbcIMhMmINbYCFPaUxyFKZ6udC8r/view?usp=drivesdk" TargetMode="External"/><Relationship Id="rId1402" Type="http://schemas.openxmlformats.org/officeDocument/2006/relationships/hyperlink" Target="https://drive.google.com/file/d/1gqi8I_cQVWLFRBP5qRyodv_JYXZKJ1o2/view?usp=drivesdk" TargetMode="External"/><Relationship Id="rId1886" Type="http://schemas.openxmlformats.org/officeDocument/2006/relationships/hyperlink" Target="https://drive.google.com/file/d/1XHdN-TlZvjV-Rg5QLFTy1NM5azBxAeb6/view?usp=drivesdk" TargetMode="External"/><Relationship Id="rId1403" Type="http://schemas.openxmlformats.org/officeDocument/2006/relationships/hyperlink" Target="https://drive.google.com/file/d/168hJLJ1dyib1iww5FCSHENtTJLWAZl-g/view?usp=drivesdk" TargetMode="External"/><Relationship Id="rId1887" Type="http://schemas.openxmlformats.org/officeDocument/2006/relationships/hyperlink" Target="https://drive.google.com/file/d/1Z2pxDcV5rpdKfvgSzpSTIqVGm3YGrIMp/view?usp=drivesdk" TargetMode="External"/><Relationship Id="rId1404" Type="http://schemas.openxmlformats.org/officeDocument/2006/relationships/hyperlink" Target="https://drive.google.com/file/d/1UbMgq4DeDipNZI0J_bzhRyNBmbbzeMVg/view?usp=drivesdk" TargetMode="External"/><Relationship Id="rId1888" Type="http://schemas.openxmlformats.org/officeDocument/2006/relationships/hyperlink" Target="https://drive.google.com/file/d/1l2bzZKq7RXeqnsff0_Cq-LxVFCdX0mJs/view?usp=drivesdk" TargetMode="External"/><Relationship Id="rId1405" Type="http://schemas.openxmlformats.org/officeDocument/2006/relationships/hyperlink" Target="https://drive.google.com/file/d/1qx0xh-QwuKtydvOv70rOVFkK6SIIouA8/view?usp=drivesdk" TargetMode="External"/><Relationship Id="rId1889" Type="http://schemas.openxmlformats.org/officeDocument/2006/relationships/hyperlink" Target="https://drive.google.com/file/d/14EcWrUFV9lnclIBhVYm_UzBlJNmq45wY/view?usp=drivesdk" TargetMode="External"/><Relationship Id="rId1406" Type="http://schemas.openxmlformats.org/officeDocument/2006/relationships/hyperlink" Target="https://drive.google.com/file/d/1X_4MbXUM2OL0KbVLsKLjYee5nB6B7L_s/view?usp=drivesdk" TargetMode="External"/><Relationship Id="rId1407" Type="http://schemas.openxmlformats.org/officeDocument/2006/relationships/hyperlink" Target="https://drive.google.com/file/d/1G2dCPJdw3zhKbtrn0xgkSouZElDz_Fpo/view?usp=drivesdk" TargetMode="External"/><Relationship Id="rId1408" Type="http://schemas.openxmlformats.org/officeDocument/2006/relationships/hyperlink" Target="https://drive.google.com/file/d/1CFk-rNTkFLT2d19zEmpvnXGbkUi-zYPU/view?usp=drivesdk" TargetMode="External"/><Relationship Id="rId1409" Type="http://schemas.openxmlformats.org/officeDocument/2006/relationships/hyperlink" Target="https://drive.google.com/file/d/1x_vD8IZyB0T4LdKIS2Pll0IK8LSMh6bE/view?usp=drivesdk" TargetMode="External"/><Relationship Id="rId1880" Type="http://schemas.openxmlformats.org/officeDocument/2006/relationships/hyperlink" Target="https://drive.google.com/file/d/1sqvvPyCJ5o-NQUvYcAYBAzws69l1ej9h/view?usp=drivesdk" TargetMode="External"/><Relationship Id="rId1881" Type="http://schemas.openxmlformats.org/officeDocument/2006/relationships/hyperlink" Target="https://drive.google.com/file/d/1l8divplg4CnY5zHB047tby4gu2VL0SH-/view?usp=drivesdk" TargetMode="External"/><Relationship Id="rId1882" Type="http://schemas.openxmlformats.org/officeDocument/2006/relationships/hyperlink" Target="https://drive.google.com/file/d/1aRq5PnNx1UVV5WosDV4U4lsU3xwxw-gu/view?usp=drivesdk" TargetMode="External"/><Relationship Id="rId1883" Type="http://schemas.openxmlformats.org/officeDocument/2006/relationships/hyperlink" Target="https://drive.google.com/file/d/1lvUtDpFvlP-dUWZSy39qKfkLbnPPPdJi/view?usp=drivesdk" TargetMode="External"/><Relationship Id="rId1433" Type="http://schemas.openxmlformats.org/officeDocument/2006/relationships/hyperlink" Target="https://drive.google.com/file/d/1WbPD12LF5m_OZ9Vj9aoU9F013qbsBHQ5/view?usp=drivesdk" TargetMode="External"/><Relationship Id="rId1434" Type="http://schemas.openxmlformats.org/officeDocument/2006/relationships/hyperlink" Target="https://drive.google.com/file/d/1L90I60OJekSa4clNQc3SZyNGFLdPnMGg/view?usp=drivesdk" TargetMode="External"/><Relationship Id="rId1435" Type="http://schemas.openxmlformats.org/officeDocument/2006/relationships/hyperlink" Target="https://drive.google.com/file/d/1O8TXTuMQierBacbhuqC0dmSaDU5-Jdd6/view?usp=drivesdk" TargetMode="External"/><Relationship Id="rId1436" Type="http://schemas.openxmlformats.org/officeDocument/2006/relationships/hyperlink" Target="https://drive.google.com/file/d/1_BtTxVThXWUKuW3f1345nqjyR17Od-o1/view?usp=drivesdk" TargetMode="External"/><Relationship Id="rId1437" Type="http://schemas.openxmlformats.org/officeDocument/2006/relationships/hyperlink" Target="https://drive.google.com/file/d/1NXUaZVUbJcJ0q1ZICioA1CZu_q3pyI41/view?usp=drivesdk" TargetMode="External"/><Relationship Id="rId1438" Type="http://schemas.openxmlformats.org/officeDocument/2006/relationships/hyperlink" Target="https://drive.google.com/file/d/1vRdYxXfiI0PzjagW42BGmSpadYN-NvCF/view?usp=drivesdk" TargetMode="External"/><Relationship Id="rId1439" Type="http://schemas.openxmlformats.org/officeDocument/2006/relationships/hyperlink" Target="https://drive.google.com/file/d/1I-M9l1-LeNe0uyNVoKzWjTr3okMGoj5s/view?usp=drivesdk" TargetMode="External"/><Relationship Id="rId609" Type="http://schemas.openxmlformats.org/officeDocument/2006/relationships/hyperlink" Target="https://drive.google.com/file/d/1uJARYVapcSdzDRTDsLHEKqpDm8zTWtod/view?usp=drivesdk" TargetMode="External"/><Relationship Id="rId608" Type="http://schemas.openxmlformats.org/officeDocument/2006/relationships/hyperlink" Target="https://drive.google.com/file/d/1g2GRnUsVDw4Ne0g1Ch6lhRsgTWOcJihC/view?usp=drivesdk" TargetMode="External"/><Relationship Id="rId607" Type="http://schemas.openxmlformats.org/officeDocument/2006/relationships/hyperlink" Target="https://drive.google.com/file/d/1M6oDaQjwALDxdrf8srGg-uddRiJD0lkC/view?usp=drivesdk" TargetMode="External"/><Relationship Id="rId602" Type="http://schemas.openxmlformats.org/officeDocument/2006/relationships/hyperlink" Target="https://drive.google.com/file/d/1CxROO_ThpYtdH7JmcQbxI5UrDBwXI8pt/view?usp=drivesdk" TargetMode="External"/><Relationship Id="rId601" Type="http://schemas.openxmlformats.org/officeDocument/2006/relationships/hyperlink" Target="https://drive.google.com/file/d/1jvtD0XXQ1yBkqqklUcNSboTFctKXXyot/view?usp=drivesdk" TargetMode="External"/><Relationship Id="rId600" Type="http://schemas.openxmlformats.org/officeDocument/2006/relationships/hyperlink" Target="https://drive.google.com/file/d/1f93vDBVHjINfgHlTcjlL2PP3GUsvs99B/view?usp=drivesdk" TargetMode="External"/><Relationship Id="rId606" Type="http://schemas.openxmlformats.org/officeDocument/2006/relationships/hyperlink" Target="https://drive.google.com/file/d/1dhEFN0FTDpSxKwCz202EqUYyY_mrwAm4/view?usp=drivesdk" TargetMode="External"/><Relationship Id="rId605" Type="http://schemas.openxmlformats.org/officeDocument/2006/relationships/hyperlink" Target="https://drive.google.com/file/d/1DIkeBYeEW8UaWkuLgGelBFq0imV7238n/view?usp=drivesdk" TargetMode="External"/><Relationship Id="rId604" Type="http://schemas.openxmlformats.org/officeDocument/2006/relationships/hyperlink" Target="https://drive.google.com/file/d/17vW7njTXcbd-lZUOhKJ3beuV1ltAR5Ej/view?usp=drivesdk" TargetMode="External"/><Relationship Id="rId603" Type="http://schemas.openxmlformats.org/officeDocument/2006/relationships/hyperlink" Target="https://drive.google.com/file/d/18ekhmfaFj5jFoz_XPOUH3_DN7AgbHCS3/view?usp=drivesdk" TargetMode="External"/><Relationship Id="rId1430" Type="http://schemas.openxmlformats.org/officeDocument/2006/relationships/hyperlink" Target="https://drive.google.com/file/d/10gLlEfZjmlrqJOBPXXESv7Dq7UuzXpNW/view?usp=drivesdk" TargetMode="External"/><Relationship Id="rId1431" Type="http://schemas.openxmlformats.org/officeDocument/2006/relationships/hyperlink" Target="https://drive.google.com/file/d/13umQDqqzUIEYDqv1d4SJJHFaBuzylHIL/view?usp=drivesdk" TargetMode="External"/><Relationship Id="rId1432" Type="http://schemas.openxmlformats.org/officeDocument/2006/relationships/hyperlink" Target="https://drive.google.com/file/d/10uedJjWA058PDMNl40vYEKgYbEP2e6sD/view?usp=drivesdk" TargetMode="External"/><Relationship Id="rId1422" Type="http://schemas.openxmlformats.org/officeDocument/2006/relationships/hyperlink" Target="https://drive.google.com/file/d/1f-9nca9p50ZzdOoh7kdo04Y3VW_2t_63/view?usp=drivesdk" TargetMode="External"/><Relationship Id="rId1423" Type="http://schemas.openxmlformats.org/officeDocument/2006/relationships/hyperlink" Target="https://drive.google.com/file/d/1HymNdDpx3aed_5VMJeHuk7zTSwmjit90/view?usp=drivesdk" TargetMode="External"/><Relationship Id="rId1424" Type="http://schemas.openxmlformats.org/officeDocument/2006/relationships/hyperlink" Target="https://drive.google.com/file/d/1dNkR9lVotpj0M2s0XdIStx8s-FOJmpdU/view?usp=drivesdk" TargetMode="External"/><Relationship Id="rId1425" Type="http://schemas.openxmlformats.org/officeDocument/2006/relationships/hyperlink" Target="https://drive.google.com/file/d/1SXp6xhUOn3vmp3bP4lJunggxrpHgI6b7/view?usp=drivesdk" TargetMode="External"/><Relationship Id="rId1426" Type="http://schemas.openxmlformats.org/officeDocument/2006/relationships/hyperlink" Target="https://drive.google.com/file/d/1_XBJ8jI1pcwgGwDfyIlw0H_SrnX-5Qey/view?usp=drivesdk" TargetMode="External"/><Relationship Id="rId1427" Type="http://schemas.openxmlformats.org/officeDocument/2006/relationships/hyperlink" Target="https://drive.google.com/file/d/1in5GtTcqJ3Dn5oN9uYv_vtO5_9VP4SbC/view?usp=drivesdk" TargetMode="External"/><Relationship Id="rId1428" Type="http://schemas.openxmlformats.org/officeDocument/2006/relationships/hyperlink" Target="https://drive.google.com/file/d/14sGqzmfsZtiCfhMGtKGmi2dlwmgRAT4g/view?usp=drivesdk" TargetMode="External"/><Relationship Id="rId1429" Type="http://schemas.openxmlformats.org/officeDocument/2006/relationships/hyperlink" Target="https://drive.google.com/file/d/110wr_GR396aDS7QXMDmqP812r_5qPdHP/view?usp=drivesdk" TargetMode="External"/><Relationship Id="rId1420" Type="http://schemas.openxmlformats.org/officeDocument/2006/relationships/hyperlink" Target="https://drive.google.com/file/d/1kRiUfIBSp39k9H_2qT0RfT15SOzcG5v8/view?usp=drivesdk" TargetMode="External"/><Relationship Id="rId1421" Type="http://schemas.openxmlformats.org/officeDocument/2006/relationships/hyperlink" Target="https://drive.google.com/file/d/1u3lEZp4Yi1o7RnsgvE7AyDI-wS0n6MsQ/view?usp=drivesdk" TargetMode="External"/><Relationship Id="rId1059" Type="http://schemas.openxmlformats.org/officeDocument/2006/relationships/hyperlink" Target="https://drive.google.com/file/d/1tKFSkI1rQz4nWhK4UsObcAImLw6_Dh1V/view?usp=drivesdk" TargetMode="External"/><Relationship Id="rId228" Type="http://schemas.openxmlformats.org/officeDocument/2006/relationships/hyperlink" Target="https://drive.google.com/file/d/1KvDe3f4OYd5op0BNuE4Rq7Fna6ti9M6m/view?usp=drivesdk" TargetMode="External"/><Relationship Id="rId227" Type="http://schemas.openxmlformats.org/officeDocument/2006/relationships/hyperlink" Target="https://drive.google.com/file/d/1hC-fmbuuhVHq7ELfllCrt6rilDB-VVOS/view?usp=drivesdk" TargetMode="External"/><Relationship Id="rId226" Type="http://schemas.openxmlformats.org/officeDocument/2006/relationships/hyperlink" Target="https://drive.google.com/file/d/1uTtuWHSL-QsZMuiGyfTvcnTqyvBdLPrq/view?usp=drivesdk" TargetMode="External"/><Relationship Id="rId225" Type="http://schemas.openxmlformats.org/officeDocument/2006/relationships/hyperlink" Target="https://drive.google.com/file/d/1z2Ng9DLmusZX_b_si2RwPAoZ-5vJP379/view?usp=drivesdk" TargetMode="External"/><Relationship Id="rId2380" Type="http://schemas.openxmlformats.org/officeDocument/2006/relationships/hyperlink" Target="https://drive.google.com/file/d/1mhr6KPDukQ769wgyun4kc6rHCVzL4haR/view?usp=drivesdk" TargetMode="External"/><Relationship Id="rId229" Type="http://schemas.openxmlformats.org/officeDocument/2006/relationships/hyperlink" Target="https://drive.google.com/file/d/1ee6fBbmzSnCHi98fZ4M34DXgZBO0IRnC/view?usp=drivesdk" TargetMode="External"/><Relationship Id="rId1050" Type="http://schemas.openxmlformats.org/officeDocument/2006/relationships/hyperlink" Target="https://drive.google.com/file/d/1i-2BF1xOeQNxeupByYlBMIHtLEJosdp4/view?usp=drivesdk" TargetMode="External"/><Relationship Id="rId2381" Type="http://schemas.openxmlformats.org/officeDocument/2006/relationships/hyperlink" Target="https://drive.google.com/file/d/1YLC691hyi517kTdNnvj-BTiYMfTIJP-T/view?usp=drivesdk" TargetMode="External"/><Relationship Id="rId220" Type="http://schemas.openxmlformats.org/officeDocument/2006/relationships/hyperlink" Target="https://drive.google.com/file/d/12T4wXgBd15azRBKkYDxMLzSi0tkzHVHc/view?usp=drivesdk" TargetMode="External"/><Relationship Id="rId1051" Type="http://schemas.openxmlformats.org/officeDocument/2006/relationships/hyperlink" Target="https://drive.google.com/file/d/1BmNLFHVmnLmuhCwnONjBohweK9l3t0PG/view?usp=drivesdk" TargetMode="External"/><Relationship Id="rId2382" Type="http://schemas.openxmlformats.org/officeDocument/2006/relationships/hyperlink" Target="https://drive.google.com/file/d/1P3Q0fkbmfdvY6-Ei1stR3v-8FupIn8FW/view?usp=drivesdk" TargetMode="External"/><Relationship Id="rId1052" Type="http://schemas.openxmlformats.org/officeDocument/2006/relationships/hyperlink" Target="https://drive.google.com/file/d/1XnZnfz3u3IR67DqXDdqrw0IZwHe8C4Qz/view?usp=drivesdk" TargetMode="External"/><Relationship Id="rId2383" Type="http://schemas.openxmlformats.org/officeDocument/2006/relationships/hyperlink" Target="https://drive.google.com/file/d/174xrpo5FDe2twviHcaGRYe3xt6ZE0tkr/view?usp=drivesdk" TargetMode="External"/><Relationship Id="rId1053" Type="http://schemas.openxmlformats.org/officeDocument/2006/relationships/hyperlink" Target="https://drive.google.com/file/d/1gbsJPaT9bnR7n9gXqctjBE2cwEMs0lAc/view?usp=drivesdk" TargetMode="External"/><Relationship Id="rId2384" Type="http://schemas.openxmlformats.org/officeDocument/2006/relationships/hyperlink" Target="https://drive.google.com/file/d/1cF6ytTFJkcvlhp50vvdUnfqjjMU0M7Zx/view?usp=drivesdk" TargetMode="External"/><Relationship Id="rId1054" Type="http://schemas.openxmlformats.org/officeDocument/2006/relationships/hyperlink" Target="https://drive.google.com/file/d/1b6Y0TdEiIMaLyuEx2AE5MhM8DYHvc_mr/view?usp=drivesdk" TargetMode="External"/><Relationship Id="rId2385" Type="http://schemas.openxmlformats.org/officeDocument/2006/relationships/hyperlink" Target="https://drive.google.com/file/d/1OTPFpUsi8BUkqxY-Nhj6NkxWatRKs5VB/view?usp=drivesdk" TargetMode="External"/><Relationship Id="rId224" Type="http://schemas.openxmlformats.org/officeDocument/2006/relationships/hyperlink" Target="https://drive.google.com/file/d/1AnGMVIejVNzD4jkxk_2XBk2cLE2sNyfy/view?usp=drivesdk" TargetMode="External"/><Relationship Id="rId1055" Type="http://schemas.openxmlformats.org/officeDocument/2006/relationships/hyperlink" Target="https://drive.google.com/file/d/1b0VfTvQeHgstY_TsQM4NxolCAqtVoObq/view?usp=drivesdk" TargetMode="External"/><Relationship Id="rId2386" Type="http://schemas.openxmlformats.org/officeDocument/2006/relationships/hyperlink" Target="https://drive.google.com/file/d/1vgAaL-W17jhphhYsjtBlGUBqPNW1Z8SY/view?usp=drivesdk" TargetMode="External"/><Relationship Id="rId223" Type="http://schemas.openxmlformats.org/officeDocument/2006/relationships/hyperlink" Target="https://drive.google.com/file/d/1Tjg200hrqh-Qd8YY0aovkd3e8ZbedKdt/view?usp=drivesdk" TargetMode="External"/><Relationship Id="rId1056" Type="http://schemas.openxmlformats.org/officeDocument/2006/relationships/hyperlink" Target="https://drive.google.com/file/d/1X0TDBvV_wXQ_mpbYyICaVlRfuiXnhjVy/view?usp=drivesdk" TargetMode="External"/><Relationship Id="rId2387" Type="http://schemas.openxmlformats.org/officeDocument/2006/relationships/hyperlink" Target="https://drive.google.com/file/d/1SiuUB_vjUVWYksFKsPyk5_hs6mia_sor/view?usp=drivesdk" TargetMode="External"/><Relationship Id="rId222" Type="http://schemas.openxmlformats.org/officeDocument/2006/relationships/hyperlink" Target="https://drive.google.com/file/d/1Ck53tsuMj69ESG7TiSTgGUtlX9VBmLB8/view?usp=drivesdk" TargetMode="External"/><Relationship Id="rId1057" Type="http://schemas.openxmlformats.org/officeDocument/2006/relationships/hyperlink" Target="https://drive.google.com/file/d/1cOaE_9CnHSeJingAVRb29vweY7g9kAXZ/view?usp=drivesdk" TargetMode="External"/><Relationship Id="rId2388" Type="http://schemas.openxmlformats.org/officeDocument/2006/relationships/hyperlink" Target="https://drive.google.com/file/d/1ObdvyJrhziK-h2_TyU8vjapvDXGz5w-g/view?usp=drivesdk" TargetMode="External"/><Relationship Id="rId221" Type="http://schemas.openxmlformats.org/officeDocument/2006/relationships/hyperlink" Target="https://drive.google.com/file/d/1NkewJ6mTL-EtjPSHWi-n63VhSTHXCZyx/view?usp=drivesdk" TargetMode="External"/><Relationship Id="rId1058" Type="http://schemas.openxmlformats.org/officeDocument/2006/relationships/hyperlink" Target="https://drive.google.com/file/d/1RzRrbykU8Mnr48UpzKPQL5JLBNPOKU4N/view?usp=drivesdk" TargetMode="External"/><Relationship Id="rId2389" Type="http://schemas.openxmlformats.org/officeDocument/2006/relationships/hyperlink" Target="https://drive.google.com/file/d/1inFJEP7B4xu6MTksLulyEJALs_zV8GIF/view?usp=drivesdk" TargetMode="External"/><Relationship Id="rId1048" Type="http://schemas.openxmlformats.org/officeDocument/2006/relationships/hyperlink" Target="https://drive.google.com/file/d/1xg52Q0Jni-NPdTsM55JpvWAxde7ZUYrL/view?usp=drivesdk" TargetMode="External"/><Relationship Id="rId2379" Type="http://schemas.openxmlformats.org/officeDocument/2006/relationships/hyperlink" Target="https://drive.google.com/file/d/1Fl47XEaUroxGKxGGMiXjfAZjhhq_4imb/view?usp=drivesdk" TargetMode="External"/><Relationship Id="rId1049" Type="http://schemas.openxmlformats.org/officeDocument/2006/relationships/hyperlink" Target="https://drive.google.com/file/d/1tlmxWygnp0iyyzU-bo2imZF5VkhK-dz1/view?usp=drivesdk" TargetMode="External"/><Relationship Id="rId217" Type="http://schemas.openxmlformats.org/officeDocument/2006/relationships/hyperlink" Target="https://drive.google.com/file/d/1ikTSA8kjD1nOUm8O3lGs6dI8Hll005AY/view?usp=drivesdk" TargetMode="External"/><Relationship Id="rId216" Type="http://schemas.openxmlformats.org/officeDocument/2006/relationships/hyperlink" Target="https://drive.google.com/file/d/1oOX62R6qHsClMhdYxfGQj8vihachdmWV/view?usp=drivesdk" TargetMode="External"/><Relationship Id="rId215" Type="http://schemas.openxmlformats.org/officeDocument/2006/relationships/hyperlink" Target="https://drive.google.com/file/d/1Up9JLgQ1mFRWIELSfNhxOscs0Q5oPBdl/view?usp=drivesdk" TargetMode="External"/><Relationship Id="rId699" Type="http://schemas.openxmlformats.org/officeDocument/2006/relationships/hyperlink" Target="https://drive.google.com/file/d/1jeEwUpEQ3DXZ2FGRPVVjj2gPYseUuGmj/view?usp=drivesdk" TargetMode="External"/><Relationship Id="rId214" Type="http://schemas.openxmlformats.org/officeDocument/2006/relationships/hyperlink" Target="https://drive.google.com/file/d/1Wmni6sy7LBQ7MfXqZDR_dvEFbUSpJDBJ/view?usp=drivesdk" TargetMode="External"/><Relationship Id="rId698" Type="http://schemas.openxmlformats.org/officeDocument/2006/relationships/hyperlink" Target="https://drive.google.com/file/d/1jzuj67j5e3EQBcXYl45MJuwTImPqkjSS/view?usp=drivesdk" TargetMode="External"/><Relationship Id="rId219" Type="http://schemas.openxmlformats.org/officeDocument/2006/relationships/hyperlink" Target="https://drive.google.com/file/d/1St23BUGwR0vf3MKlpt5VnsMnJ7AD4mj9/view?usp=drivesdk" TargetMode="External"/><Relationship Id="rId218" Type="http://schemas.openxmlformats.org/officeDocument/2006/relationships/hyperlink" Target="https://drive.google.com/file/d/1DY4mxXihhFQFHNqoKgRtCGxUkV0pbpj2/view?usp=drivesdk" TargetMode="External"/><Relationship Id="rId2370" Type="http://schemas.openxmlformats.org/officeDocument/2006/relationships/hyperlink" Target="https://drive.google.com/file/d/1qXO4ZbQRqJSJysS8dYVE4xy4qvFvjlSp/view?usp=drivesdk" TargetMode="External"/><Relationship Id="rId693" Type="http://schemas.openxmlformats.org/officeDocument/2006/relationships/hyperlink" Target="https://drive.google.com/file/d/1APrxGniD2XqOht4GMeY_4ewluWEWZzmX/view?usp=drivesdk" TargetMode="External"/><Relationship Id="rId1040" Type="http://schemas.openxmlformats.org/officeDocument/2006/relationships/hyperlink" Target="https://drive.google.com/file/d/1vCWnm4vxhSFXT53uvtyox9E3AqCpZ1pp/view?usp=drivesdk" TargetMode="External"/><Relationship Id="rId2371" Type="http://schemas.openxmlformats.org/officeDocument/2006/relationships/hyperlink" Target="https://drive.google.com/file/d/1UVZWKSR2_rtwzu_TsBCO7YNyTYeS69KM/view?usp=drivesdk" TargetMode="External"/><Relationship Id="rId692" Type="http://schemas.openxmlformats.org/officeDocument/2006/relationships/hyperlink" Target="https://drive.google.com/file/d/11OTNTJXsgH1mrqKonpQ6U8VxF1cRpwmG/view?usp=drivesdk" TargetMode="External"/><Relationship Id="rId1041" Type="http://schemas.openxmlformats.org/officeDocument/2006/relationships/hyperlink" Target="https://drive.google.com/file/d/1byxc6PMd5tteI_sik1RONEF23Zo2mx-m/view?usp=drivesdk" TargetMode="External"/><Relationship Id="rId2372" Type="http://schemas.openxmlformats.org/officeDocument/2006/relationships/hyperlink" Target="https://drive.google.com/file/d/16_-s8kmjHaCkkzUX6HexOCsMUdw_YZtJ/view?usp=drivesdk" TargetMode="External"/><Relationship Id="rId691" Type="http://schemas.openxmlformats.org/officeDocument/2006/relationships/hyperlink" Target="https://drive.google.com/file/d/1x6EpKkKdgTFhCSplmm3si7DS7H_vdnWB/view?usp=drivesdk" TargetMode="External"/><Relationship Id="rId1042" Type="http://schemas.openxmlformats.org/officeDocument/2006/relationships/hyperlink" Target="https://drive.google.com/file/d/1ar2tZj_xUHH1Su7uWBWtW4GpWz6bkeSX/view?usp=drivesdk" TargetMode="External"/><Relationship Id="rId2373" Type="http://schemas.openxmlformats.org/officeDocument/2006/relationships/hyperlink" Target="https://drive.google.com/file/d/15z4RfxA4LA0BS2ReZ89gyRQMY0-URk_K/view?usp=drivesdk" TargetMode="External"/><Relationship Id="rId690" Type="http://schemas.openxmlformats.org/officeDocument/2006/relationships/hyperlink" Target="https://drive.google.com/file/d/1Ix2cX1598f4Oe6gS77TeDIfR5tjmTiCG/view?usp=drivesdk" TargetMode="External"/><Relationship Id="rId1043" Type="http://schemas.openxmlformats.org/officeDocument/2006/relationships/hyperlink" Target="https://drive.google.com/file/d/1sYeKFtU4YsKHL9KMteE23i0UbHX7q5pG/view?usp=drivesdk" TargetMode="External"/><Relationship Id="rId2374" Type="http://schemas.openxmlformats.org/officeDocument/2006/relationships/hyperlink" Target="https://drive.google.com/file/d/1QQmrNYHudQEBHWe1-EYeQohO6M1oxATl/view?usp=drivesdk" TargetMode="External"/><Relationship Id="rId213" Type="http://schemas.openxmlformats.org/officeDocument/2006/relationships/hyperlink" Target="https://drive.google.com/file/d/1kMa4vDvBSetXEmWYUP6ylujqdLQR9W9s/view?usp=drivesdk" TargetMode="External"/><Relationship Id="rId697" Type="http://schemas.openxmlformats.org/officeDocument/2006/relationships/hyperlink" Target="https://drive.google.com/file/d/1_WFxaWdhKbH-bBT_vDSq1fUahCsIEUWi/view?usp=drivesdk" TargetMode="External"/><Relationship Id="rId1044" Type="http://schemas.openxmlformats.org/officeDocument/2006/relationships/hyperlink" Target="https://drive.google.com/file/d/1qE-zJgzQq2ER2hOLvUH9SEruu9TOXiWB/view?usp=drivesdk" TargetMode="External"/><Relationship Id="rId2375" Type="http://schemas.openxmlformats.org/officeDocument/2006/relationships/hyperlink" Target="https://drive.google.com/file/d/1m1d1WxNLlGUJdU4Axqy3d4AdlYm2d1D0/view?usp=drivesdk" TargetMode="External"/><Relationship Id="rId212" Type="http://schemas.openxmlformats.org/officeDocument/2006/relationships/hyperlink" Target="https://drive.google.com/file/d/1OIieR1R3L38xbQiPep8dJVliry5fLER3/view?usp=drivesdk" TargetMode="External"/><Relationship Id="rId696" Type="http://schemas.openxmlformats.org/officeDocument/2006/relationships/hyperlink" Target="https://drive.google.com/file/d/1SRjjvbP52fyjRiOMI8Y_--46qSVs14Qs/view?usp=drivesdk" TargetMode="External"/><Relationship Id="rId1045" Type="http://schemas.openxmlformats.org/officeDocument/2006/relationships/hyperlink" Target="https://drive.google.com/file/d/12Tbp2hMLTvjRG3JOcOMhMcO3oM3SmSxN/view?usp=drivesdk" TargetMode="External"/><Relationship Id="rId2376" Type="http://schemas.openxmlformats.org/officeDocument/2006/relationships/hyperlink" Target="https://drive.google.com/file/d/1sm-9I95mHroZAmM0k58YwWsmF9sGw9lp/view?usp=drivesdk" TargetMode="External"/><Relationship Id="rId211" Type="http://schemas.openxmlformats.org/officeDocument/2006/relationships/hyperlink" Target="https://drive.google.com/file/d/1K_lLc_y2M5cxNs3zhUW4ucLfeAEnWtTA/view?usp=drivesdk" TargetMode="External"/><Relationship Id="rId695" Type="http://schemas.openxmlformats.org/officeDocument/2006/relationships/hyperlink" Target="https://drive.google.com/file/d/19U0e01D2V2pQrUs5cTIxWJkIvA1wkPGC/view?usp=drivesdk" TargetMode="External"/><Relationship Id="rId1046" Type="http://schemas.openxmlformats.org/officeDocument/2006/relationships/hyperlink" Target="https://drive.google.com/file/d/1pZb5oGzEitKo-3JRqtmldS-DQC62IDYJ/view?usp=drivesdk" TargetMode="External"/><Relationship Id="rId2377" Type="http://schemas.openxmlformats.org/officeDocument/2006/relationships/hyperlink" Target="https://drive.google.com/file/d/1S2n2bFm2vFuWqGKHuXsNOQ3jk3dN0YAu/view?usp=drivesdk" TargetMode="External"/><Relationship Id="rId210" Type="http://schemas.openxmlformats.org/officeDocument/2006/relationships/hyperlink" Target="https://drive.google.com/file/d/1zHUCd3GK0QqLAPsxV3x64mhye1etloQL/view?usp=drivesdk" TargetMode="External"/><Relationship Id="rId694" Type="http://schemas.openxmlformats.org/officeDocument/2006/relationships/hyperlink" Target="https://drive.google.com/file/d/1ulL7TPNuKKGKVHDFqJnlj5xgsFlezXLR/view?usp=drivesdk" TargetMode="External"/><Relationship Id="rId1047" Type="http://schemas.openxmlformats.org/officeDocument/2006/relationships/hyperlink" Target="https://drive.google.com/file/d/1MBlrWJo-EJr8ko2b0S2QcWNWR_mLuE3Y/view?usp=drivesdk" TargetMode="External"/><Relationship Id="rId2378" Type="http://schemas.openxmlformats.org/officeDocument/2006/relationships/hyperlink" Target="https://drive.google.com/file/d/1drxJ3gvPmHS0EX1pvdZSWyJLwH04lI0w/view?usp=drivesdk" TargetMode="External"/><Relationship Id="rId249" Type="http://schemas.openxmlformats.org/officeDocument/2006/relationships/hyperlink" Target="https://drive.google.com/file/d/1MhVjrxjbzu4BZdXD6XGEbMu-_eP-7_Ny/view?usp=drivesdk" TargetMode="External"/><Relationship Id="rId248" Type="http://schemas.openxmlformats.org/officeDocument/2006/relationships/hyperlink" Target="https://drive.google.com/file/d/1-8cP6LDR473qoy5EtgV106cbNDUR5Ed9/view?usp=drivesdk" TargetMode="External"/><Relationship Id="rId247" Type="http://schemas.openxmlformats.org/officeDocument/2006/relationships/hyperlink" Target="https://drive.google.com/file/d/1TvuEVTuAANfb3I7egLcf_QjyQ-FPz-9j/view?usp=drivesdk" TargetMode="External"/><Relationship Id="rId1070" Type="http://schemas.openxmlformats.org/officeDocument/2006/relationships/hyperlink" Target="https://drive.google.com/file/d/1a3j7Gh7AeFkf6MB1OLz4sTGL10PwAJ3L/view?usp=drivesdk" TargetMode="External"/><Relationship Id="rId1071" Type="http://schemas.openxmlformats.org/officeDocument/2006/relationships/hyperlink" Target="https://drive.google.com/file/d/1EG-_Efs9bedGlAVzTE2yy1Av9oPbB_m_/view?usp=drivesdk" TargetMode="External"/><Relationship Id="rId1072" Type="http://schemas.openxmlformats.org/officeDocument/2006/relationships/hyperlink" Target="https://drive.google.com/file/d/1EA8gP9WKOWOEgRuqyw5YhNKfKTSuabzY/view?usp=drivesdk" TargetMode="External"/><Relationship Id="rId242" Type="http://schemas.openxmlformats.org/officeDocument/2006/relationships/hyperlink" Target="https://drive.google.com/file/d/17kX_LG93STXVmt0rHrpeP94NZLDHakYZ/view?usp=drivesdk" TargetMode="External"/><Relationship Id="rId1073" Type="http://schemas.openxmlformats.org/officeDocument/2006/relationships/hyperlink" Target="https://drive.google.com/file/d/1Tiu7Qzid3Dz3lmdhqNgsZP05-42YmWDh/view?usp=drivesdk" TargetMode="External"/><Relationship Id="rId241" Type="http://schemas.openxmlformats.org/officeDocument/2006/relationships/hyperlink" Target="https://drive.google.com/file/d/1m2OTRZlYq7mTE83Wy9tkGtJn2l0ZCL1t/view?usp=drivesdk" TargetMode="External"/><Relationship Id="rId1074" Type="http://schemas.openxmlformats.org/officeDocument/2006/relationships/hyperlink" Target="https://drive.google.com/file/d/1-3Y1NguPLB-upSbLD0qsncu8Qr2rbgP2/view?usp=drivesdk" TargetMode="External"/><Relationship Id="rId240" Type="http://schemas.openxmlformats.org/officeDocument/2006/relationships/hyperlink" Target="https://drive.google.com/file/d/1cZfQmvVwboGZKNRYj7jaDGoZht7Qor6-/view?usp=drivesdk" TargetMode="External"/><Relationship Id="rId1075" Type="http://schemas.openxmlformats.org/officeDocument/2006/relationships/hyperlink" Target="https://drive.google.com/file/d/1K_AHeRuemO5HaN8p1UU_sUE9Vv8CqRlK/view?usp=drivesdk" TargetMode="External"/><Relationship Id="rId1076" Type="http://schemas.openxmlformats.org/officeDocument/2006/relationships/hyperlink" Target="https://drive.google.com/file/d/1iKkdzpAqqHOXHpu2NyqDapH3Aw-MOY-r/view?usp=drivesdk" TargetMode="External"/><Relationship Id="rId246" Type="http://schemas.openxmlformats.org/officeDocument/2006/relationships/hyperlink" Target="https://drive.google.com/file/d/1W4gS3vFkRxHKVR6RHlLAQiwHAs0I6mWZ/view?usp=drivesdk" TargetMode="External"/><Relationship Id="rId1077" Type="http://schemas.openxmlformats.org/officeDocument/2006/relationships/hyperlink" Target="https://drive.google.com/file/d/1xWEvegiujk202wGDchUozIQZDNTzORgK/view?usp=drivesdk" TargetMode="External"/><Relationship Id="rId245" Type="http://schemas.openxmlformats.org/officeDocument/2006/relationships/hyperlink" Target="https://drive.google.com/file/d/1t4sJdc1_DWgQoSbtrkxTHPXF80_58xg5/view?usp=drivesdk" TargetMode="External"/><Relationship Id="rId1078" Type="http://schemas.openxmlformats.org/officeDocument/2006/relationships/hyperlink" Target="https://drive.google.com/file/d/14LC-TDD8azZU_ZR6mpRW7NyfhUUf1XLV/view?usp=drivesdk" TargetMode="External"/><Relationship Id="rId244" Type="http://schemas.openxmlformats.org/officeDocument/2006/relationships/hyperlink" Target="https://drive.google.com/file/d/1FY5rLe2mCHXmg5Ev96trBnvVofMc2Qix/view?usp=drivesdk" TargetMode="External"/><Relationship Id="rId1079" Type="http://schemas.openxmlformats.org/officeDocument/2006/relationships/hyperlink" Target="https://drive.google.com/file/d/1Ynp45O0Sbv76NQvbjjFAuIvhyXGPjqwS/view?usp=drivesdk" TargetMode="External"/><Relationship Id="rId243" Type="http://schemas.openxmlformats.org/officeDocument/2006/relationships/hyperlink" Target="https://drive.google.com/file/d/1W62z4W6Kb7WeqkQZLlDiXzr6Z4ur-AkZ/view?usp=drivesdk" TargetMode="External"/><Relationship Id="rId239" Type="http://schemas.openxmlformats.org/officeDocument/2006/relationships/hyperlink" Target="https://drive.google.com/file/d/12GdxMkUACurOpMSFu33IlJOxmMi-jKPG/view?usp=drivesdk" TargetMode="External"/><Relationship Id="rId238" Type="http://schemas.openxmlformats.org/officeDocument/2006/relationships/hyperlink" Target="https://drive.google.com/file/d/1dFYdo5Ip-NB0WGExe7wCvQhwRpC4uddg/view?usp=drivesdk" TargetMode="External"/><Relationship Id="rId237" Type="http://schemas.openxmlformats.org/officeDocument/2006/relationships/hyperlink" Target="https://drive.google.com/file/d/1MFJh9LWUyzzKeTrP9S71TgxkgwHTR_I9/view?usp=drivesdk" TargetMode="External"/><Relationship Id="rId236" Type="http://schemas.openxmlformats.org/officeDocument/2006/relationships/hyperlink" Target="https://drive.google.com/file/d/1NsP8eIznrL5lCYYJq4K94JBaPr2KYb-9/view?usp=drivesdk" TargetMode="External"/><Relationship Id="rId2390" Type="http://schemas.openxmlformats.org/officeDocument/2006/relationships/hyperlink" Target="https://drive.google.com/file/d/1lUbTzeePlbUptgyWMKdJcN0r05N9tbGZ/view?usp=drivesdk" TargetMode="External"/><Relationship Id="rId1060" Type="http://schemas.openxmlformats.org/officeDocument/2006/relationships/hyperlink" Target="https://drive.google.com/file/d/1rUbH4285tGoB06r8pgykd39frUHNKXM3/view?usp=drivesdk" TargetMode="External"/><Relationship Id="rId2391" Type="http://schemas.openxmlformats.org/officeDocument/2006/relationships/hyperlink" Target="https://drive.google.com/file/d/1fwI5WW6_z0_pMWeUuhBw9Wdb9xE7Y23-/view?usp=drivesdk" TargetMode="External"/><Relationship Id="rId1061" Type="http://schemas.openxmlformats.org/officeDocument/2006/relationships/hyperlink" Target="https://drive.google.com/file/d/13wi8TbguSJT26U5z0gIA8R8EW9g7H7EK/view?usp=drivesdk" TargetMode="External"/><Relationship Id="rId2392" Type="http://schemas.openxmlformats.org/officeDocument/2006/relationships/hyperlink" Target="https://drive.google.com/file/d/1J0SeYkwkzvSsXg1n2hJzDjUlghtWOUAJ/view?usp=drivesdk" TargetMode="External"/><Relationship Id="rId231" Type="http://schemas.openxmlformats.org/officeDocument/2006/relationships/hyperlink" Target="https://drive.google.com/file/d/1x395U0dPOqlbX7maiCL0GMbuyRReTRVd/view?usp=drivesdk" TargetMode="External"/><Relationship Id="rId1062" Type="http://schemas.openxmlformats.org/officeDocument/2006/relationships/hyperlink" Target="https://drive.google.com/file/d/1rKWUvjcjqnlU9FhXqz6rJK-pAzlXRkUH/view?usp=drivesdk" TargetMode="External"/><Relationship Id="rId2393" Type="http://schemas.openxmlformats.org/officeDocument/2006/relationships/hyperlink" Target="https://drive.google.com/file/d/121-6UcK61LRyCGxEMN_5_jKi3i6KUalJ/view?usp=drivesdk" TargetMode="External"/><Relationship Id="rId230" Type="http://schemas.openxmlformats.org/officeDocument/2006/relationships/hyperlink" Target="https://drive.google.com/file/d/1Ykc50WX9MGyBX2TMZCKWuYezBkQe-AZz/view?usp=drivesdk" TargetMode="External"/><Relationship Id="rId1063" Type="http://schemas.openxmlformats.org/officeDocument/2006/relationships/hyperlink" Target="https://drive.google.com/file/d/1rq2iLIPp-DeziAja0kHmpx-hKWLa_SBE/view?usp=drivesdk" TargetMode="External"/><Relationship Id="rId2394" Type="http://schemas.openxmlformats.org/officeDocument/2006/relationships/hyperlink" Target="https://drive.google.com/file/d/1C0UhDbjuZdNyBpvlDRbOeDVWKaOGiOPB/view?usp=drivesdk" TargetMode="External"/><Relationship Id="rId1064" Type="http://schemas.openxmlformats.org/officeDocument/2006/relationships/hyperlink" Target="https://drive.google.com/file/d/1FCvXxGCzX3sjgM2cje4i4I2x9_xl8fbN/view?usp=drivesdk" TargetMode="External"/><Relationship Id="rId2395" Type="http://schemas.openxmlformats.org/officeDocument/2006/relationships/hyperlink" Target="https://drive.google.com/file/d/1MrBQfGuVBOb-xYVF5LwGI9qO5Q43-HAb/view?usp=drivesdk" TargetMode="External"/><Relationship Id="rId1065" Type="http://schemas.openxmlformats.org/officeDocument/2006/relationships/hyperlink" Target="https://drive.google.com/file/d/1BsuHLeGTl_Aq1_dfH-RONo2qRm3JUb8X/view?usp=drivesdk" TargetMode="External"/><Relationship Id="rId2396" Type="http://schemas.openxmlformats.org/officeDocument/2006/relationships/hyperlink" Target="https://drive.google.com/file/d/1aci6Hwc95xKR72tdjODWLd14HEPpZvyn/view?usp=drivesdk" TargetMode="External"/><Relationship Id="rId235" Type="http://schemas.openxmlformats.org/officeDocument/2006/relationships/hyperlink" Target="https://drive.google.com/file/d/1I5W0ojyIajIttugrOtUOvB5jIMSVzrsu/view?usp=drivesdk" TargetMode="External"/><Relationship Id="rId1066" Type="http://schemas.openxmlformats.org/officeDocument/2006/relationships/hyperlink" Target="https://drive.google.com/file/d/1NJbqWuJCkgBykYWwZ1fe6MuQ4-U3Nson/view?usp=drivesdk" TargetMode="External"/><Relationship Id="rId2397" Type="http://schemas.openxmlformats.org/officeDocument/2006/relationships/hyperlink" Target="https://drive.google.com/file/d/1HundVBZbMu6c8ldsAf5OfbaJnRh7_KHG/view?usp=drivesdk" TargetMode="External"/><Relationship Id="rId234" Type="http://schemas.openxmlformats.org/officeDocument/2006/relationships/hyperlink" Target="https://drive.google.com/file/d/17yQVDYkh_MI7VamUcgpSbKYTE2o2dS2i/view?usp=drivesdk" TargetMode="External"/><Relationship Id="rId1067" Type="http://schemas.openxmlformats.org/officeDocument/2006/relationships/hyperlink" Target="https://drive.google.com/file/d/1abUY2Ik4WDr8E4asBAF2rJ_gVdejD0_w/view?usp=drivesdk" TargetMode="External"/><Relationship Id="rId2398" Type="http://schemas.openxmlformats.org/officeDocument/2006/relationships/hyperlink" Target="https://drive.google.com/file/d/1g_mVOp-2JrIyVYFFg4qD_I1jlboZ5_NT/view?usp=drivesdk" TargetMode="External"/><Relationship Id="rId233" Type="http://schemas.openxmlformats.org/officeDocument/2006/relationships/hyperlink" Target="https://drive.google.com/file/d/1-MzeH834w6kVDXr9O7cVT52GMWINEkdi/view?usp=drivesdk" TargetMode="External"/><Relationship Id="rId1068" Type="http://schemas.openxmlformats.org/officeDocument/2006/relationships/hyperlink" Target="https://drive.google.com/file/d/1rJ_9OKuIYaG73h0dEx9_Z_OmjgScGDtn/view?usp=drivesdk" TargetMode="External"/><Relationship Id="rId2399" Type="http://schemas.openxmlformats.org/officeDocument/2006/relationships/hyperlink" Target="https://drive.google.com/file/d/1xrcBPHbGQLE9x5xmS55UR6PM-GKMoy4C/view?usp=drivesdk" TargetMode="External"/><Relationship Id="rId232" Type="http://schemas.openxmlformats.org/officeDocument/2006/relationships/hyperlink" Target="https://drive.google.com/file/d/1N6-j5olrS9qd-KIYk0-c5F7cSvCiq0cK/view?usp=drivesdk" TargetMode="External"/><Relationship Id="rId1069" Type="http://schemas.openxmlformats.org/officeDocument/2006/relationships/hyperlink" Target="https://drive.google.com/file/d/1zr5yDWciqHrlw5tlD5Db6zAHoggLFg_J/view?usp=drivesdk" TargetMode="External"/><Relationship Id="rId1015" Type="http://schemas.openxmlformats.org/officeDocument/2006/relationships/hyperlink" Target="https://drive.google.com/file/d/1heQnBkKTGHYkUHeiiYkAv3SY6unxHAJ-/view?usp=drivesdk" TargetMode="External"/><Relationship Id="rId1499" Type="http://schemas.openxmlformats.org/officeDocument/2006/relationships/hyperlink" Target="https://drive.google.com/file/d/1_7PDl4xdZ_nLd4riSeA_1Tc6p454KRW6/view?usp=drivesdk" TargetMode="External"/><Relationship Id="rId2346" Type="http://schemas.openxmlformats.org/officeDocument/2006/relationships/hyperlink" Target="https://drive.google.com/file/d/14rogBtwF139KViBsQb1kyr6TR_WyE7xT/view?usp=drivesdk" TargetMode="External"/><Relationship Id="rId1016" Type="http://schemas.openxmlformats.org/officeDocument/2006/relationships/hyperlink" Target="https://drive.google.com/file/d/1jJ_VczAxa42lW7QAwb3bGQyLx1kq8dVs/view?usp=drivesdk" TargetMode="External"/><Relationship Id="rId2347" Type="http://schemas.openxmlformats.org/officeDocument/2006/relationships/hyperlink" Target="https://drive.google.com/file/d/1syim-puSk1ye16Wkem0ud8wuwRa39vKb/view?usp=drivesdk" TargetMode="External"/><Relationship Id="rId1017" Type="http://schemas.openxmlformats.org/officeDocument/2006/relationships/hyperlink" Target="https://drive.google.com/file/d/1tqAaW0PO_GoHMUs0jTHXJ3eojWTSz7jo/view?usp=drivesdk" TargetMode="External"/><Relationship Id="rId2348" Type="http://schemas.openxmlformats.org/officeDocument/2006/relationships/hyperlink" Target="https://drive.google.com/file/d/1Ki5wMe6zLUUQ2VvNbqwNNI4gxx7xaFO-/view?usp=drivesdk" TargetMode="External"/><Relationship Id="rId1018" Type="http://schemas.openxmlformats.org/officeDocument/2006/relationships/hyperlink" Target="https://drive.google.com/file/d/1qvSmzPIjyyD9c5Y8GiNnHYZuv3UbQ8R2/view?usp=drivesdk" TargetMode="External"/><Relationship Id="rId2349" Type="http://schemas.openxmlformats.org/officeDocument/2006/relationships/hyperlink" Target="https://drive.google.com/file/d/1VOPLCofpdoHdZ0TDxc8mV3NRbiJYbPXQ/view?usp=drivesdk" TargetMode="External"/><Relationship Id="rId1019" Type="http://schemas.openxmlformats.org/officeDocument/2006/relationships/hyperlink" Target="https://drive.google.com/file/d/1yBV3uPJ_eNi8_g-NISvuZ77ejd86Ly00/view?usp=drivesdk" TargetMode="External"/><Relationship Id="rId668" Type="http://schemas.openxmlformats.org/officeDocument/2006/relationships/hyperlink" Target="https://drive.google.com/file/d/1E0-UlLXFHmODoZy2Vl3FrSSrhnyItRnU/view?usp=drivesdk" TargetMode="External"/><Relationship Id="rId667" Type="http://schemas.openxmlformats.org/officeDocument/2006/relationships/hyperlink" Target="https://drive.google.com/file/d/1F_3zftz8ZiLi55VgaUxo1shaXnaypn8Y/view?usp=drivesdk" TargetMode="External"/><Relationship Id="rId666" Type="http://schemas.openxmlformats.org/officeDocument/2006/relationships/hyperlink" Target="https://drive.google.com/file/d/17ZEWml0BR2hWQE1I6WN2PWb0jF5CLIVg/view?usp=drivesdk" TargetMode="External"/><Relationship Id="rId665" Type="http://schemas.openxmlformats.org/officeDocument/2006/relationships/hyperlink" Target="https://drive.google.com/file/d/1STsN8teMFlwJmhLYDscvZevmD2IpL4pO/view?usp=drivesdk" TargetMode="External"/><Relationship Id="rId669" Type="http://schemas.openxmlformats.org/officeDocument/2006/relationships/hyperlink" Target="https://drive.google.com/file/d/17f0OHhTWKcCKYPbnEPWuDflfxz8xSSJX/view?usp=drivesdk" TargetMode="External"/><Relationship Id="rId1490" Type="http://schemas.openxmlformats.org/officeDocument/2006/relationships/hyperlink" Target="https://drive.google.com/file/d/1Oba9bWL4ZMXJIZZSlppBTBv6Cjg9Su09/view?usp=drivesdk" TargetMode="External"/><Relationship Id="rId660" Type="http://schemas.openxmlformats.org/officeDocument/2006/relationships/hyperlink" Target="https://drive.google.com/file/d/1eIsNvO-3FcaDKOa_XyDtMm343Hj-VJtZ/view?usp=drivesdk" TargetMode="External"/><Relationship Id="rId1491" Type="http://schemas.openxmlformats.org/officeDocument/2006/relationships/hyperlink" Target="https://drive.google.com/file/d/1lNEalKv2m81248oVZgyuNDeZo4TM1QgR/view?usp=drivesdk" TargetMode="External"/><Relationship Id="rId1492" Type="http://schemas.openxmlformats.org/officeDocument/2006/relationships/hyperlink" Target="https://drive.google.com/file/d/1GKFiC5OvO7q12yQluq2L8Lla3iAUa34X/view?usp=drivesdk" TargetMode="External"/><Relationship Id="rId1493" Type="http://schemas.openxmlformats.org/officeDocument/2006/relationships/hyperlink" Target="https://drive.google.com/file/d/1293PNsPf52mhwygzvrjGKcROeD5w1as3/view?usp=drivesdk" TargetMode="External"/><Relationship Id="rId2340" Type="http://schemas.openxmlformats.org/officeDocument/2006/relationships/hyperlink" Target="https://drive.google.com/file/d/1EzGyt1Lg9fHxYOUC4UAVTh2xXPL5wYhx/view?usp=drivesdk" TargetMode="External"/><Relationship Id="rId1010" Type="http://schemas.openxmlformats.org/officeDocument/2006/relationships/hyperlink" Target="https://drive.google.com/file/d/12aoa2YuacNPvOMcRldiWFJuBEF6sB3xK/view?usp=drivesdk" TargetMode="External"/><Relationship Id="rId1494" Type="http://schemas.openxmlformats.org/officeDocument/2006/relationships/hyperlink" Target="https://drive.google.com/file/d/1MK-ralDnM6SUJbJsj_7ZeJoVt9omhxnG/view?usp=drivesdk" TargetMode="External"/><Relationship Id="rId2341" Type="http://schemas.openxmlformats.org/officeDocument/2006/relationships/hyperlink" Target="https://drive.google.com/file/d/1snBbCEN9S-UgeKAOKAEaSS-rJdVjmLBy/view?usp=drivesdk" TargetMode="External"/><Relationship Id="rId664" Type="http://schemas.openxmlformats.org/officeDocument/2006/relationships/hyperlink" Target="https://drive.google.com/file/d/1f5bh-oqtealiL2IniGIIYer3WpP2yigA/view?usp=drivesdk" TargetMode="External"/><Relationship Id="rId1011" Type="http://schemas.openxmlformats.org/officeDocument/2006/relationships/hyperlink" Target="https://drive.google.com/file/d/1Jvb_TegD2n3Tf7z3jkn0mXaw5uvKF3by/view?usp=drivesdk" TargetMode="External"/><Relationship Id="rId1495" Type="http://schemas.openxmlformats.org/officeDocument/2006/relationships/hyperlink" Target="https://drive.google.com/file/d/1pIkYq4qiiM4ikbuNos-U6aTW4b4lvK9G/view?usp=drivesdk" TargetMode="External"/><Relationship Id="rId2342" Type="http://schemas.openxmlformats.org/officeDocument/2006/relationships/hyperlink" Target="https://drive.google.com/file/d/1hNBz2NWSBdocMnG0EDdB1dqtUIvIhZAY/view?usp=drivesdk" TargetMode="External"/><Relationship Id="rId663" Type="http://schemas.openxmlformats.org/officeDocument/2006/relationships/hyperlink" Target="https://drive.google.com/file/d/1sjLdeM-KTWs0fhCw0_DOb3q3YZN56Oo0/view?usp=drivesdk" TargetMode="External"/><Relationship Id="rId1012" Type="http://schemas.openxmlformats.org/officeDocument/2006/relationships/hyperlink" Target="https://drive.google.com/file/d/1byM_4kuqwiEe0e0qZyN6mibepBs872VQ/view?usp=drivesdk" TargetMode="External"/><Relationship Id="rId1496" Type="http://schemas.openxmlformats.org/officeDocument/2006/relationships/hyperlink" Target="https://drive.google.com/file/d/1T1TLlN9lxP0koMqcBQPhS62yWBAG1n6q/view?usp=drivesdk" TargetMode="External"/><Relationship Id="rId2343" Type="http://schemas.openxmlformats.org/officeDocument/2006/relationships/hyperlink" Target="https://drive.google.com/file/d/18TPKHs2t7PdlfnA7HJ_8ACJzTrBGyDQ9/view?usp=drivesdk" TargetMode="External"/><Relationship Id="rId662" Type="http://schemas.openxmlformats.org/officeDocument/2006/relationships/hyperlink" Target="https://drive.google.com/file/d/1P8k6fJE3XJ9szDubbKQhPdDrGrEPPFGq/view?usp=drivesdk" TargetMode="External"/><Relationship Id="rId1013" Type="http://schemas.openxmlformats.org/officeDocument/2006/relationships/hyperlink" Target="https://drive.google.com/file/d/1fE3emz73MhBkd4oSkQXvEr05lda9Xa8e/view?usp=drivesdk" TargetMode="External"/><Relationship Id="rId1497" Type="http://schemas.openxmlformats.org/officeDocument/2006/relationships/hyperlink" Target="https://drive.google.com/file/d/1OP3yMpsZTwKbf-Y8WXP-5yZandCGu_wN/view?usp=drivesdk" TargetMode="External"/><Relationship Id="rId2344" Type="http://schemas.openxmlformats.org/officeDocument/2006/relationships/hyperlink" Target="https://drive.google.com/file/d/1YPB5QAqmD9TjfaG1myiTb5Mb2O4E6e-4/view?usp=drivesdk" TargetMode="External"/><Relationship Id="rId661" Type="http://schemas.openxmlformats.org/officeDocument/2006/relationships/hyperlink" Target="https://drive.google.com/file/d/1GPu5oIleKI84_LlYbF4eG_LYCv6uUBhC/view?usp=drivesdk" TargetMode="External"/><Relationship Id="rId1014" Type="http://schemas.openxmlformats.org/officeDocument/2006/relationships/hyperlink" Target="https://drive.google.com/file/d/1vGsMRgnuQykMLEQZCZzAXwQ-nhtGnjq4/view?usp=drivesdk" TargetMode="External"/><Relationship Id="rId1498" Type="http://schemas.openxmlformats.org/officeDocument/2006/relationships/hyperlink" Target="https://drive.google.com/file/d/135_tiAbszvFuLSRxD9z28mZN-EGoOGrH/view?usp=drivesdk" TargetMode="External"/><Relationship Id="rId2345" Type="http://schemas.openxmlformats.org/officeDocument/2006/relationships/hyperlink" Target="https://drive.google.com/file/d/1NEOgfiru25fZNrgqNnfVjjn6Q9RdI69g/view?usp=drivesdk" TargetMode="External"/><Relationship Id="rId1004" Type="http://schemas.openxmlformats.org/officeDocument/2006/relationships/hyperlink" Target="https://drive.google.com/file/d/1pIlcKnAmXfttY5YjnwY-BdLo4JdBJF3c/view?usp=drivesdk" TargetMode="External"/><Relationship Id="rId1488" Type="http://schemas.openxmlformats.org/officeDocument/2006/relationships/hyperlink" Target="https://drive.google.com/file/d/1SfKBm60wHRWs6Hdlockn9dpp2WDFh3jf/view?usp=drivesdk" TargetMode="External"/><Relationship Id="rId2335" Type="http://schemas.openxmlformats.org/officeDocument/2006/relationships/hyperlink" Target="https://drive.google.com/file/d/192GbQ_NEk22fi_AzLYdfnajDIJA6f0zq/view?usp=drivesdk" TargetMode="External"/><Relationship Id="rId1005" Type="http://schemas.openxmlformats.org/officeDocument/2006/relationships/hyperlink" Target="https://drive.google.com/file/d/14-MNb7XuVjiXzQSYD7Ka2bj8oZk0IOr8/view?usp=drivesdk" TargetMode="External"/><Relationship Id="rId1489" Type="http://schemas.openxmlformats.org/officeDocument/2006/relationships/hyperlink" Target="https://drive.google.com/file/d/1CZipdKSa49HYbWlip_M92VB-yLqnNhcL/view?usp=drivesdk" TargetMode="External"/><Relationship Id="rId2336" Type="http://schemas.openxmlformats.org/officeDocument/2006/relationships/hyperlink" Target="https://drive.google.com/file/d/1wU0bJTvTyVX1BbhKAbrRGl6Pd0HV891p/view?usp=drivesdk" TargetMode="External"/><Relationship Id="rId1006" Type="http://schemas.openxmlformats.org/officeDocument/2006/relationships/hyperlink" Target="https://drive.google.com/file/d/11nRcfFL0BpCLSCJv95MfNQ5dC9QBsbQ2/view?usp=drivesdk" TargetMode="External"/><Relationship Id="rId2337" Type="http://schemas.openxmlformats.org/officeDocument/2006/relationships/hyperlink" Target="https://drive.google.com/file/d/1dVgrsHAKBoo0dCum3q5HsLQo-egmFnJ1/view?usp=drivesdk" TargetMode="External"/><Relationship Id="rId1007" Type="http://schemas.openxmlformats.org/officeDocument/2006/relationships/hyperlink" Target="https://drive.google.com/file/d/1QnWqJ-XP1e17xYyv7n63Fejw1nh_P5K0/view?usp=drivesdk" TargetMode="External"/><Relationship Id="rId2338" Type="http://schemas.openxmlformats.org/officeDocument/2006/relationships/hyperlink" Target="https://drive.google.com/file/d/1KLaRuBWrHbcJam4lU_SM68k2clJaUSTl/view?usp=drivesdk" TargetMode="External"/><Relationship Id="rId1008" Type="http://schemas.openxmlformats.org/officeDocument/2006/relationships/hyperlink" Target="https://drive.google.com/file/d/1pNqKNSmHsCEVK8omwb5LBiNtf1TRtx36/view?usp=drivesdk" TargetMode="External"/><Relationship Id="rId2339" Type="http://schemas.openxmlformats.org/officeDocument/2006/relationships/hyperlink" Target="https://drive.google.com/file/d/10bRGh3MjV8T2AZwceZwKPCCB-1HUril4/view?usp=drivesdk" TargetMode="External"/><Relationship Id="rId1009" Type="http://schemas.openxmlformats.org/officeDocument/2006/relationships/hyperlink" Target="https://drive.google.com/file/d/1ZWkmUAxs9No85_7lFiRFfV984_lgcEwk/view?usp=drivesdk" TargetMode="External"/><Relationship Id="rId657" Type="http://schemas.openxmlformats.org/officeDocument/2006/relationships/hyperlink" Target="https://drive.google.com/file/d/1idE0SjuJpG6MpjbKR5jicV4dROK4h9nx/view?usp=drivesdk" TargetMode="External"/><Relationship Id="rId656" Type="http://schemas.openxmlformats.org/officeDocument/2006/relationships/hyperlink" Target="https://drive.google.com/file/d/1shlKRHbaafFubUrDLNF_zuwIfOGdJHQH/view?usp=drivesdk" TargetMode="External"/><Relationship Id="rId655" Type="http://schemas.openxmlformats.org/officeDocument/2006/relationships/hyperlink" Target="https://drive.google.com/file/d/1DNTjY2g_7a4Cycxe06VMmKgPrqI8kStL/view?usp=drivesdk" TargetMode="External"/><Relationship Id="rId654" Type="http://schemas.openxmlformats.org/officeDocument/2006/relationships/hyperlink" Target="https://drive.google.com/file/d/1zxx67qLMbN-DRrSbMMhHP48XBMXmzB1y/view?usp=drivesdk" TargetMode="External"/><Relationship Id="rId659" Type="http://schemas.openxmlformats.org/officeDocument/2006/relationships/hyperlink" Target="https://drive.google.com/file/d/1Coc5QlNF3tE9jptXlLkgynp1kKLcpyKy/view?usp=drivesdk" TargetMode="External"/><Relationship Id="rId658" Type="http://schemas.openxmlformats.org/officeDocument/2006/relationships/hyperlink" Target="https://drive.google.com/file/d/1EC7_npoqqI-0iIU6gVIdVgkIHLWSxWei/view?usp=drivesdk" TargetMode="External"/><Relationship Id="rId1480" Type="http://schemas.openxmlformats.org/officeDocument/2006/relationships/hyperlink" Target="https://drive.google.com/file/d/1eS9fTWrq2QWJFHEml-6bJAeneUE2VZQL/view?usp=drivesdk" TargetMode="External"/><Relationship Id="rId1481" Type="http://schemas.openxmlformats.org/officeDocument/2006/relationships/hyperlink" Target="https://drive.google.com/file/d/1EGCuhvtrVlRE7nPqRaGhLYlwVAzC9hrz/view?usp=drivesdk" TargetMode="External"/><Relationship Id="rId1482" Type="http://schemas.openxmlformats.org/officeDocument/2006/relationships/hyperlink" Target="https://drive.google.com/file/d/1DmmWekA95adUVmrPkkbQlJKBRGErBVP8/view?usp=drivesdk" TargetMode="External"/><Relationship Id="rId1483" Type="http://schemas.openxmlformats.org/officeDocument/2006/relationships/hyperlink" Target="https://drive.google.com/file/d/16mfoD-3GCPSiN1xCadt0hd-JYz2zriqE/view?usp=drivesdk" TargetMode="External"/><Relationship Id="rId2330" Type="http://schemas.openxmlformats.org/officeDocument/2006/relationships/hyperlink" Target="https://drive.google.com/file/d/1s0phm5WrFrjtAxdYV8ZfZKwtGbTt0uTr/view?usp=drivesdk" TargetMode="External"/><Relationship Id="rId653" Type="http://schemas.openxmlformats.org/officeDocument/2006/relationships/hyperlink" Target="https://drive.google.com/file/d/1NpiR4va9whWX6BRNZETgPacfUdAHNHaP/view?usp=drivesdk" TargetMode="External"/><Relationship Id="rId1000" Type="http://schemas.openxmlformats.org/officeDocument/2006/relationships/hyperlink" Target="https://drive.google.com/file/d/1wKUbmrZYaqYp9A6qnxZkP2KP9QQcAoy4/view?usp=drivesdk" TargetMode="External"/><Relationship Id="rId1484" Type="http://schemas.openxmlformats.org/officeDocument/2006/relationships/hyperlink" Target="https://drive.google.com/file/d/1JDAWSBFf1Y8_GEr3nt_n6vrOQOl8z6YE/view?usp=drivesdk" TargetMode="External"/><Relationship Id="rId2331" Type="http://schemas.openxmlformats.org/officeDocument/2006/relationships/hyperlink" Target="https://drive.google.com/file/d/1pXIpvDUSm470wIgxY7vfQ3wDgjLj_9av/view?usp=drivesdk" TargetMode="External"/><Relationship Id="rId652" Type="http://schemas.openxmlformats.org/officeDocument/2006/relationships/hyperlink" Target="https://drive.google.com/file/d/1ypD7UQQHpkiG5jH9YZJSBbmv3AtGl1i9/view?usp=drivesdk" TargetMode="External"/><Relationship Id="rId1001" Type="http://schemas.openxmlformats.org/officeDocument/2006/relationships/hyperlink" Target="https://drive.google.com/file/d/1mCfJPzafCVZLZ265DMvW1ZpD8qJpWNDx/view?usp=drivesdk" TargetMode="External"/><Relationship Id="rId1485" Type="http://schemas.openxmlformats.org/officeDocument/2006/relationships/hyperlink" Target="https://drive.google.com/file/d/1MxWW96Kc5jlhURL4tv9fO78qmyzMhzff/view?usp=drivesdk" TargetMode="External"/><Relationship Id="rId2332" Type="http://schemas.openxmlformats.org/officeDocument/2006/relationships/hyperlink" Target="https://drive.google.com/file/d/1p2CH79Spno00bPcwZfyKsvg7_DJJUDdE/view?usp=drivesdk" TargetMode="External"/><Relationship Id="rId651" Type="http://schemas.openxmlformats.org/officeDocument/2006/relationships/hyperlink" Target="https://drive.google.com/file/d/1piMLOuRopfZOIhy8a45_JAXy9r_U1sU6/view?usp=drivesdk" TargetMode="External"/><Relationship Id="rId1002" Type="http://schemas.openxmlformats.org/officeDocument/2006/relationships/hyperlink" Target="https://drive.google.com/file/d/1NyK_meeP-Uy0TI4p3d1HOdmFQC0g1vI9/view?usp=drivesdk" TargetMode="External"/><Relationship Id="rId1486" Type="http://schemas.openxmlformats.org/officeDocument/2006/relationships/hyperlink" Target="https://drive.google.com/file/d/1B8quFljTrDYtB7dt96qYook8nYR9vlBP/view?usp=drivesdk" TargetMode="External"/><Relationship Id="rId2333" Type="http://schemas.openxmlformats.org/officeDocument/2006/relationships/hyperlink" Target="https://drive.google.com/file/d/1m45PBKymk37_G3Rc74W_wCJiXBtL1Lee/view?usp=drivesdk" TargetMode="External"/><Relationship Id="rId650" Type="http://schemas.openxmlformats.org/officeDocument/2006/relationships/hyperlink" Target="https://drive.google.com/file/d/1P8-Yllxyor3E7VXzufYLqFHMoGZmxrXN/view?usp=drivesdk" TargetMode="External"/><Relationship Id="rId1003" Type="http://schemas.openxmlformats.org/officeDocument/2006/relationships/hyperlink" Target="https://drive.google.com/file/d/17unwwzCdUB2myVCXr57v1YMbum79zDRz/view?usp=drivesdk" TargetMode="External"/><Relationship Id="rId1487" Type="http://schemas.openxmlformats.org/officeDocument/2006/relationships/hyperlink" Target="https://drive.google.com/file/d/1j9ieoDvXe0mQpudA_wGTsJmo3ljjkw2Q/view?usp=drivesdk" TargetMode="External"/><Relationship Id="rId2334" Type="http://schemas.openxmlformats.org/officeDocument/2006/relationships/hyperlink" Target="https://drive.google.com/file/d/1T067HtdrW4CYO2B8F_PxbNfhzke9tfow/view?usp=drivesdk" TargetMode="External"/><Relationship Id="rId1037" Type="http://schemas.openxmlformats.org/officeDocument/2006/relationships/hyperlink" Target="https://drive.google.com/file/d/117u5YtzK3ZsmvPFkW-2T-89QgFjlhNH0/view?usp=drivesdk" TargetMode="External"/><Relationship Id="rId2368" Type="http://schemas.openxmlformats.org/officeDocument/2006/relationships/hyperlink" Target="https://drive.google.com/file/d/1TQIiuaNdVbjV1Z4TZKGP_hCeywWm3Z0n/view?usp=drivesdk" TargetMode="External"/><Relationship Id="rId1038" Type="http://schemas.openxmlformats.org/officeDocument/2006/relationships/hyperlink" Target="https://drive.google.com/file/d/1t2eE1LdnSKBT_gtmq_qGxWbFleo3feZz/view?usp=drivesdk" TargetMode="External"/><Relationship Id="rId2369" Type="http://schemas.openxmlformats.org/officeDocument/2006/relationships/hyperlink" Target="https://drive.google.com/file/d/1te1YP-ObzHiIgLFqffauMrI9QWynrgeG/view?usp=drivesdk" TargetMode="External"/><Relationship Id="rId1039" Type="http://schemas.openxmlformats.org/officeDocument/2006/relationships/hyperlink" Target="https://drive.google.com/file/d/1w0cuHWAJ7uvHipwehKMae-286IKdhgGi/view?usp=drivesdk" TargetMode="External"/><Relationship Id="rId206" Type="http://schemas.openxmlformats.org/officeDocument/2006/relationships/hyperlink" Target="https://drive.google.com/file/d/16w0YtFESjiYo-UUpHCsU7oPVvCSXRbiy/view?usp=drivesdk" TargetMode="External"/><Relationship Id="rId205" Type="http://schemas.openxmlformats.org/officeDocument/2006/relationships/hyperlink" Target="https://drive.google.com/file/d/1dR5ObHkhWAmBahN-loeGd3Kq4bZdYDq6/view?usp=drivesdk" TargetMode="External"/><Relationship Id="rId689" Type="http://schemas.openxmlformats.org/officeDocument/2006/relationships/hyperlink" Target="https://drive.google.com/file/d/1Oc28Jj9x-QbNOvoEqn84Mk3_v17u8f-0/view?usp=drivesdk" TargetMode="External"/><Relationship Id="rId204" Type="http://schemas.openxmlformats.org/officeDocument/2006/relationships/hyperlink" Target="https://drive.google.com/file/d/1PukHeXuMDIRS3SAuqWRxYyf0-Q-D-Zot/view?usp=drivesdk" TargetMode="External"/><Relationship Id="rId688" Type="http://schemas.openxmlformats.org/officeDocument/2006/relationships/hyperlink" Target="https://drive.google.com/file/d/1FoHK24dUmCPX_thnUK0_u6iFSrst17Wn/view?usp=drivesdk" TargetMode="External"/><Relationship Id="rId203" Type="http://schemas.openxmlformats.org/officeDocument/2006/relationships/hyperlink" Target="https://drive.google.com/file/d/1tUrQCFMX7Tv4f_Ndz9Y3B7FskX22dl9l/view?usp=drivesdk" TargetMode="External"/><Relationship Id="rId687" Type="http://schemas.openxmlformats.org/officeDocument/2006/relationships/hyperlink" Target="https://drive.google.com/file/d/1DZ4RTZfPXjc97la7ukVr48lDaO07gYio/view?usp=drivesdk" TargetMode="External"/><Relationship Id="rId209" Type="http://schemas.openxmlformats.org/officeDocument/2006/relationships/hyperlink" Target="https://drive.google.com/file/d/12Ge-E04E4LsC0U7xnZ4H1s5gRcIkS9Qw/view?usp=drivesdk" TargetMode="External"/><Relationship Id="rId208" Type="http://schemas.openxmlformats.org/officeDocument/2006/relationships/hyperlink" Target="https://drive.google.com/file/d/100lAMVXpj7ilL3CMEiKelM0q-AATGrEC/view?usp=drivesdk" TargetMode="External"/><Relationship Id="rId207" Type="http://schemas.openxmlformats.org/officeDocument/2006/relationships/hyperlink" Target="https://drive.google.com/file/d/1LWAhpvt9l_zODlInwviKV9EoWjX4LpvI/view?usp=drivesdk" TargetMode="External"/><Relationship Id="rId682" Type="http://schemas.openxmlformats.org/officeDocument/2006/relationships/hyperlink" Target="https://drive.google.com/file/d/1rz_1vkgfg0e9A0w-vlatnZNMUaHi39QC/view?usp=drivesdk" TargetMode="External"/><Relationship Id="rId2360" Type="http://schemas.openxmlformats.org/officeDocument/2006/relationships/hyperlink" Target="https://drive.google.com/file/d/1U9BRJWGXpOeHxgDjvsM3faz8XugnA9_N/view?usp=drivesdk" TargetMode="External"/><Relationship Id="rId681" Type="http://schemas.openxmlformats.org/officeDocument/2006/relationships/hyperlink" Target="https://drive.google.com/file/d/1OBS1j1aMgEm6eRyV2iHvrVf-egCngxKo/view?usp=drivesdk" TargetMode="External"/><Relationship Id="rId1030" Type="http://schemas.openxmlformats.org/officeDocument/2006/relationships/hyperlink" Target="https://drive.google.com/file/d/1jDwu-cqpg6AZ2o3BI5lw2CnmbY8pKxUy/view?usp=drivesdk" TargetMode="External"/><Relationship Id="rId2361" Type="http://schemas.openxmlformats.org/officeDocument/2006/relationships/hyperlink" Target="https://drive.google.com/file/d/12cFSja2jRhRMB7IyRV2502QfszyqOMwi/view?usp=drivesdk" TargetMode="External"/><Relationship Id="rId680" Type="http://schemas.openxmlformats.org/officeDocument/2006/relationships/hyperlink" Target="https://drive.google.com/file/d/18dBcqMUEc0U5T4yPmgCtBHx3zHHJy-zv/view?usp=drivesdk" TargetMode="External"/><Relationship Id="rId1031" Type="http://schemas.openxmlformats.org/officeDocument/2006/relationships/hyperlink" Target="https://drive.google.com/file/d/1Bj0F0WfajNlhf-mmLW5RB7RLuUF89RlW/view?usp=drivesdk" TargetMode="External"/><Relationship Id="rId2362" Type="http://schemas.openxmlformats.org/officeDocument/2006/relationships/hyperlink" Target="https://drive.google.com/file/d/15H87arqUqLZfgQ-gdTra8kDtk0TqMw7n/view?usp=drivesdk" TargetMode="External"/><Relationship Id="rId1032" Type="http://schemas.openxmlformats.org/officeDocument/2006/relationships/hyperlink" Target="https://drive.google.com/file/d/1s5VoJ6bn38XkYE3bSPj1Z9PXFh2ticb1/view?usp=drivesdk" TargetMode="External"/><Relationship Id="rId2363" Type="http://schemas.openxmlformats.org/officeDocument/2006/relationships/hyperlink" Target="https://drive.google.com/file/d/1Il32_xJc-4h-4TaWs7rO-zwCTuZBAiYD/view?usp=drivesdk" TargetMode="External"/><Relationship Id="rId202" Type="http://schemas.openxmlformats.org/officeDocument/2006/relationships/hyperlink" Target="https://drive.google.com/file/d/1s9gu_AK5XRcPs0GQtbapXZJlPjRXgQFO/view?usp=drivesdk" TargetMode="External"/><Relationship Id="rId686" Type="http://schemas.openxmlformats.org/officeDocument/2006/relationships/hyperlink" Target="https://drive.google.com/file/d/11850SqoBxHA6VYnqlfCwyjFdZjndOvo_/view?usp=drivesdk" TargetMode="External"/><Relationship Id="rId1033" Type="http://schemas.openxmlformats.org/officeDocument/2006/relationships/hyperlink" Target="https://drive.google.com/file/d/1cD8RvyoGjbolP877gcmadtfJeyu7CFGp/view?usp=drivesdk" TargetMode="External"/><Relationship Id="rId2364" Type="http://schemas.openxmlformats.org/officeDocument/2006/relationships/hyperlink" Target="https://drive.google.com/file/d/1QpUaPCAOqDtgzMu0E7YvkH2OD5RgwLvX/view?usp=drivesdk" TargetMode="External"/><Relationship Id="rId201" Type="http://schemas.openxmlformats.org/officeDocument/2006/relationships/hyperlink" Target="https://drive.google.com/file/d/1LqnXznT5C-dkn44Oa4ZjgkXnpSlpFlLX/view?usp=drivesdk" TargetMode="External"/><Relationship Id="rId685" Type="http://schemas.openxmlformats.org/officeDocument/2006/relationships/hyperlink" Target="https://drive.google.com/file/d/1A2j8gSLvmS9RTBKWH8oZIMv72MpO961N/view?usp=drivesdk" TargetMode="External"/><Relationship Id="rId1034" Type="http://schemas.openxmlformats.org/officeDocument/2006/relationships/hyperlink" Target="https://drive.google.com/file/d/1bHUiR08iLMzdzXYLxQfqYu7iGpUIGIyz/view?usp=drivesdk" TargetMode="External"/><Relationship Id="rId2365" Type="http://schemas.openxmlformats.org/officeDocument/2006/relationships/hyperlink" Target="https://drive.google.com/file/d/1gNEukmBTzWxUAXs59_GONa_8j64Ezt5Z/view?usp=drivesdk" TargetMode="External"/><Relationship Id="rId200" Type="http://schemas.openxmlformats.org/officeDocument/2006/relationships/hyperlink" Target="https://drive.google.com/file/d/1-SQgMCpY1rkjn0grqBxCZFgY4Whvn0wA/view?usp=drivesdk" TargetMode="External"/><Relationship Id="rId684" Type="http://schemas.openxmlformats.org/officeDocument/2006/relationships/hyperlink" Target="https://drive.google.com/file/d/1iDglIyUreNTvS1ShMiJJOvPLMRbaUMyM/view?usp=drivesdk" TargetMode="External"/><Relationship Id="rId1035" Type="http://schemas.openxmlformats.org/officeDocument/2006/relationships/hyperlink" Target="https://drive.google.com/file/d/1gaDqfvZzrVXhbKjYCvp0XJ7NopJbPoRk/view?usp=drivesdk" TargetMode="External"/><Relationship Id="rId2366" Type="http://schemas.openxmlformats.org/officeDocument/2006/relationships/hyperlink" Target="https://drive.google.com/file/d/1yP2IaqhUfYNjV2wDrwzFSBm24-BCp5_K/view?usp=drivesdk" TargetMode="External"/><Relationship Id="rId683" Type="http://schemas.openxmlformats.org/officeDocument/2006/relationships/hyperlink" Target="https://drive.google.com/file/d/1jp0-fSlMzoRSoXnUgeZuANlYIRhBJlIb/view?usp=drivesdk" TargetMode="External"/><Relationship Id="rId1036" Type="http://schemas.openxmlformats.org/officeDocument/2006/relationships/hyperlink" Target="https://drive.google.com/file/d/1TDHpzVHZanKvmNZomIGliJQXef82t6mP/view?usp=drivesdk" TargetMode="External"/><Relationship Id="rId2367" Type="http://schemas.openxmlformats.org/officeDocument/2006/relationships/hyperlink" Target="https://drive.google.com/file/d/1YrxWHxSyVCxM5MnOcaUI6a0C950FHhk8/view?usp=drivesdk" TargetMode="External"/><Relationship Id="rId1026" Type="http://schemas.openxmlformats.org/officeDocument/2006/relationships/hyperlink" Target="https://drive.google.com/file/d/1S6hX7qUL2XuifChzK98FZvKK-OxaNhRG/view?usp=drivesdk" TargetMode="External"/><Relationship Id="rId2357" Type="http://schemas.openxmlformats.org/officeDocument/2006/relationships/hyperlink" Target="https://drive.google.com/file/d/1bGakZkGLJp8_as6ufUjY4omZWoN1hunq/view?usp=drivesdk" TargetMode="External"/><Relationship Id="rId1027" Type="http://schemas.openxmlformats.org/officeDocument/2006/relationships/hyperlink" Target="https://drive.google.com/file/d/1FsYLfsAumGzZwXlsP-dLvHepRIL8F8xr/view?usp=drivesdk" TargetMode="External"/><Relationship Id="rId2358" Type="http://schemas.openxmlformats.org/officeDocument/2006/relationships/hyperlink" Target="https://drive.google.com/file/d/1X4lw0-Upcjsoq6zgUxS1AP2XKv-DATu0/view?usp=drivesdk" TargetMode="External"/><Relationship Id="rId1028" Type="http://schemas.openxmlformats.org/officeDocument/2006/relationships/hyperlink" Target="https://drive.google.com/file/d/1oq3DufkCExZe-EK_4S2IfvKrREHWTCMk/view?usp=drivesdk" TargetMode="External"/><Relationship Id="rId2359" Type="http://schemas.openxmlformats.org/officeDocument/2006/relationships/hyperlink" Target="https://drive.google.com/file/d/1zl6YbdoHww-0V0TBJ9JoFS9SmvJwfrXz/view?usp=drivesdk" TargetMode="External"/><Relationship Id="rId1029" Type="http://schemas.openxmlformats.org/officeDocument/2006/relationships/hyperlink" Target="https://drive.google.com/file/d/1QBp66_smp0JyqPF-y4GqWvFnTA0elXJL/view?usp=drivesdk" TargetMode="External"/><Relationship Id="rId679" Type="http://schemas.openxmlformats.org/officeDocument/2006/relationships/hyperlink" Target="https://drive.google.com/file/d/1WiIZnqodr80t4bUXVQF6wRSHyoDeaT42/view?usp=drivesdk" TargetMode="External"/><Relationship Id="rId678" Type="http://schemas.openxmlformats.org/officeDocument/2006/relationships/hyperlink" Target="https://drive.google.com/file/d/1u1BzoJamwPINmqEtaTdnyjC1znv3yk_f/view?usp=drivesdk" TargetMode="External"/><Relationship Id="rId677" Type="http://schemas.openxmlformats.org/officeDocument/2006/relationships/hyperlink" Target="https://drive.google.com/file/d/1F68jyxgWZPgn0B03U3z9z0a4jBdlDCEg/view?usp=drivesdk" TargetMode="External"/><Relationship Id="rId676" Type="http://schemas.openxmlformats.org/officeDocument/2006/relationships/hyperlink" Target="https://drive.google.com/file/d/1xWWBsVoiwOlqFOI4TlmTXxBqorCVUm5Z/view?usp=drivesdk" TargetMode="External"/><Relationship Id="rId671" Type="http://schemas.openxmlformats.org/officeDocument/2006/relationships/hyperlink" Target="https://drive.google.com/file/d/1sW-ypKFPhmuWy-Eviv1JH8JdgHe--O0M/view?usp=drivesdk" TargetMode="External"/><Relationship Id="rId670" Type="http://schemas.openxmlformats.org/officeDocument/2006/relationships/hyperlink" Target="https://drive.google.com/file/d/1N3vjty7FUplvdPfTpe7hiyT3pBP1APDX/view?usp=drivesdk" TargetMode="External"/><Relationship Id="rId2350" Type="http://schemas.openxmlformats.org/officeDocument/2006/relationships/hyperlink" Target="https://drive.google.com/file/d/1yVBjVEzQ6ZJGiHneRYrpL6IiV5ZIbDru/view?usp=drivesdk" TargetMode="External"/><Relationship Id="rId1020" Type="http://schemas.openxmlformats.org/officeDocument/2006/relationships/hyperlink" Target="https://drive.google.com/file/d/1Uw5SX6eZ7noKBQQEWXCcRRjTyDq76rjs/view?usp=drivesdk" TargetMode="External"/><Relationship Id="rId2351" Type="http://schemas.openxmlformats.org/officeDocument/2006/relationships/hyperlink" Target="https://drive.google.com/file/d/1ZLTIFTBe0N-KcPs910CELfhgPIzx2C49/view?usp=drivesdk" TargetMode="External"/><Relationship Id="rId1021" Type="http://schemas.openxmlformats.org/officeDocument/2006/relationships/hyperlink" Target="https://drive.google.com/file/d/1Ivmhko8QnBGoQN31hyO5sMitKcOkYxhN/view?usp=drivesdk" TargetMode="External"/><Relationship Id="rId2352" Type="http://schemas.openxmlformats.org/officeDocument/2006/relationships/hyperlink" Target="https://drive.google.com/file/d/1_gApUOswgXq2hgXpjhPgm1lf-CqIJlwL/view?usp=drivesdk" TargetMode="External"/><Relationship Id="rId675" Type="http://schemas.openxmlformats.org/officeDocument/2006/relationships/hyperlink" Target="https://drive.google.com/file/d/1_YfvwUAJIVZVN42mWhR2s1j8ihAg4y0Q/view?usp=drivesdk" TargetMode="External"/><Relationship Id="rId1022" Type="http://schemas.openxmlformats.org/officeDocument/2006/relationships/hyperlink" Target="https://drive.google.com/file/d/1b0EupkQkUv_dn27cv8WdfrEydwPiDNpc/view?usp=drivesdk" TargetMode="External"/><Relationship Id="rId2353" Type="http://schemas.openxmlformats.org/officeDocument/2006/relationships/hyperlink" Target="https://drive.google.com/file/d/1yK8VpnLHhY9zsPAJOtOINy7cfdNO8A7z/view?usp=drivesdk" TargetMode="External"/><Relationship Id="rId674" Type="http://schemas.openxmlformats.org/officeDocument/2006/relationships/hyperlink" Target="https://drive.google.com/file/d/1NrTPEgPIuV2IOJkh5w7UDn1oCBqI2bng/view?usp=drivesdk" TargetMode="External"/><Relationship Id="rId1023" Type="http://schemas.openxmlformats.org/officeDocument/2006/relationships/hyperlink" Target="https://drive.google.com/file/d/1Um8snBg-lJj5LEVUtIaHwjOG9hHVafqD/view?usp=drivesdk" TargetMode="External"/><Relationship Id="rId2354" Type="http://schemas.openxmlformats.org/officeDocument/2006/relationships/hyperlink" Target="https://drive.google.com/file/d/1JzP92MkUfDM3rbRn_qpWemuytlwSioOj/view?usp=drivesdk" TargetMode="External"/><Relationship Id="rId673" Type="http://schemas.openxmlformats.org/officeDocument/2006/relationships/hyperlink" Target="https://drive.google.com/file/d/1PijCcRdfYYozVJ9n9LoKk6qr3kmA2p8q/view?usp=drivesdk" TargetMode="External"/><Relationship Id="rId1024" Type="http://schemas.openxmlformats.org/officeDocument/2006/relationships/hyperlink" Target="https://drive.google.com/file/d/1HmCbUgKua5BeduhahBxS4c-P19OrYmI5/view?usp=drivesdk" TargetMode="External"/><Relationship Id="rId2355" Type="http://schemas.openxmlformats.org/officeDocument/2006/relationships/hyperlink" Target="https://drive.google.com/file/d/1abo9k84KzfO3CpHSvSClrNuYOftvQ05r/view?usp=drivesdk" TargetMode="External"/><Relationship Id="rId672" Type="http://schemas.openxmlformats.org/officeDocument/2006/relationships/hyperlink" Target="https://drive.google.com/file/d/1Pnpio7aTG-530iP3HdlaUyRvcqiuecue/view?usp=drivesdk" TargetMode="External"/><Relationship Id="rId1025" Type="http://schemas.openxmlformats.org/officeDocument/2006/relationships/hyperlink" Target="https://drive.google.com/file/d/1MdvZrfpNR2BevT2CA30tw198LUE4Rxoy/view?usp=drivesdk" TargetMode="External"/><Relationship Id="rId2356" Type="http://schemas.openxmlformats.org/officeDocument/2006/relationships/hyperlink" Target="https://drive.google.com/file/d/1u01W-NDRwDJDIJSLqshg29KhEtOCS3xb/view?usp=drivesdk" TargetMode="External"/><Relationship Id="rId190" Type="http://schemas.openxmlformats.org/officeDocument/2006/relationships/hyperlink" Target="https://drive.google.com/file/d/1YUWgMxtU96g5_t6Par2gW9wO91mr3hDi/view?usp=drivesdk" TargetMode="External"/><Relationship Id="rId194" Type="http://schemas.openxmlformats.org/officeDocument/2006/relationships/hyperlink" Target="https://drive.google.com/file/d/1sG-5_5zbMD4EWNndkcf7kH6ei7HsWnHq/view?usp=drivesdk" TargetMode="External"/><Relationship Id="rId193" Type="http://schemas.openxmlformats.org/officeDocument/2006/relationships/hyperlink" Target="https://drive.google.com/file/d/1e78Ahj4fwFxhmbiw-VsGdSIRffkOhNkz/view?usp=drivesdk" TargetMode="External"/><Relationship Id="rId192" Type="http://schemas.openxmlformats.org/officeDocument/2006/relationships/hyperlink" Target="https://drive.google.com/file/d/1d_2m4W3Rl_sWL_jpmle_hqcT1uUPtAmd/view?usp=drivesdk" TargetMode="External"/><Relationship Id="rId191" Type="http://schemas.openxmlformats.org/officeDocument/2006/relationships/hyperlink" Target="https://drive.google.com/file/d/1oxybY88TXUXeJA4XSrHd0gl1j3PhTiw6/view?usp=drivesdk" TargetMode="External"/><Relationship Id="rId187" Type="http://schemas.openxmlformats.org/officeDocument/2006/relationships/hyperlink" Target="https://drive.google.com/file/d/1njhqFU5KP0SsBXYKvVTwwXE3vsaX2ILB/view?usp=drivesdk" TargetMode="External"/><Relationship Id="rId186" Type="http://schemas.openxmlformats.org/officeDocument/2006/relationships/hyperlink" Target="https://drive.google.com/file/d/1tOBTNOYor8kkigM9F391FISKuC0rnzAD/view?usp=drivesdk" TargetMode="External"/><Relationship Id="rId185" Type="http://schemas.openxmlformats.org/officeDocument/2006/relationships/hyperlink" Target="https://drive.google.com/file/d/1FulzpaTcOJZTECRRWDeWV-2QecJ_iiip/view?usp=drivesdk" TargetMode="External"/><Relationship Id="rId184" Type="http://schemas.openxmlformats.org/officeDocument/2006/relationships/hyperlink" Target="https://drive.google.com/file/d/1f4PNvJg_0z3xThbx8HImT9Q95zAXLvxa/view?usp=drivesdk" TargetMode="External"/><Relationship Id="rId189" Type="http://schemas.openxmlformats.org/officeDocument/2006/relationships/hyperlink" Target="https://drive.google.com/file/d/1FFDQ5tMp_flRF5Jlwxx5Et83Cpfb6X67/view?usp=drivesdk" TargetMode="External"/><Relationship Id="rId188" Type="http://schemas.openxmlformats.org/officeDocument/2006/relationships/hyperlink" Target="https://drive.google.com/file/d/1vwxWZPHupE8x3LJc1bqURwXtUI5cznB7/view?usp=drivesdk" TargetMode="External"/><Relationship Id="rId183" Type="http://schemas.openxmlformats.org/officeDocument/2006/relationships/hyperlink" Target="https://drive.google.com/file/d/1cPGrF8W6lhkv6mp4HpL01q79CvpF8scU/view?usp=drivesdk" TargetMode="External"/><Relationship Id="rId182" Type="http://schemas.openxmlformats.org/officeDocument/2006/relationships/hyperlink" Target="https://drive.google.com/file/d/17Lwo7eiwrhjkV1FnsL2eUUJSd4YxHhPc/view?usp=drivesdk" TargetMode="External"/><Relationship Id="rId181" Type="http://schemas.openxmlformats.org/officeDocument/2006/relationships/hyperlink" Target="https://drive.google.com/file/d/12RaZZWlHjr_lSXdFpN-5TUJI5jqakWkZ/view?usp=drivesdk" TargetMode="External"/><Relationship Id="rId180" Type="http://schemas.openxmlformats.org/officeDocument/2006/relationships/hyperlink" Target="https://drive.google.com/file/d/1EYpbYCVhhLUfoP3-CbzmJmM7YTZumesK/view?usp=drivesdk" TargetMode="External"/><Relationship Id="rId176" Type="http://schemas.openxmlformats.org/officeDocument/2006/relationships/hyperlink" Target="https://drive.google.com/file/d/19NdGvM3NDgNx6SWHyh3Ph0ZFT8w9HxN2/view?usp=drivesdk" TargetMode="External"/><Relationship Id="rId175" Type="http://schemas.openxmlformats.org/officeDocument/2006/relationships/hyperlink" Target="https://drive.google.com/file/d/1UV-GTUSDJkFjHvUA-3GPlhApIFE-Qzs1/view?usp=drivesdk" TargetMode="External"/><Relationship Id="rId174" Type="http://schemas.openxmlformats.org/officeDocument/2006/relationships/hyperlink" Target="https://drive.google.com/file/d/1tjSyeeKKomB6b5WtZmK0mVTCGRnZ5gEC/view?usp=drivesdk" TargetMode="External"/><Relationship Id="rId173" Type="http://schemas.openxmlformats.org/officeDocument/2006/relationships/hyperlink" Target="https://drive.google.com/file/d/1edLQM5QQUExvg45SPsnAtc1pKTe4pZ6v/view?usp=drivesdk" TargetMode="External"/><Relationship Id="rId179" Type="http://schemas.openxmlformats.org/officeDocument/2006/relationships/hyperlink" Target="https://drive.google.com/file/d/1qA-gqIfidxiZBvscYP8Fz1aQlY8Ww_8H/view?usp=drivesdk" TargetMode="External"/><Relationship Id="rId178" Type="http://schemas.openxmlformats.org/officeDocument/2006/relationships/hyperlink" Target="https://drive.google.com/file/d/1PyJiQgqQhRebIYr3AVk-5zc1NGjKayou/view?usp=drivesdk" TargetMode="External"/><Relationship Id="rId177" Type="http://schemas.openxmlformats.org/officeDocument/2006/relationships/hyperlink" Target="https://drive.google.com/file/d/1Fr9F7p5PS2eLcICr7WwyJmyFIl-_aFMk/view?usp=drivesdk" TargetMode="External"/><Relationship Id="rId1910" Type="http://schemas.openxmlformats.org/officeDocument/2006/relationships/hyperlink" Target="https://drive.google.com/file/d/1uKEk54qoBs1FMZ6CMW_tWYC-fHP4ecUt/view?usp=drivesdk" TargetMode="External"/><Relationship Id="rId1911" Type="http://schemas.openxmlformats.org/officeDocument/2006/relationships/hyperlink" Target="https://drive.google.com/file/d/1ooDjA1s9QJ0tSXq1Nw8v2enoXq6WovZ1/view?usp=drivesdk" TargetMode="External"/><Relationship Id="rId1912" Type="http://schemas.openxmlformats.org/officeDocument/2006/relationships/hyperlink" Target="https://drive.google.com/file/d/1ZqZHJIRSGJCGWkzSTGTqSAFbizU1mbPw/view?usp=drivesdk" TargetMode="External"/><Relationship Id="rId1913" Type="http://schemas.openxmlformats.org/officeDocument/2006/relationships/hyperlink" Target="https://drive.google.com/file/d/14qfePM3eFfB8AUt8MIJumlaN1a4R9H60/view?usp=drivesdk" TargetMode="External"/><Relationship Id="rId1914" Type="http://schemas.openxmlformats.org/officeDocument/2006/relationships/hyperlink" Target="https://drive.google.com/file/d/1k-Gl8oKi-mB63ZRCUEZkxyek4iRQU_4E/view?usp=drivesdk" TargetMode="External"/><Relationship Id="rId1915" Type="http://schemas.openxmlformats.org/officeDocument/2006/relationships/hyperlink" Target="https://drive.google.com/file/d/1dEqEx8pWVGx2ss_QutGKvN_bPo81a4lV/view?usp=drivesdk" TargetMode="External"/><Relationship Id="rId1916" Type="http://schemas.openxmlformats.org/officeDocument/2006/relationships/hyperlink" Target="https://drive.google.com/file/d/1s58IkRZStkvfs35j5QQGVGiPTbqVc-Ho/view?usp=drivesdk" TargetMode="External"/><Relationship Id="rId1917" Type="http://schemas.openxmlformats.org/officeDocument/2006/relationships/hyperlink" Target="https://drive.google.com/file/d/1fvm9uUGm8Ch_i5nIudUXaIceVv_8xsfV/view?usp=drivesdk" TargetMode="External"/><Relationship Id="rId1918" Type="http://schemas.openxmlformats.org/officeDocument/2006/relationships/hyperlink" Target="https://drive.google.com/file/d/1t3oJeDxZQB6w8k2g3KoZWXyxY2F7NvGC/view?usp=drivesdk" TargetMode="External"/><Relationship Id="rId1919" Type="http://schemas.openxmlformats.org/officeDocument/2006/relationships/hyperlink" Target="https://drive.google.com/file/d/1RO3aOn9B0IRf3uMS3GtnOC07gGmJPvSm/view?usp=drivesdk" TargetMode="External"/><Relationship Id="rId1900" Type="http://schemas.openxmlformats.org/officeDocument/2006/relationships/hyperlink" Target="https://drive.google.com/file/d/12iKFZYDaCCnqY0jocK-hCZ0yRL0DdT6E/view?usp=drivesdk" TargetMode="External"/><Relationship Id="rId1901" Type="http://schemas.openxmlformats.org/officeDocument/2006/relationships/hyperlink" Target="https://drive.google.com/file/d/1Vu-T8oraEwemolPgvTupjle5PuGwfNx6/view?usp=drivesdk" TargetMode="External"/><Relationship Id="rId1902" Type="http://schemas.openxmlformats.org/officeDocument/2006/relationships/hyperlink" Target="https://drive.google.com/file/d/14XeICWXx-UAzgo1_j9_exy8Wi8ZX4cOe/view?usp=drivesdk" TargetMode="External"/><Relationship Id="rId1903" Type="http://schemas.openxmlformats.org/officeDocument/2006/relationships/hyperlink" Target="https://drive.google.com/file/d/1CdwlcNSCTVVo7K8BOdQNU-n6vokynBz4/view?usp=drivesdk" TargetMode="External"/><Relationship Id="rId1904" Type="http://schemas.openxmlformats.org/officeDocument/2006/relationships/hyperlink" Target="https://drive.google.com/file/d/1iq5S_sLcyU30IiqGZY_sh0EgqC0FLoIa/view?usp=drivesdk" TargetMode="External"/><Relationship Id="rId1905" Type="http://schemas.openxmlformats.org/officeDocument/2006/relationships/hyperlink" Target="https://drive.google.com/file/d/1pmsHluFeI8p6HP0o9c7IE6iE26jEU6uq/view?usp=drivesdk" TargetMode="External"/><Relationship Id="rId1906" Type="http://schemas.openxmlformats.org/officeDocument/2006/relationships/hyperlink" Target="https://drive.google.com/file/d/1w_Pr7gdrByKHNIucK-o_ISthu-o7N4x5/view?usp=drivesdk" TargetMode="External"/><Relationship Id="rId1907" Type="http://schemas.openxmlformats.org/officeDocument/2006/relationships/hyperlink" Target="https://drive.google.com/file/d/1uEgRFAd5KaUbN08bk1fyM8xJdq4L7XIk/view?usp=drivesdk" TargetMode="External"/><Relationship Id="rId1908" Type="http://schemas.openxmlformats.org/officeDocument/2006/relationships/hyperlink" Target="https://drive.google.com/file/d/1wBchZe8PcNrUUNDkYZsI5r8vwKHCDYYm/view?usp=drivesdk" TargetMode="External"/><Relationship Id="rId1909" Type="http://schemas.openxmlformats.org/officeDocument/2006/relationships/hyperlink" Target="https://drive.google.com/file/d/1Ro-a5Pv8uo-0oUEXlfLfBWga1pGUC1Bs/view?usp=drivesdk" TargetMode="External"/><Relationship Id="rId198" Type="http://schemas.openxmlformats.org/officeDocument/2006/relationships/hyperlink" Target="https://drive.google.com/file/d/13sgNn21D0tDzUdaHlZsuRKKhY4cIUokm/view?usp=drivesdk" TargetMode="External"/><Relationship Id="rId197" Type="http://schemas.openxmlformats.org/officeDocument/2006/relationships/hyperlink" Target="https://drive.google.com/file/d/1W3Q0hZpoVufqDhH6Rm5YbQipMDJxEycc/view?usp=drivesdk" TargetMode="External"/><Relationship Id="rId196" Type="http://schemas.openxmlformats.org/officeDocument/2006/relationships/hyperlink" Target="https://drive.google.com/file/d/1Y6mN52RweqlrrbLue_OdVwrcpUA-MmoR/view?usp=drivesdk" TargetMode="External"/><Relationship Id="rId195" Type="http://schemas.openxmlformats.org/officeDocument/2006/relationships/hyperlink" Target="https://drive.google.com/file/d/1zmIO1WkiCvR9FJjWVzPQQVOWum1K-IMa/view?usp=drivesdk" TargetMode="External"/><Relationship Id="rId199" Type="http://schemas.openxmlformats.org/officeDocument/2006/relationships/hyperlink" Target="https://drive.google.com/file/d/1cbMrlcvIM60K8cgvOEnuv14eC4thM28q/view?usp=drivesdk" TargetMode="External"/><Relationship Id="rId150" Type="http://schemas.openxmlformats.org/officeDocument/2006/relationships/hyperlink" Target="https://drive.google.com/file/d/12XP12YMzVqS4Ln78YmxCX6zzi2oixKyT/view?usp=drivesdk" TargetMode="External"/><Relationship Id="rId149" Type="http://schemas.openxmlformats.org/officeDocument/2006/relationships/hyperlink" Target="https://drive.google.com/file/d/1qlFZvhTOl9Xt5--rJdW7KjAMhdhDrz8S/view?usp=drivesdk" TargetMode="External"/><Relationship Id="rId148" Type="http://schemas.openxmlformats.org/officeDocument/2006/relationships/hyperlink" Target="https://drive.google.com/file/d/1tnSCo9Ttuea4H87Ym8oK3rhHnbBsLl4R/view?usp=drivesdk" TargetMode="External"/><Relationship Id="rId1090" Type="http://schemas.openxmlformats.org/officeDocument/2006/relationships/hyperlink" Target="https://drive.google.com/file/d/1X9vx9XKw3LEolWeFC2F-INyo5JJCBaHO/view?usp=drivesdk" TargetMode="External"/><Relationship Id="rId1091" Type="http://schemas.openxmlformats.org/officeDocument/2006/relationships/hyperlink" Target="https://drive.google.com/file/d/1wAeAeLV9aHDohqr3CJIQ_ZNadAZ4RiPF/view?usp=drivesdk" TargetMode="External"/><Relationship Id="rId1092" Type="http://schemas.openxmlformats.org/officeDocument/2006/relationships/hyperlink" Target="https://drive.google.com/file/d/1nuD6cHwXM7iRQTA2qOta2vQwPtj9hBLn/view?usp=drivesdk" TargetMode="External"/><Relationship Id="rId1093" Type="http://schemas.openxmlformats.org/officeDocument/2006/relationships/hyperlink" Target="https://drive.google.com/file/d/1JYbOq6mk1hpTeyhXcgSv1TMBOKTPwPTn/view?usp=drivesdk" TargetMode="External"/><Relationship Id="rId1094" Type="http://schemas.openxmlformats.org/officeDocument/2006/relationships/hyperlink" Target="https://drive.google.com/file/d/11hvYBHLix8UNzQie8AZQBEO3dLd4j6Df/view?usp=drivesdk" TargetMode="External"/><Relationship Id="rId143" Type="http://schemas.openxmlformats.org/officeDocument/2006/relationships/hyperlink" Target="https://drive.google.com/file/d/1Kj_lzJ91-5ZYT_0B2AnXfIcSVZ40xzIP/view?usp=drivesdk" TargetMode="External"/><Relationship Id="rId1095" Type="http://schemas.openxmlformats.org/officeDocument/2006/relationships/hyperlink" Target="https://drive.google.com/file/d/1wDvkZR5TqQi9Huh5YG3o9Z69ov3ay2GL/view?usp=drivesdk" TargetMode="External"/><Relationship Id="rId142" Type="http://schemas.openxmlformats.org/officeDocument/2006/relationships/hyperlink" Target="https://drive.google.com/file/d/1PvdLON6_6c65g54Umeu_bDJIgEyscQEE/view?usp=drivesdk" TargetMode="External"/><Relationship Id="rId1096" Type="http://schemas.openxmlformats.org/officeDocument/2006/relationships/hyperlink" Target="https://drive.google.com/file/d/1k_d0asp8TZZw5vJL9K4_zd3DCG5uQXw9/view?usp=drivesdk" TargetMode="External"/><Relationship Id="rId141" Type="http://schemas.openxmlformats.org/officeDocument/2006/relationships/hyperlink" Target="https://drive.google.com/file/d/1VuwRAVVZRKB0y1VP8rGzqGh1RO8hnz0L/view?usp=drivesdk" TargetMode="External"/><Relationship Id="rId1097" Type="http://schemas.openxmlformats.org/officeDocument/2006/relationships/hyperlink" Target="https://drive.google.com/file/d/1oxEB8pexKCAyd9K5hxovD60-WUUjM6sl/view?usp=drivesdk" TargetMode="External"/><Relationship Id="rId140" Type="http://schemas.openxmlformats.org/officeDocument/2006/relationships/hyperlink" Target="https://drive.google.com/file/d/1eWHzPkVoHemLEu7OfISjecpvXrpMmRgu/view?usp=drivesdk" TargetMode="External"/><Relationship Id="rId1098" Type="http://schemas.openxmlformats.org/officeDocument/2006/relationships/hyperlink" Target="https://drive.google.com/file/d/1CQ127bL7Hcw8FP413swNcMMqsxUQdujj/view?usp=drivesdk" TargetMode="External"/><Relationship Id="rId147" Type="http://schemas.openxmlformats.org/officeDocument/2006/relationships/hyperlink" Target="https://drive.google.com/file/d/1FR5W0IdHub_Rf3dy6K6kkZHJn7YVvSqz/view?usp=drivesdk" TargetMode="External"/><Relationship Id="rId1099" Type="http://schemas.openxmlformats.org/officeDocument/2006/relationships/hyperlink" Target="https://drive.google.com/file/d/1KlQrk_aqVXqHWB8-sDtALfOQHYYzJfev/view?usp=drivesdk" TargetMode="External"/><Relationship Id="rId146" Type="http://schemas.openxmlformats.org/officeDocument/2006/relationships/hyperlink" Target="https://drive.google.com/file/d/1vbKK1yJOkSCqp45SZTEkoLELWO5QQLl8/view?usp=drivesdk" TargetMode="External"/><Relationship Id="rId145" Type="http://schemas.openxmlformats.org/officeDocument/2006/relationships/hyperlink" Target="https://drive.google.com/file/d/1irDY5oFap8QDiTU3IAA0Nubt31gAq6GZ/view?usp=drivesdk" TargetMode="External"/><Relationship Id="rId144" Type="http://schemas.openxmlformats.org/officeDocument/2006/relationships/hyperlink" Target="https://drive.google.com/file/d/1cMtunokbc4eGrf2q6OQJUTmK0yNbD0x8/view?usp=drivesdk" TargetMode="External"/><Relationship Id="rId139" Type="http://schemas.openxmlformats.org/officeDocument/2006/relationships/hyperlink" Target="https://drive.google.com/file/d/16Fgmxwjrb5xPmGrPha555NFeSvNKXoFu/view?usp=drivesdk" TargetMode="External"/><Relationship Id="rId138" Type="http://schemas.openxmlformats.org/officeDocument/2006/relationships/hyperlink" Target="https://drive.google.com/file/d/1oCAxMm9hTsLGne4B7SMGuYzeYJfhnbg7/view?usp=drivesdk" TargetMode="External"/><Relationship Id="rId137" Type="http://schemas.openxmlformats.org/officeDocument/2006/relationships/hyperlink" Target="https://drive.google.com/file/d/14oq84pzC198KPLy68TitKMW29AjD8PaZ/view?usp=drivesdk" TargetMode="External"/><Relationship Id="rId1080" Type="http://schemas.openxmlformats.org/officeDocument/2006/relationships/hyperlink" Target="https://drive.google.com/file/d/1Pa-Rj0H6XhBCPJfdmc-HC5GJK7Ln8MJx/view?usp=drivesdk" TargetMode="External"/><Relationship Id="rId1081" Type="http://schemas.openxmlformats.org/officeDocument/2006/relationships/hyperlink" Target="https://drive.google.com/file/d/15tyrCa1xBsuO5spr9JnzdSt8nFznWjfa/view?usp=drivesdk" TargetMode="External"/><Relationship Id="rId1082" Type="http://schemas.openxmlformats.org/officeDocument/2006/relationships/hyperlink" Target="https://drive.google.com/file/d/13zhMiDkpWGsx2XpaoD1M7m2ZGvJJ1HRQ/view?usp=drivesdk" TargetMode="External"/><Relationship Id="rId1083" Type="http://schemas.openxmlformats.org/officeDocument/2006/relationships/hyperlink" Target="https://drive.google.com/file/d/1FXuGBN_XrjpQGl3DmuldzzNUvFGNF3Ns/view?usp=drivesdk" TargetMode="External"/><Relationship Id="rId132" Type="http://schemas.openxmlformats.org/officeDocument/2006/relationships/hyperlink" Target="https://drive.google.com/file/d/1huJEDxVTL4Ab0ZWV4l0ta2gb-KZ-rSoj/view?usp=drivesdk" TargetMode="External"/><Relationship Id="rId1084" Type="http://schemas.openxmlformats.org/officeDocument/2006/relationships/hyperlink" Target="https://drive.google.com/file/d/16bN6_XENK-kDCEV0WWiSz_W1Q-CxgU67/view?usp=drivesdk" TargetMode="External"/><Relationship Id="rId131" Type="http://schemas.openxmlformats.org/officeDocument/2006/relationships/hyperlink" Target="https://drive.google.com/file/d/18AyU_kND4tX7mcYygqrLsfbxcyVfCuMV/view?usp=drivesdk" TargetMode="External"/><Relationship Id="rId1085" Type="http://schemas.openxmlformats.org/officeDocument/2006/relationships/hyperlink" Target="https://drive.google.com/file/d/1BuxQ-3ph1UtxQqWOrNnj71VXnUSzdGUA/view?usp=drivesdk" TargetMode="External"/><Relationship Id="rId130" Type="http://schemas.openxmlformats.org/officeDocument/2006/relationships/hyperlink" Target="https://drive.google.com/file/d/1EugiuOxJSI7KewW0r3V6qQv9YmJayLXM/view?usp=drivesdk" TargetMode="External"/><Relationship Id="rId1086" Type="http://schemas.openxmlformats.org/officeDocument/2006/relationships/hyperlink" Target="https://drive.google.com/file/d/1OL10gCP65MBgOllFxsoFtp995g4Imvza/view?usp=drivesdk" TargetMode="External"/><Relationship Id="rId1087" Type="http://schemas.openxmlformats.org/officeDocument/2006/relationships/hyperlink" Target="https://drive.google.com/file/d/1TZAX7gUcREVWPaEn2YNfJ0YoqSAp6YcY/view?usp=drivesdk" TargetMode="External"/><Relationship Id="rId136" Type="http://schemas.openxmlformats.org/officeDocument/2006/relationships/hyperlink" Target="https://drive.google.com/file/d/1UZqI_amvpa3_ehbbe6hIsIURguE-CYjg/view?usp=drivesdk" TargetMode="External"/><Relationship Id="rId1088" Type="http://schemas.openxmlformats.org/officeDocument/2006/relationships/hyperlink" Target="https://drive.google.com/file/d/1a9I5521CJHsOghbayCViXmDhHjkrkCl2/view?usp=drivesdk" TargetMode="External"/><Relationship Id="rId135" Type="http://schemas.openxmlformats.org/officeDocument/2006/relationships/hyperlink" Target="https://drive.google.com/file/d/1MgHXAR0MOxVWZjuDGBZoYLmGWKx9aSAV/view?usp=drivesdk" TargetMode="External"/><Relationship Id="rId1089" Type="http://schemas.openxmlformats.org/officeDocument/2006/relationships/hyperlink" Target="https://drive.google.com/file/d/13ZDC7U75q_tF6TsKWnbEZ2aJW_dHb5xJ/view?usp=drivesdk" TargetMode="External"/><Relationship Id="rId134" Type="http://schemas.openxmlformats.org/officeDocument/2006/relationships/hyperlink" Target="https://drive.google.com/file/d/1jpvYT3_Q_ZI97uiFowV2SuLzKsSLDQCD/view?usp=drivesdk" TargetMode="External"/><Relationship Id="rId133" Type="http://schemas.openxmlformats.org/officeDocument/2006/relationships/hyperlink" Target="https://drive.google.com/file/d/1iW2_ywj0gUPWvr8fbpkUURiSezjbvyyG/view?usp=drivesdk" TargetMode="External"/><Relationship Id="rId172" Type="http://schemas.openxmlformats.org/officeDocument/2006/relationships/hyperlink" Target="https://drive.google.com/file/d/1L7BkjS-tqqZZd-FKp3gJw0IdOzhKHIvv/view?usp=drivesdk" TargetMode="External"/><Relationship Id="rId171" Type="http://schemas.openxmlformats.org/officeDocument/2006/relationships/hyperlink" Target="https://drive.google.com/file/d/1w9Y7_C-yvOZ0SoQn6Vll3H3oWGAdgcD4/view?usp=drivesdk" TargetMode="External"/><Relationship Id="rId170" Type="http://schemas.openxmlformats.org/officeDocument/2006/relationships/hyperlink" Target="https://drive.google.com/file/d/1JKOphFo1PzUA897Mi8_wg9K0PgNitVbR/view?usp=drivesdk" TargetMode="External"/><Relationship Id="rId165" Type="http://schemas.openxmlformats.org/officeDocument/2006/relationships/hyperlink" Target="https://drive.google.com/file/d/1hkf-3TXc6vmXFxR-xIRCYGkgY2fJ-RCo/view?usp=drivesdk" TargetMode="External"/><Relationship Id="rId164" Type="http://schemas.openxmlformats.org/officeDocument/2006/relationships/hyperlink" Target="https://drive.google.com/file/d/1gQbvzslo1X5l1dI7op7hP4MzvHZOWbeQ/view?usp=drivesdk" TargetMode="External"/><Relationship Id="rId163" Type="http://schemas.openxmlformats.org/officeDocument/2006/relationships/hyperlink" Target="https://drive.google.com/file/d/1-bqeDI3RdYU4dwcsKNocrF-OTkmHXpHx/view?usp=drivesdk" TargetMode="External"/><Relationship Id="rId162" Type="http://schemas.openxmlformats.org/officeDocument/2006/relationships/hyperlink" Target="https://drive.google.com/file/d/1gltUSGktSIVuldA7t2MNrRANtcbEf9lr/view?usp=drivesdk" TargetMode="External"/><Relationship Id="rId169" Type="http://schemas.openxmlformats.org/officeDocument/2006/relationships/hyperlink" Target="https://drive.google.com/file/d/1ubSNjwyvuG6scLsy28-E0SnvTdInrDIK/view?usp=drivesdk" TargetMode="External"/><Relationship Id="rId168" Type="http://schemas.openxmlformats.org/officeDocument/2006/relationships/hyperlink" Target="https://drive.google.com/file/d/17lv_dDBqS8tlBBTfpMwIEpN_60LyNXLh/view?usp=drivesdk" TargetMode="External"/><Relationship Id="rId167" Type="http://schemas.openxmlformats.org/officeDocument/2006/relationships/hyperlink" Target="https://drive.google.com/file/d/1PrDX-AJriBYagRfn2vP3_MMBO8D99neP/view?usp=drivesdk" TargetMode="External"/><Relationship Id="rId166" Type="http://schemas.openxmlformats.org/officeDocument/2006/relationships/hyperlink" Target="https://drive.google.com/file/d/15nfOC3EsnmlwohungF-93i9abvhQj_Z2/view?usp=drivesdk" TargetMode="External"/><Relationship Id="rId161" Type="http://schemas.openxmlformats.org/officeDocument/2006/relationships/hyperlink" Target="https://drive.google.com/file/d/1_Y2DNbGUUEm1Ynr5_GZTvudOqboVAu2-/view?usp=drivesdk" TargetMode="External"/><Relationship Id="rId160" Type="http://schemas.openxmlformats.org/officeDocument/2006/relationships/hyperlink" Target="https://drive.google.com/file/d/1MQ_vJO9Rk0aQcHjmFi9ujOXVccZvlUZJ/view?usp=drivesdk" TargetMode="External"/><Relationship Id="rId159" Type="http://schemas.openxmlformats.org/officeDocument/2006/relationships/hyperlink" Target="https://drive.google.com/file/d/1eEZovCHqzbRoxgERa2FlEGGW9ME_sFEB/view?usp=drivesdk" TargetMode="External"/><Relationship Id="rId154" Type="http://schemas.openxmlformats.org/officeDocument/2006/relationships/hyperlink" Target="https://drive.google.com/file/d/1L0bfyK6pDtzLSK07N4tFHc6GzTA08aP7/view?usp=drivesdk" TargetMode="External"/><Relationship Id="rId153" Type="http://schemas.openxmlformats.org/officeDocument/2006/relationships/hyperlink" Target="https://drive.google.com/file/d/1imG05vic-SctXZz4hbgv2oz1gAvhKrxp/view?usp=drivesdk" TargetMode="External"/><Relationship Id="rId152" Type="http://schemas.openxmlformats.org/officeDocument/2006/relationships/hyperlink" Target="https://drive.google.com/file/d/1e2r6yi4ND6RGWpkYzfxzxbb3vf9WbEI6/view?usp=drivesdk" TargetMode="External"/><Relationship Id="rId151" Type="http://schemas.openxmlformats.org/officeDocument/2006/relationships/hyperlink" Target="https://drive.google.com/file/d/1HU5Vs66zIrnF6S2ZFdL-s4JcPiAux4_u/view?usp=drivesdk" TargetMode="External"/><Relationship Id="rId158" Type="http://schemas.openxmlformats.org/officeDocument/2006/relationships/hyperlink" Target="https://drive.google.com/file/d/1cB08RcGqayVdeh9hV4WnQSfd7_1HTTZC/view?usp=drivesdk" TargetMode="External"/><Relationship Id="rId157" Type="http://schemas.openxmlformats.org/officeDocument/2006/relationships/hyperlink" Target="https://drive.google.com/file/d/1ILBSonvE8sEdf6F1k2HEb7zSs2QZA_K5/view?usp=drivesdk" TargetMode="External"/><Relationship Id="rId156" Type="http://schemas.openxmlformats.org/officeDocument/2006/relationships/hyperlink" Target="https://drive.google.com/file/d/1XZzgN2CbJ0HwiQWr7P3SeEfX63vomxIo/view?usp=drivesdk" TargetMode="External"/><Relationship Id="rId155" Type="http://schemas.openxmlformats.org/officeDocument/2006/relationships/hyperlink" Target="https://drive.google.com/file/d/1c5z6GM5XCkdBOhX0mcAC45xYNzSa_WcQ/view?usp=drivesdk" TargetMode="External"/><Relationship Id="rId1972" Type="http://schemas.openxmlformats.org/officeDocument/2006/relationships/hyperlink" Target="https://drive.google.com/file/d/1reFLjFly_lyjlBda-TKp6iZhpiezjd23/view?usp=drivesdk" TargetMode="External"/><Relationship Id="rId1973" Type="http://schemas.openxmlformats.org/officeDocument/2006/relationships/hyperlink" Target="https://drive.google.com/file/d/15QGWwvS6E_LLvOp47ljXgq5Fcoant8DK/view?usp=drivesdk" TargetMode="External"/><Relationship Id="rId1974" Type="http://schemas.openxmlformats.org/officeDocument/2006/relationships/hyperlink" Target="https://drive.google.com/file/d/1HRWyxIFtSJk092CA37bxG3lksC3jqFGm/view?usp=drivesdk" TargetMode="External"/><Relationship Id="rId1975" Type="http://schemas.openxmlformats.org/officeDocument/2006/relationships/hyperlink" Target="https://drive.google.com/file/d/15UU0QZAFl3RuffmpBiKw_jvXFQefoPEa/view?usp=drivesdk" TargetMode="External"/><Relationship Id="rId1976" Type="http://schemas.openxmlformats.org/officeDocument/2006/relationships/hyperlink" Target="https://drive.google.com/file/d/1eOr4N8GhPzyjq1vvmXj1Km6w5Cfc0zbl/view?usp=drivesdk" TargetMode="External"/><Relationship Id="rId1977" Type="http://schemas.openxmlformats.org/officeDocument/2006/relationships/hyperlink" Target="https://drive.google.com/file/d/17-nahq3obmWe5Fw-r8AzfO-Ou9noR_hT/view?usp=drivesdk" TargetMode="External"/><Relationship Id="rId1978" Type="http://schemas.openxmlformats.org/officeDocument/2006/relationships/hyperlink" Target="https://drive.google.com/file/d/1UB72AilyRxFYxphlJhALfaW3JfAkgCeu/view?usp=drivesdk" TargetMode="External"/><Relationship Id="rId1979" Type="http://schemas.openxmlformats.org/officeDocument/2006/relationships/hyperlink" Target="https://drive.google.com/file/d/1vbRAEYoHPpCw7h77bSdqhbcPr7Js-Cew/view?usp=drivesdk" TargetMode="External"/><Relationship Id="rId1970" Type="http://schemas.openxmlformats.org/officeDocument/2006/relationships/hyperlink" Target="https://drive.google.com/file/d/1ABszOEPlsLQK7FaSUgHC7ONsqE_eEx3V/view?usp=drivesdk" TargetMode="External"/><Relationship Id="rId1971" Type="http://schemas.openxmlformats.org/officeDocument/2006/relationships/hyperlink" Target="https://drive.google.com/file/d/1rQAFULdoPXABUG5IkxePcWwIcKtYjUmw/view?usp=drivesdk" TargetMode="External"/><Relationship Id="rId1961" Type="http://schemas.openxmlformats.org/officeDocument/2006/relationships/hyperlink" Target="https://drive.google.com/file/d/1mSgM1JMaIN6HeqRLiaypAwmuusOz-CZV/view?usp=drivesdk" TargetMode="External"/><Relationship Id="rId1962" Type="http://schemas.openxmlformats.org/officeDocument/2006/relationships/hyperlink" Target="https://drive.google.com/file/d/1o_hXMSXSGZ3uEEtJ--yHTd_GsNjpecfP/view?usp=drivesdk" TargetMode="External"/><Relationship Id="rId1963" Type="http://schemas.openxmlformats.org/officeDocument/2006/relationships/hyperlink" Target="https://drive.google.com/file/d/1H_LePl04MaOLmvtym559tzwyG5WwTZ7B/view?usp=drivesdk" TargetMode="External"/><Relationship Id="rId1964" Type="http://schemas.openxmlformats.org/officeDocument/2006/relationships/hyperlink" Target="https://drive.google.com/file/d/1c9NahPf8wP0zR-DSTTzDftWSwvKfpkPN/view?usp=drivesdk" TargetMode="External"/><Relationship Id="rId1965" Type="http://schemas.openxmlformats.org/officeDocument/2006/relationships/hyperlink" Target="https://drive.google.com/file/d/12KmLywqVf1SJmVHU5NxNc0vCEpQ7dg-x/view?usp=drivesdk" TargetMode="External"/><Relationship Id="rId1966" Type="http://schemas.openxmlformats.org/officeDocument/2006/relationships/hyperlink" Target="https://drive.google.com/file/d/1OxvJC43KOVOhtkXTTLeDfLO77kkesfOm/view?usp=drivesdk" TargetMode="External"/><Relationship Id="rId1967" Type="http://schemas.openxmlformats.org/officeDocument/2006/relationships/hyperlink" Target="https://drive.google.com/file/d/1Zq47k3Ar6WMvv_9Ryky6BHUvWjY3IahM/view?usp=drivesdk" TargetMode="External"/><Relationship Id="rId1968" Type="http://schemas.openxmlformats.org/officeDocument/2006/relationships/hyperlink" Target="https://drive.google.com/file/d/1KTrO1UsKAc7wd4-PJHy7y0a5jxlYMf0j/view?usp=drivesdk" TargetMode="External"/><Relationship Id="rId1969" Type="http://schemas.openxmlformats.org/officeDocument/2006/relationships/hyperlink" Target="https://drive.google.com/file/d/1sVih9d3E7YtfXXXG8pBYTOCs6g32X9pC/view?usp=drivesdk" TargetMode="External"/><Relationship Id="rId1960" Type="http://schemas.openxmlformats.org/officeDocument/2006/relationships/hyperlink" Target="https://drive.google.com/file/d/15eRALS07E5eaiMvxlc196lox_I9TE8Ns/view?usp=drivesdk" TargetMode="External"/><Relationship Id="rId1510" Type="http://schemas.openxmlformats.org/officeDocument/2006/relationships/hyperlink" Target="https://drive.google.com/file/d/1hFmHNzX6os12N86FsBmZgqHqcH-7HPaZ/view?usp=drivesdk" TargetMode="External"/><Relationship Id="rId1994" Type="http://schemas.openxmlformats.org/officeDocument/2006/relationships/hyperlink" Target="https://drive.google.com/file/d/11-3sXMU1k71beLB8D1-TVllOnoykrDbo/view?usp=drivesdk" TargetMode="External"/><Relationship Id="rId1511" Type="http://schemas.openxmlformats.org/officeDocument/2006/relationships/hyperlink" Target="https://drive.google.com/file/d/1DTLnh5V71DocMdo0YqQbVYajSwlGjt2j/view?usp=drivesdk" TargetMode="External"/><Relationship Id="rId1995" Type="http://schemas.openxmlformats.org/officeDocument/2006/relationships/hyperlink" Target="https://drive.google.com/file/d/1z0CpgxOHzxyPxJm8OZjmw_oWgeIS5meH/view?usp=drivesdk" TargetMode="External"/><Relationship Id="rId1512" Type="http://schemas.openxmlformats.org/officeDocument/2006/relationships/hyperlink" Target="https://drive.google.com/file/d/1WHegs3-l1hQc5tnlqzTzysxS1b6L65uu/view?usp=drivesdk" TargetMode="External"/><Relationship Id="rId1996" Type="http://schemas.openxmlformats.org/officeDocument/2006/relationships/hyperlink" Target="https://drive.google.com/file/d/1scmA-TtOO4_Ia7Lsqxsh1MI1n1kmKIXJ/view?usp=drivesdk" TargetMode="External"/><Relationship Id="rId1513" Type="http://schemas.openxmlformats.org/officeDocument/2006/relationships/hyperlink" Target="https://drive.google.com/file/d/1MZNmALR_R3MqsT1o5B3ncNcIH8g6ix0W/view?usp=drivesdk" TargetMode="External"/><Relationship Id="rId1997" Type="http://schemas.openxmlformats.org/officeDocument/2006/relationships/hyperlink" Target="https://drive.google.com/file/d/1Eq-qi_iZZWl0Ueoe6j2WVGaVLiRZplxC/view?usp=drivesdk" TargetMode="External"/><Relationship Id="rId1514" Type="http://schemas.openxmlformats.org/officeDocument/2006/relationships/hyperlink" Target="https://drive.google.com/file/d/1GzBI69Ei4SW13KSwQ98RPIqaTBjbG-mc/view?usp=drivesdk" TargetMode="External"/><Relationship Id="rId1998" Type="http://schemas.openxmlformats.org/officeDocument/2006/relationships/hyperlink" Target="https://drive.google.com/file/d/1JlHLltwFLyHDzjWjjjJ7lB4NHyvIPWy0/view?usp=drivesdk" TargetMode="External"/><Relationship Id="rId1515" Type="http://schemas.openxmlformats.org/officeDocument/2006/relationships/hyperlink" Target="https://drive.google.com/file/d/1dLY4JVnWAxyU3NxD9zylQGiSc5F8K_6X/view?usp=drivesdk" TargetMode="External"/><Relationship Id="rId1999" Type="http://schemas.openxmlformats.org/officeDocument/2006/relationships/hyperlink" Target="https://drive.google.com/file/d/1N726Uz09zfOLw6dccDV1pQxHTB_itMM4/view?usp=drivesdk" TargetMode="External"/><Relationship Id="rId1516" Type="http://schemas.openxmlformats.org/officeDocument/2006/relationships/hyperlink" Target="https://drive.google.com/file/d/1kfZzV8DhxNt6Al3NIJZg1Y313VhxLy0e/view?usp=drivesdk" TargetMode="External"/><Relationship Id="rId1517" Type="http://schemas.openxmlformats.org/officeDocument/2006/relationships/hyperlink" Target="https://drive.google.com/file/d/1w5k7ifWdpmi_6oGIxLPymKBTXX4ox-fD/view?usp=drivesdk" TargetMode="External"/><Relationship Id="rId1518" Type="http://schemas.openxmlformats.org/officeDocument/2006/relationships/hyperlink" Target="https://drive.google.com/file/d/18VnhQbxfUwspNXIHXA7TQYd0hZ-t6o4F/view?usp=drivesdk" TargetMode="External"/><Relationship Id="rId1519" Type="http://schemas.openxmlformats.org/officeDocument/2006/relationships/hyperlink" Target="https://drive.google.com/file/d/11IYJ_p_fQRMS8BcOvipTk3Vh1aNkiBuQ/view?usp=drivesdk" TargetMode="External"/><Relationship Id="rId1990" Type="http://schemas.openxmlformats.org/officeDocument/2006/relationships/hyperlink" Target="https://drive.google.com/file/d/1USxF57F_0ruvpch-7i5jkiT-9o8-M1HE/view?usp=drivesdk" TargetMode="External"/><Relationship Id="rId1991" Type="http://schemas.openxmlformats.org/officeDocument/2006/relationships/hyperlink" Target="https://drive.google.com/file/d/1s6yAK1tfwBkUqd-vqrcNf3h2XBV-oD5R/view?usp=drivesdk" TargetMode="External"/><Relationship Id="rId1992" Type="http://schemas.openxmlformats.org/officeDocument/2006/relationships/hyperlink" Target="https://drive.google.com/file/d/13rPMdB0r5HxdiFwkFQWo30HkTNHMxK89/view?usp=drivesdk" TargetMode="External"/><Relationship Id="rId1993" Type="http://schemas.openxmlformats.org/officeDocument/2006/relationships/hyperlink" Target="https://drive.google.com/file/d/1BHuJJ7cRTA7vJdFZe90XMmK6lJpguV18/view?usp=drivesdk" TargetMode="External"/><Relationship Id="rId1983" Type="http://schemas.openxmlformats.org/officeDocument/2006/relationships/hyperlink" Target="https://drive.google.com/file/d/1YAwoFDn1hRiprYOjOpHfnRuWxSmtyUvc/view?usp=drivesdk" TargetMode="External"/><Relationship Id="rId1500" Type="http://schemas.openxmlformats.org/officeDocument/2006/relationships/hyperlink" Target="https://drive.google.com/file/d/1m7_ZGmOl6bLZwbHPwH1pB5hvqVJ0lfvY/view?usp=drivesdk" TargetMode="External"/><Relationship Id="rId1984" Type="http://schemas.openxmlformats.org/officeDocument/2006/relationships/hyperlink" Target="https://drive.google.com/file/d/1hjo7DVZf1XA6xOOKHCt0GuTH3oOkX8eF/view?usp=drivesdk" TargetMode="External"/><Relationship Id="rId1501" Type="http://schemas.openxmlformats.org/officeDocument/2006/relationships/hyperlink" Target="https://drive.google.com/file/d/1ryuFpV3KtQInrMgtcYGFDlcKS0IUmrCv/view?usp=drivesdk" TargetMode="External"/><Relationship Id="rId1985" Type="http://schemas.openxmlformats.org/officeDocument/2006/relationships/hyperlink" Target="https://drive.google.com/file/d/1lE1-hJkDxPTSS6MfgGRu37lZdiNB2-Mg/view?usp=drivesdk" TargetMode="External"/><Relationship Id="rId1502" Type="http://schemas.openxmlformats.org/officeDocument/2006/relationships/hyperlink" Target="https://drive.google.com/file/d/1KhVNldttWWHeW0FMr24HViIHJcjxNtnU/view?usp=drivesdk" TargetMode="External"/><Relationship Id="rId1986" Type="http://schemas.openxmlformats.org/officeDocument/2006/relationships/hyperlink" Target="https://drive.google.com/file/d/1mbbCiUBDIQaXLsi80OlkI7HlVdfExBL4/view?usp=drivesdk" TargetMode="External"/><Relationship Id="rId1503" Type="http://schemas.openxmlformats.org/officeDocument/2006/relationships/hyperlink" Target="https://drive.google.com/file/d/1YsFjkN0idVsYK5vEAYu7yRAM9h5r_lgd/view?usp=drivesdk" TargetMode="External"/><Relationship Id="rId1987" Type="http://schemas.openxmlformats.org/officeDocument/2006/relationships/hyperlink" Target="https://drive.google.com/file/d/10IJYwwntR88hcPhOSx4YTNo3az11FbmJ/view?usp=drivesdk" TargetMode="External"/><Relationship Id="rId1504" Type="http://schemas.openxmlformats.org/officeDocument/2006/relationships/hyperlink" Target="https://drive.google.com/file/d/1zeoQUD9WrNwfCCMSc6LbxZ8w0ThtPr9n/view?usp=drivesdk" TargetMode="External"/><Relationship Id="rId1988" Type="http://schemas.openxmlformats.org/officeDocument/2006/relationships/hyperlink" Target="https://drive.google.com/file/d/1uB1wNK8acdcxOR0lWWg6kQvnQ-wU08d2/view?usp=drivesdk" TargetMode="External"/><Relationship Id="rId1505" Type="http://schemas.openxmlformats.org/officeDocument/2006/relationships/hyperlink" Target="https://drive.google.com/file/d/11KSyZEmBvkr1IujB2rtIJP9QHXNa-bo9/view?usp=drivesdk" TargetMode="External"/><Relationship Id="rId1989" Type="http://schemas.openxmlformats.org/officeDocument/2006/relationships/hyperlink" Target="https://drive.google.com/file/d/1iKth6J8JWoN0HtNlUsIRHrkv0iI_noVx/view?usp=drivesdk" TargetMode="External"/><Relationship Id="rId1506" Type="http://schemas.openxmlformats.org/officeDocument/2006/relationships/hyperlink" Target="https://drive.google.com/file/d/1FeBSMU6ovrfWbW83zR9qMRAOChgYvkip/view?usp=drivesdk" TargetMode="External"/><Relationship Id="rId1507" Type="http://schemas.openxmlformats.org/officeDocument/2006/relationships/hyperlink" Target="https://drive.google.com/file/d/1oA2dk7Ln0L7Bq8naQPJ273veTwnGK1n1/view?usp=drivesdk" TargetMode="External"/><Relationship Id="rId1508" Type="http://schemas.openxmlformats.org/officeDocument/2006/relationships/hyperlink" Target="https://drive.google.com/file/d/1LtSxMmvV2ZQ7lUhNvY46XCe8lqJ4cWhK/view?usp=drivesdk" TargetMode="External"/><Relationship Id="rId1509" Type="http://schemas.openxmlformats.org/officeDocument/2006/relationships/hyperlink" Target="https://drive.google.com/file/d/1X7F7Ul4QloFJ52QDex9Ol2ItfDZLxhJR/view?usp=drivesdk" TargetMode="External"/><Relationship Id="rId1980" Type="http://schemas.openxmlformats.org/officeDocument/2006/relationships/hyperlink" Target="https://drive.google.com/file/d/1qwnS8drH2BsrRL2S13B545JhsBuXb-37/view?usp=drivesdk" TargetMode="External"/><Relationship Id="rId1981" Type="http://schemas.openxmlformats.org/officeDocument/2006/relationships/hyperlink" Target="https://drive.google.com/file/d/1E_n_Gx_6GQWRCrPodytEzQa5MeLhlOHC/view?usp=drivesdk" TargetMode="External"/><Relationship Id="rId1982" Type="http://schemas.openxmlformats.org/officeDocument/2006/relationships/hyperlink" Target="https://drive.google.com/file/d/1Uiv54J0vpTKGewtkwLSUtrvjx8OwzPlK/view?usp=drivesdk" TargetMode="External"/><Relationship Id="rId1930" Type="http://schemas.openxmlformats.org/officeDocument/2006/relationships/hyperlink" Target="https://drive.google.com/file/d/1vxCdA5gWdRaNBBRQ9tvqDGddXKwm01JD/view?usp=drivesdk" TargetMode="External"/><Relationship Id="rId1931" Type="http://schemas.openxmlformats.org/officeDocument/2006/relationships/hyperlink" Target="https://drive.google.com/file/d/1lGgKWQ8FNfnbbO2lLLme5noDMM6uLlsK/view?usp=drivesdk" TargetMode="External"/><Relationship Id="rId1932" Type="http://schemas.openxmlformats.org/officeDocument/2006/relationships/hyperlink" Target="https://drive.google.com/file/d/1FkR5gvzPT_iA2Hq1GKhkiaWtzTI41waV/view?usp=drivesdk" TargetMode="External"/><Relationship Id="rId1933" Type="http://schemas.openxmlformats.org/officeDocument/2006/relationships/hyperlink" Target="https://drive.google.com/file/d/1iKXGSswHGfG6eO4hoOsQ_HooO4fZZBsn/view?usp=drivesdk" TargetMode="External"/><Relationship Id="rId1934" Type="http://schemas.openxmlformats.org/officeDocument/2006/relationships/hyperlink" Target="https://drive.google.com/file/d/1WT9BWApaCuNpR0zoU5OSmcBFWDbBh-6P/view?usp=drivesdk" TargetMode="External"/><Relationship Id="rId1935" Type="http://schemas.openxmlformats.org/officeDocument/2006/relationships/hyperlink" Target="https://drive.google.com/file/d/1TBbLdIuolJ-udt_4uGGNcodkgy65WoEX/view?usp=drivesdk" TargetMode="External"/><Relationship Id="rId1936" Type="http://schemas.openxmlformats.org/officeDocument/2006/relationships/hyperlink" Target="https://drive.google.com/file/d/1IpFowDOfKeRhYQBof6zDw8PkFU7XN1zX/view?usp=drivesdk" TargetMode="External"/><Relationship Id="rId1937" Type="http://schemas.openxmlformats.org/officeDocument/2006/relationships/hyperlink" Target="https://drive.google.com/file/d/1Lh5q_30GcQmMgKth6xYZOxClIEKNPXnQ/view?usp=drivesdk" TargetMode="External"/><Relationship Id="rId1938" Type="http://schemas.openxmlformats.org/officeDocument/2006/relationships/hyperlink" Target="https://drive.google.com/file/d/1_71jFqFcTII0M6-VxLY4HNQKkRCPhLwG/view?usp=drivesdk" TargetMode="External"/><Relationship Id="rId1939" Type="http://schemas.openxmlformats.org/officeDocument/2006/relationships/hyperlink" Target="https://drive.google.com/file/d/1NEdE0hsrA-QYVH5lw0wYw-Kk2dh6NAO8/view?usp=drivesdk" TargetMode="External"/><Relationship Id="rId1920" Type="http://schemas.openxmlformats.org/officeDocument/2006/relationships/hyperlink" Target="https://drive.google.com/file/d/1v2y9qZq0LJTH12pYZTMpL-t1xgSj9l_X/view?usp=drivesdk" TargetMode="External"/><Relationship Id="rId1921" Type="http://schemas.openxmlformats.org/officeDocument/2006/relationships/hyperlink" Target="https://drive.google.com/file/d/1lDv3rIhwRjwpOGZWXJMGw-2CEAdk-I1A/view?usp=drivesdk" TargetMode="External"/><Relationship Id="rId1922" Type="http://schemas.openxmlformats.org/officeDocument/2006/relationships/hyperlink" Target="https://drive.google.com/file/d/1FNJeFFtn5_m-OGebGNOjXx-HtX6Q0w-X/view?usp=drivesdk" TargetMode="External"/><Relationship Id="rId1923" Type="http://schemas.openxmlformats.org/officeDocument/2006/relationships/hyperlink" Target="https://drive.google.com/file/d/1x7oOnRMFu2CLWAp4_klINpZ2f77WDhD0/view?usp=drivesdk" TargetMode="External"/><Relationship Id="rId1924" Type="http://schemas.openxmlformats.org/officeDocument/2006/relationships/hyperlink" Target="https://drive.google.com/file/d/1WPdfF1K6uH4vevF8Oe8Jyj_LCqTNwxIB/view?usp=drivesdk" TargetMode="External"/><Relationship Id="rId1925" Type="http://schemas.openxmlformats.org/officeDocument/2006/relationships/hyperlink" Target="https://drive.google.com/file/d/1BRLJK5dkEmGKt5K22vNNoDyjlRwTjHd-/view?usp=drivesdk" TargetMode="External"/><Relationship Id="rId1926" Type="http://schemas.openxmlformats.org/officeDocument/2006/relationships/hyperlink" Target="https://drive.google.com/file/d/1ImckUVSRQ7sHaFWvBjM6zSmtFZVYNTEZ/view?usp=drivesdk" TargetMode="External"/><Relationship Id="rId1927" Type="http://schemas.openxmlformats.org/officeDocument/2006/relationships/hyperlink" Target="https://drive.google.com/file/d/1NCYm2EBSycflIPrQLXRBh60vSxcRj1Ss/view?usp=drivesdk" TargetMode="External"/><Relationship Id="rId1928" Type="http://schemas.openxmlformats.org/officeDocument/2006/relationships/hyperlink" Target="https://drive.google.com/file/d/1WoVBjNGB2xiC2AaXeKgd4o6xHhbevK0S/view?usp=drivesdk" TargetMode="External"/><Relationship Id="rId1929" Type="http://schemas.openxmlformats.org/officeDocument/2006/relationships/hyperlink" Target="https://drive.google.com/file/d/1NoWvML7vQKNEi4KDdnaPPPag0frr_eYb/view?usp=drivesdk" TargetMode="External"/><Relationship Id="rId1950" Type="http://schemas.openxmlformats.org/officeDocument/2006/relationships/hyperlink" Target="https://drive.google.com/file/d/1KO9Aiuv3C3aEeRd_5J4c9YTQk2Eyjt5N/view?usp=drivesdk" TargetMode="External"/><Relationship Id="rId1951" Type="http://schemas.openxmlformats.org/officeDocument/2006/relationships/hyperlink" Target="https://drive.google.com/file/d/1ffxOFS2RC619t0fye9bzjoNG6bv8OHkJ/view?usp=drivesdk" TargetMode="External"/><Relationship Id="rId1952" Type="http://schemas.openxmlformats.org/officeDocument/2006/relationships/hyperlink" Target="https://drive.google.com/file/d/1KQYyKSp0HLUqRDsRYXc-uw_ufw7r6h6i/view?usp=drivesdk" TargetMode="External"/><Relationship Id="rId1953" Type="http://schemas.openxmlformats.org/officeDocument/2006/relationships/hyperlink" Target="https://drive.google.com/file/d/19AzzuFb1jJCceKBvwKxyrn_oPIZDgyac/view?usp=drivesdk" TargetMode="External"/><Relationship Id="rId1954" Type="http://schemas.openxmlformats.org/officeDocument/2006/relationships/hyperlink" Target="https://drive.google.com/file/d/19IAt7gBwJ8EBHuOPUEpZTa9xCH2pt6nE/view?usp=drivesdk" TargetMode="External"/><Relationship Id="rId1955" Type="http://schemas.openxmlformats.org/officeDocument/2006/relationships/hyperlink" Target="https://drive.google.com/file/d/19paCVCP61KO79ah8E7GPHgQaphA50yqu/view?usp=drivesdk" TargetMode="External"/><Relationship Id="rId1956" Type="http://schemas.openxmlformats.org/officeDocument/2006/relationships/hyperlink" Target="https://drive.google.com/file/d/1yZ5_GHEcjgAB6xgo7Nbp5GvAe64BaG5L/view?usp=drivesdk" TargetMode="External"/><Relationship Id="rId1957" Type="http://schemas.openxmlformats.org/officeDocument/2006/relationships/hyperlink" Target="https://drive.google.com/file/d/1l8YK5PS8rXLCgvxLPxFuC7h4Hf--viBy/view?usp=drivesdk" TargetMode="External"/><Relationship Id="rId1958" Type="http://schemas.openxmlformats.org/officeDocument/2006/relationships/hyperlink" Target="https://drive.google.com/file/d/1M9uLZzXnGZ0mexW9cewPN0k_IZ9VrcZK/view?usp=drivesdk" TargetMode="External"/><Relationship Id="rId1959" Type="http://schemas.openxmlformats.org/officeDocument/2006/relationships/hyperlink" Target="https://drive.google.com/file/d/1FOuYbH0ubUVVxWsVWHLoisewAUzePVHE/view?usp=drivesdk" TargetMode="External"/><Relationship Id="rId1940" Type="http://schemas.openxmlformats.org/officeDocument/2006/relationships/hyperlink" Target="https://drive.google.com/file/d/1q4kihNEzISq3u_vkOWcjEYokJIaErj-v/view?usp=drivesdk" TargetMode="External"/><Relationship Id="rId1941" Type="http://schemas.openxmlformats.org/officeDocument/2006/relationships/hyperlink" Target="https://drive.google.com/file/d/1L5TNGrz9iso0LJ36m0CBwkzGLDDHSweC/view?usp=drivesdk" TargetMode="External"/><Relationship Id="rId1942" Type="http://schemas.openxmlformats.org/officeDocument/2006/relationships/hyperlink" Target="https://drive.google.com/file/d/16kuAPlHMF-WOSRU1z7zC9H5En_IdjuOr/view?usp=drivesdk" TargetMode="External"/><Relationship Id="rId1943" Type="http://schemas.openxmlformats.org/officeDocument/2006/relationships/hyperlink" Target="https://drive.google.com/file/d/1_XnsmsPZI2H3mUoswjNqSFqIzcUG-08u/view?usp=drivesdk" TargetMode="External"/><Relationship Id="rId1944" Type="http://schemas.openxmlformats.org/officeDocument/2006/relationships/hyperlink" Target="https://drive.google.com/file/d/19Co45-Z_sXZKN_JWjpcVQB6QuTtpNp11/view?usp=drivesdk" TargetMode="External"/><Relationship Id="rId1945" Type="http://schemas.openxmlformats.org/officeDocument/2006/relationships/hyperlink" Target="https://drive.google.com/file/d/1KZHSnBUETrtKGg_Jg5BQWYW9dLEix14l/view?usp=drivesdk" TargetMode="External"/><Relationship Id="rId1946" Type="http://schemas.openxmlformats.org/officeDocument/2006/relationships/hyperlink" Target="https://drive.google.com/file/d/1bjtyPjFSJoAi4-PaqxGJFWYaBqjbaCT8/view?usp=drivesdk" TargetMode="External"/><Relationship Id="rId1947" Type="http://schemas.openxmlformats.org/officeDocument/2006/relationships/hyperlink" Target="https://drive.google.com/file/d/12eBu7TZYla4vxG0hT7WEOeWtQJWeRXYz/view?usp=drivesdk" TargetMode="External"/><Relationship Id="rId1948" Type="http://schemas.openxmlformats.org/officeDocument/2006/relationships/hyperlink" Target="https://drive.google.com/file/d/1IWv_VgqGYtAptQR4OfHBF_qdQ8wsfaVO/view?usp=drivesdk" TargetMode="External"/><Relationship Id="rId1949" Type="http://schemas.openxmlformats.org/officeDocument/2006/relationships/hyperlink" Target="https://drive.google.com/file/d/1mKBTbCtSqFBZH7_brCZruwVLcLBAhTfH/view?usp=drivesdk" TargetMode="External"/><Relationship Id="rId1576" Type="http://schemas.openxmlformats.org/officeDocument/2006/relationships/hyperlink" Target="https://drive.google.com/file/d/1GdnGmkqnhzlBWoReIee51SuoAaBpyTCE/view?usp=drivesdk" TargetMode="External"/><Relationship Id="rId2423" Type="http://schemas.openxmlformats.org/officeDocument/2006/relationships/hyperlink" Target="https://drive.google.com/file/d/1h1LjVsChTI_nL-H6HKHLqBprAR-h86r2/view?usp=drivesdk" TargetMode="External"/><Relationship Id="rId1577" Type="http://schemas.openxmlformats.org/officeDocument/2006/relationships/hyperlink" Target="https://drive.google.com/file/d/1DmrfK__wWjStKPMIc98GcNktaK97avQw/view?usp=drivesdk" TargetMode="External"/><Relationship Id="rId2424" Type="http://schemas.openxmlformats.org/officeDocument/2006/relationships/hyperlink" Target="https://drive.google.com/file/d/1ZzoJJjqHvFCUNLflHVsZwVg-rmXhiMtP/view?usp=drivesdk" TargetMode="External"/><Relationship Id="rId1578" Type="http://schemas.openxmlformats.org/officeDocument/2006/relationships/hyperlink" Target="https://drive.google.com/file/d/1qN6oCf6e7dXGEQoSFj0gdHhXySmdSKLu/view?usp=drivesdk" TargetMode="External"/><Relationship Id="rId2425" Type="http://schemas.openxmlformats.org/officeDocument/2006/relationships/hyperlink" Target="https://drive.google.com/file/d/1C6rE-qqN3rlU76RNlyNqqaYA7HvkwER0/view?usp=drivesdk" TargetMode="External"/><Relationship Id="rId1579" Type="http://schemas.openxmlformats.org/officeDocument/2006/relationships/hyperlink" Target="https://drive.google.com/file/d/1YlS7Omx2BQT_R4IYBthEy025GHm5PWhi/view?usp=drivesdk" TargetMode="External"/><Relationship Id="rId2426" Type="http://schemas.openxmlformats.org/officeDocument/2006/relationships/hyperlink" Target="https://drive.google.com/file/d/1bwGKXoHFquvyCFNWEzfgP7XWhehc_Tpy/view?usp=drivesdk" TargetMode="External"/><Relationship Id="rId2427" Type="http://schemas.openxmlformats.org/officeDocument/2006/relationships/hyperlink" Target="https://drive.google.com/file/d/1zr-MlVu3TmBhAeuTywiusOoVQhZtOMav/view?usp=drivesdk" TargetMode="External"/><Relationship Id="rId2428" Type="http://schemas.openxmlformats.org/officeDocument/2006/relationships/hyperlink" Target="https://drive.google.com/file/d/1IkiXVy7-oZBjo1I7cnII9h4TYgeeinLZ/view?usp=drivesdk" TargetMode="External"/><Relationship Id="rId2429" Type="http://schemas.openxmlformats.org/officeDocument/2006/relationships/hyperlink" Target="https://drive.google.com/file/d/110gHauPtEGa0CC6MXM2kcC44V3nLw4n1/view?usp=drivesdk" TargetMode="External"/><Relationship Id="rId509" Type="http://schemas.openxmlformats.org/officeDocument/2006/relationships/hyperlink" Target="https://drive.google.com/file/d/1S6TI-idnFT1LmKdQZLPbDiRYtma2J9Hs/view?usp=drivesdk" TargetMode="External"/><Relationship Id="rId508" Type="http://schemas.openxmlformats.org/officeDocument/2006/relationships/hyperlink" Target="https://drive.google.com/file/d/1oNQ0bRk7x-GsrE65ku3Q3y-8cmht7Ajd/view?usp=drivesdk" TargetMode="External"/><Relationship Id="rId503" Type="http://schemas.openxmlformats.org/officeDocument/2006/relationships/hyperlink" Target="https://drive.google.com/file/d/1ZPJel_w8iaayI01HlC3TO2450yVOuea8/view?usp=drivesdk" TargetMode="External"/><Relationship Id="rId987" Type="http://schemas.openxmlformats.org/officeDocument/2006/relationships/hyperlink" Target="https://drive.google.com/file/d/128LuIZT3whtL4eSFqUEMxEMZ5IoAvtTz/view?usp=drivesdk" TargetMode="External"/><Relationship Id="rId502" Type="http://schemas.openxmlformats.org/officeDocument/2006/relationships/hyperlink" Target="https://drive.google.com/file/d/15JUmRXMDsdOm0bIcuYABlrjWQP7rnV7r/view?usp=drivesdk" TargetMode="External"/><Relationship Id="rId986" Type="http://schemas.openxmlformats.org/officeDocument/2006/relationships/hyperlink" Target="https://drive.google.com/file/d/1f87I_JuZB31lvP1sdHoeAiMrwzMie3g4/view?usp=drivesdk" TargetMode="External"/><Relationship Id="rId501" Type="http://schemas.openxmlformats.org/officeDocument/2006/relationships/hyperlink" Target="https://drive.google.com/file/d/1dlxnPN40FR7sYnbiyWPYVrMs6ldCASrB/view?usp=drivesdk" TargetMode="External"/><Relationship Id="rId985" Type="http://schemas.openxmlformats.org/officeDocument/2006/relationships/hyperlink" Target="https://drive.google.com/file/d/1K8XZb3tmM4w7YZynS-pCXeL_XdNeqXGw/view?usp=drivesdk" TargetMode="External"/><Relationship Id="rId500" Type="http://schemas.openxmlformats.org/officeDocument/2006/relationships/hyperlink" Target="https://drive.google.com/file/d/1d2rgTqQ0X338GcruyYMTPIEAJyIa9KmV/view?usp=drivesdk" TargetMode="External"/><Relationship Id="rId984" Type="http://schemas.openxmlformats.org/officeDocument/2006/relationships/hyperlink" Target="https://drive.google.com/file/d/1M3thR-1eicJe0g2nd5lPBrQgMoUpOUJG/view?usp=drivesdk" TargetMode="External"/><Relationship Id="rId507" Type="http://schemas.openxmlformats.org/officeDocument/2006/relationships/hyperlink" Target="https://drive.google.com/file/d/1_pi4NP8DXczTOxVxLxhGegHZ0PQEwzMZ/view?usp=drivesdk" TargetMode="External"/><Relationship Id="rId506" Type="http://schemas.openxmlformats.org/officeDocument/2006/relationships/hyperlink" Target="https://drive.google.com/file/d/1tuNhJ0LVB8fdBgwd_8EXu6_BRxdCSk8m/view?usp=drivesdk" TargetMode="External"/><Relationship Id="rId505" Type="http://schemas.openxmlformats.org/officeDocument/2006/relationships/hyperlink" Target="https://drive.google.com/file/d/1y-xxlV46gH8Pt-ubKWS0_mTeNY7mTOeT/view?usp=drivesdk" TargetMode="External"/><Relationship Id="rId989" Type="http://schemas.openxmlformats.org/officeDocument/2006/relationships/hyperlink" Target="https://drive.google.com/file/d/1L9rgcS07TyFwGWo16INXHTq67Qb09bQ9/view?usp=drivesdk" TargetMode="External"/><Relationship Id="rId504" Type="http://schemas.openxmlformats.org/officeDocument/2006/relationships/hyperlink" Target="https://drive.google.com/file/d/1Wbc8FzEH_v1Ky0rDWX3g2ZSGh-xRnBSA/view?usp=drivesdk" TargetMode="External"/><Relationship Id="rId988" Type="http://schemas.openxmlformats.org/officeDocument/2006/relationships/hyperlink" Target="https://drive.google.com/file/d/1AZkWqJLNEwlK57474ci9SHMS2En3owqE/view?usp=drivesdk" TargetMode="External"/><Relationship Id="rId1570" Type="http://schemas.openxmlformats.org/officeDocument/2006/relationships/hyperlink" Target="https://drive.google.com/file/d/1dzQv3DJo7XNgMtirpKBZubtzaKMpSvOV/view?usp=drivesdk" TargetMode="External"/><Relationship Id="rId1571" Type="http://schemas.openxmlformats.org/officeDocument/2006/relationships/hyperlink" Target="https://drive.google.com/file/d/1-WXcZKvS7mGndoeiyGyh5n9wR9sfRVLB/view?usp=drivesdk" TargetMode="External"/><Relationship Id="rId983" Type="http://schemas.openxmlformats.org/officeDocument/2006/relationships/hyperlink" Target="https://drive.google.com/file/d/1l1O9jS60xhFgNpSYZ5PUpQ6VjqDVrNSd/view?usp=drivesdk" TargetMode="External"/><Relationship Id="rId1572" Type="http://schemas.openxmlformats.org/officeDocument/2006/relationships/hyperlink" Target="https://drive.google.com/file/d/1kwUM7_TnIrVAKZv_ReAKw506VQqBXcqt/view?usp=drivesdk" TargetMode="External"/><Relationship Id="rId982" Type="http://schemas.openxmlformats.org/officeDocument/2006/relationships/hyperlink" Target="https://drive.google.com/file/d/1Q4iUCkbKv0-KbxY0aNOKvgg0lqLMMRG1/view?usp=drivesdk" TargetMode="External"/><Relationship Id="rId1573" Type="http://schemas.openxmlformats.org/officeDocument/2006/relationships/hyperlink" Target="https://drive.google.com/file/d/1yVhy7awrnBSn_EHT_lI2b-AsC7MzMYC2/view?usp=drivesdk" TargetMode="External"/><Relationship Id="rId2420" Type="http://schemas.openxmlformats.org/officeDocument/2006/relationships/hyperlink" Target="https://drive.google.com/file/d/1eSWi9HkX0tLdzRUS1sR9F_yvRSeO0Sqg/view?usp=drivesdk" TargetMode="External"/><Relationship Id="rId981" Type="http://schemas.openxmlformats.org/officeDocument/2006/relationships/hyperlink" Target="https://drive.google.com/file/d/1NKSvXQL1Ee7dqHd5CyM3Y77kVnfaQMjX/view?usp=drivesdk" TargetMode="External"/><Relationship Id="rId1574" Type="http://schemas.openxmlformats.org/officeDocument/2006/relationships/hyperlink" Target="https://drive.google.com/file/d/1ppyMWLtCmkXPM6xMTuIpTUyHdiQjpUeY/view?usp=drivesdk" TargetMode="External"/><Relationship Id="rId2421" Type="http://schemas.openxmlformats.org/officeDocument/2006/relationships/hyperlink" Target="https://drive.google.com/file/d/12EQAZ-j__6CMpYPDILLLLvNiSkYMRUJY/view?usp=drivesdk" TargetMode="External"/><Relationship Id="rId980" Type="http://schemas.openxmlformats.org/officeDocument/2006/relationships/hyperlink" Target="https://drive.google.com/file/d/1TspxRTkh2y8v-7y4InglX-GZVeqeog5b/view?usp=drivesdk" TargetMode="External"/><Relationship Id="rId1575" Type="http://schemas.openxmlformats.org/officeDocument/2006/relationships/hyperlink" Target="https://drive.google.com/file/d/1UgqwDmkT_t2vMl6WQUXf7aaF4fEhLyl1/view?usp=drivesdk" TargetMode="External"/><Relationship Id="rId2422" Type="http://schemas.openxmlformats.org/officeDocument/2006/relationships/hyperlink" Target="https://drive.google.com/file/d/1sj8q7HM3WkAJa1TCLoLZ7i_96M7xAQ0W/view?usp=drivesdk" TargetMode="External"/><Relationship Id="rId1565" Type="http://schemas.openxmlformats.org/officeDocument/2006/relationships/hyperlink" Target="https://drive.google.com/file/d/1scB7xqXhAoU3jl8WbxHZZ0kjMt2u7lk7/view?usp=drivesdk" TargetMode="External"/><Relationship Id="rId2412" Type="http://schemas.openxmlformats.org/officeDocument/2006/relationships/hyperlink" Target="https://drive.google.com/file/d/1Y4jflv8cH6eK4W2n_ZAK691mP7glQvqn/view?usp=drivesdk" TargetMode="External"/><Relationship Id="rId1566" Type="http://schemas.openxmlformats.org/officeDocument/2006/relationships/hyperlink" Target="https://drive.google.com/file/d/1M9-L20a1pBcUhUc6zLuzMNpiy6G_47Xl/view?usp=drivesdk" TargetMode="External"/><Relationship Id="rId2413" Type="http://schemas.openxmlformats.org/officeDocument/2006/relationships/hyperlink" Target="https://drive.google.com/file/d/1QIJyAXIqeyg9Xh8ihYLIDJvLp3X4VLyt/view?usp=drivesdk" TargetMode="External"/><Relationship Id="rId1567" Type="http://schemas.openxmlformats.org/officeDocument/2006/relationships/hyperlink" Target="https://drive.google.com/file/d/1a7oKM74sHdCOt-ErfALRudlOL3HYVAp5/view?usp=drivesdk" TargetMode="External"/><Relationship Id="rId2414" Type="http://schemas.openxmlformats.org/officeDocument/2006/relationships/hyperlink" Target="https://drive.google.com/file/d/1VWky7M9KZAzpZt7RzhhKOju4AcI796Rz/view?usp=drivesdk" TargetMode="External"/><Relationship Id="rId1568" Type="http://schemas.openxmlformats.org/officeDocument/2006/relationships/hyperlink" Target="https://drive.google.com/file/d/1Twpe925cwySmJuXCCiUSU0GaNTNiKlcf/view?usp=drivesdk" TargetMode="External"/><Relationship Id="rId2415" Type="http://schemas.openxmlformats.org/officeDocument/2006/relationships/hyperlink" Target="https://drive.google.com/file/d/1i_IXjiYoFhGwftRkueEL6ss_SKHpeBsh/view?usp=drivesdk" TargetMode="External"/><Relationship Id="rId1569" Type="http://schemas.openxmlformats.org/officeDocument/2006/relationships/hyperlink" Target="https://drive.google.com/file/d/1a8u5mP6sJF2YN6AnzsrBmSZpycmcLUJk/view?usp=drivesdk" TargetMode="External"/><Relationship Id="rId2416" Type="http://schemas.openxmlformats.org/officeDocument/2006/relationships/hyperlink" Target="https://drive.google.com/file/d/17e1UNhl9RxXgHLUTJrrt_k_YU05GV05W/view?usp=drivesdk" TargetMode="External"/><Relationship Id="rId2417" Type="http://schemas.openxmlformats.org/officeDocument/2006/relationships/hyperlink" Target="https://drive.google.com/file/d/1z__zQEKlgcGWGceb3KurI6w3zgT29DQc/view?usp=drivesdk" TargetMode="External"/><Relationship Id="rId2418" Type="http://schemas.openxmlformats.org/officeDocument/2006/relationships/hyperlink" Target="https://drive.google.com/file/d/1_iRKfd5wIHpMN3szb1yWyacB2qj5DgoJ/view?usp=drivesdk" TargetMode="External"/><Relationship Id="rId2419" Type="http://schemas.openxmlformats.org/officeDocument/2006/relationships/hyperlink" Target="https://drive.google.com/file/d/1IKC-RIgxv_zz-vSrp6DiJ4UfmNJ4DsMa/view?usp=drivesdk" TargetMode="External"/><Relationship Id="rId976" Type="http://schemas.openxmlformats.org/officeDocument/2006/relationships/hyperlink" Target="https://drive.google.com/file/d/1WTtQwMaHAZ1helzBMwcIFVe_Xc38NUVH/view?usp=drivesdk" TargetMode="External"/><Relationship Id="rId975" Type="http://schemas.openxmlformats.org/officeDocument/2006/relationships/hyperlink" Target="https://drive.google.com/file/d/1og7dxIBI7FAPVZxs1AUd3xcIirtNZS1_/view?usp=drivesdk" TargetMode="External"/><Relationship Id="rId974" Type="http://schemas.openxmlformats.org/officeDocument/2006/relationships/hyperlink" Target="https://drive.google.com/file/d/13F-L583yp5Pwqlfxs-tCcI3jyvShcm5r/view?usp=drivesdk" TargetMode="External"/><Relationship Id="rId973" Type="http://schemas.openxmlformats.org/officeDocument/2006/relationships/hyperlink" Target="https://drive.google.com/file/d/1WOVlHYO6rrPXLTDUI-DN-3sFOb2OQYjs/view?usp=drivesdk" TargetMode="External"/><Relationship Id="rId979" Type="http://schemas.openxmlformats.org/officeDocument/2006/relationships/hyperlink" Target="https://drive.google.com/file/d/1hLhaJLTsEzt6vl36uoZNU95X3sRdXkAS/view?usp=drivesdk" TargetMode="External"/><Relationship Id="rId978" Type="http://schemas.openxmlformats.org/officeDocument/2006/relationships/hyperlink" Target="https://drive.google.com/file/d/146648ejqCbEonC7_dfibi4XTW-hQsRii/view?usp=drivesdk" TargetMode="External"/><Relationship Id="rId977" Type="http://schemas.openxmlformats.org/officeDocument/2006/relationships/hyperlink" Target="https://drive.google.com/file/d/1XY6JUQJN8No9BB1UvTkCETO_I1rnG3Xl/view?usp=drivesdk" TargetMode="External"/><Relationship Id="rId1560" Type="http://schemas.openxmlformats.org/officeDocument/2006/relationships/hyperlink" Target="https://drive.google.com/file/d/1K6ttW9EAbIXi-HGrS96z52AfNJuhFy-P/view?usp=drivesdk" TargetMode="External"/><Relationship Id="rId972" Type="http://schemas.openxmlformats.org/officeDocument/2006/relationships/hyperlink" Target="https://drive.google.com/file/d/1MdzWcfp6kl0FRKsi_FT1dvIaU5T6hmnc/view?usp=drivesdk" TargetMode="External"/><Relationship Id="rId1561" Type="http://schemas.openxmlformats.org/officeDocument/2006/relationships/hyperlink" Target="https://drive.google.com/file/d/110cyHiX6ilWF0yWXDPrUOEvtPwBsu5PH/view?usp=drivesdk" TargetMode="External"/><Relationship Id="rId971" Type="http://schemas.openxmlformats.org/officeDocument/2006/relationships/hyperlink" Target="https://drive.google.com/file/d/11fr494AzLU0Tk9WHA4QGLrpGfSTpRdaE/view?usp=drivesdk" TargetMode="External"/><Relationship Id="rId1562" Type="http://schemas.openxmlformats.org/officeDocument/2006/relationships/hyperlink" Target="https://drive.google.com/file/d/1C_vDrsZ5eyS6zL39tRlfw4FUpWdfV_8f/view?usp=drivesdk" TargetMode="External"/><Relationship Id="rId970" Type="http://schemas.openxmlformats.org/officeDocument/2006/relationships/hyperlink" Target="https://drive.google.com/file/d/1gcrWB1q8k-Tt0pipG01tVz12QnetLV-a/view?usp=drivesdk" TargetMode="External"/><Relationship Id="rId1563" Type="http://schemas.openxmlformats.org/officeDocument/2006/relationships/hyperlink" Target="https://drive.google.com/file/d/1VxqPgj7td9hiTkOE1gbRVx91x4qLSrxE/view?usp=drivesdk" TargetMode="External"/><Relationship Id="rId2410" Type="http://schemas.openxmlformats.org/officeDocument/2006/relationships/hyperlink" Target="https://drive.google.com/file/d/16I0oruHl9i-n0Ety7vP97TTrqBQXmJas/view?usp=drivesdk" TargetMode="External"/><Relationship Id="rId1564" Type="http://schemas.openxmlformats.org/officeDocument/2006/relationships/hyperlink" Target="https://drive.google.com/file/d/1pWZ2NFUMWq-PgS70sisKmvlqemJ35lKc/view?usp=drivesdk" TargetMode="External"/><Relationship Id="rId2411" Type="http://schemas.openxmlformats.org/officeDocument/2006/relationships/hyperlink" Target="https://drive.google.com/file/d/16I0UCQ_QXU_y5wtv3QLnuYJKibb4rgLH/view?usp=drivesdk" TargetMode="External"/><Relationship Id="rId1114" Type="http://schemas.openxmlformats.org/officeDocument/2006/relationships/hyperlink" Target="https://drive.google.com/file/d/1TW3o2GrygoDhXJLM1ZwDVqQTdSwtLHE_/view?usp=drivesdk" TargetMode="External"/><Relationship Id="rId1598" Type="http://schemas.openxmlformats.org/officeDocument/2006/relationships/hyperlink" Target="https://drive.google.com/file/d/1_kYRxJaf3a2V72M9nv75l4XSbmeMheHt/view?usp=drivesdk" TargetMode="External"/><Relationship Id="rId2445" Type="http://schemas.openxmlformats.org/officeDocument/2006/relationships/hyperlink" Target="https://drive.google.com/file/d/1Y2hnP9BxUP9FAX52XZt8Dsh-DjOvvjxd/view?usp=drivesdk" TargetMode="External"/><Relationship Id="rId1115" Type="http://schemas.openxmlformats.org/officeDocument/2006/relationships/hyperlink" Target="https://drive.google.com/file/d/1SjlhtKACNFU39Ni2GXqJLGCL2PdB1pz7/view?usp=drivesdk" TargetMode="External"/><Relationship Id="rId1599" Type="http://schemas.openxmlformats.org/officeDocument/2006/relationships/hyperlink" Target="https://drive.google.com/file/d/19wAi2EPxERzpkITBJG83-2YBRMD3Iy4d/view?usp=drivesdk" TargetMode="External"/><Relationship Id="rId2446" Type="http://schemas.openxmlformats.org/officeDocument/2006/relationships/hyperlink" Target="https://drive.google.com/file/d/1RFOSlf9tt979h7S_d5cHctrHGq7F3-86/view?usp=drivesdk" TargetMode="External"/><Relationship Id="rId1116" Type="http://schemas.openxmlformats.org/officeDocument/2006/relationships/hyperlink" Target="https://drive.google.com/file/d/1KskrBOrVy3-fNbPlRla1Pio4T3t83op0/view?usp=drivesdk" TargetMode="External"/><Relationship Id="rId2447" Type="http://schemas.openxmlformats.org/officeDocument/2006/relationships/hyperlink" Target="https://drive.google.com/file/d/19Asdspg3QeD-bKI3MWpvwpoOZpwY_M7T/view?usp=drivesdk" TargetMode="External"/><Relationship Id="rId1117" Type="http://schemas.openxmlformats.org/officeDocument/2006/relationships/hyperlink" Target="https://drive.google.com/file/d/1YdEZWDYvHeo70zQ3KEQsvYFuhQINJdi5/view?usp=drivesdk" TargetMode="External"/><Relationship Id="rId2448" Type="http://schemas.openxmlformats.org/officeDocument/2006/relationships/hyperlink" Target="https://drive.google.com/file/d/1_jCpUeK_sgpZ0rBRGLXjVqC-FM-TEU73/view?usp=drivesdk" TargetMode="External"/><Relationship Id="rId1118" Type="http://schemas.openxmlformats.org/officeDocument/2006/relationships/hyperlink" Target="https://drive.google.com/file/d/1DI6DATjLF4HPxawOn6gYjjV1sNjSr4f_/view?usp=drivesdk" TargetMode="External"/><Relationship Id="rId2449" Type="http://schemas.openxmlformats.org/officeDocument/2006/relationships/hyperlink" Target="https://drive.google.com/file/d/1HXgF83_OwFsfJu9CmgXKjoLHsomqNs0N/view?usp=drivesdk" TargetMode="External"/><Relationship Id="rId1119" Type="http://schemas.openxmlformats.org/officeDocument/2006/relationships/hyperlink" Target="https://drive.google.com/file/d/1FA4TvwYTCJ5qAR4ZqFPQeQV58FPD8gcY/view?usp=drivesdk" TargetMode="External"/><Relationship Id="rId525" Type="http://schemas.openxmlformats.org/officeDocument/2006/relationships/hyperlink" Target="https://drive.google.com/file/d/1xBquT3KKyyrZFjJ7g-ZRW6MoJg3filIK/view?usp=drivesdk" TargetMode="External"/><Relationship Id="rId524" Type="http://schemas.openxmlformats.org/officeDocument/2006/relationships/hyperlink" Target="https://drive.google.com/file/d/142gJEkddPO5Uy_wUPJGxbEtKCyqxwBq4/view?usp=drivesdk" TargetMode="External"/><Relationship Id="rId523" Type="http://schemas.openxmlformats.org/officeDocument/2006/relationships/hyperlink" Target="https://drive.google.com/file/d/1fNpPCaz1PZpzUwYFP6PAvpZyxNGv7ABt/view?usp=drivesdk" TargetMode="External"/><Relationship Id="rId522" Type="http://schemas.openxmlformats.org/officeDocument/2006/relationships/hyperlink" Target="https://drive.google.com/file/d/1lXc0KjM9gecdadbqwuhnPMPDCuLmfo38/view?usp=drivesdk" TargetMode="External"/><Relationship Id="rId529" Type="http://schemas.openxmlformats.org/officeDocument/2006/relationships/hyperlink" Target="https://drive.google.com/file/d/1VE-R-qevYNqZEdvhlvHx8KNWBogNE2nv/view?usp=drivesdk" TargetMode="External"/><Relationship Id="rId528" Type="http://schemas.openxmlformats.org/officeDocument/2006/relationships/hyperlink" Target="https://drive.google.com/file/d/1InzanuqYGSXV_VN5cV6NhKWK0rqUqYhZ/view?usp=drivesdk" TargetMode="External"/><Relationship Id="rId527" Type="http://schemas.openxmlformats.org/officeDocument/2006/relationships/hyperlink" Target="https://drive.google.com/file/d/1d8Kf8htDHN0MrHLSwvv1MJJn9NnV6unY/view?usp=drivesdk" TargetMode="External"/><Relationship Id="rId526" Type="http://schemas.openxmlformats.org/officeDocument/2006/relationships/hyperlink" Target="https://drive.google.com/file/d/1f3Jo5sPaaUQdNp9RaGxcUIVGu9RPSZKN/view?usp=drivesdk" TargetMode="External"/><Relationship Id="rId1590" Type="http://schemas.openxmlformats.org/officeDocument/2006/relationships/hyperlink" Target="https://drive.google.com/file/d/1C-uP2Nd4QKrJ0PRYyQp0HYI_WhnKhdjy/view?usp=drivesdk" TargetMode="External"/><Relationship Id="rId1591" Type="http://schemas.openxmlformats.org/officeDocument/2006/relationships/hyperlink" Target="https://drive.google.com/file/d/1sqBJHsKGdvAgrCMZLKRx1dfV81aMceWE/view?usp=drivesdk" TargetMode="External"/><Relationship Id="rId1592" Type="http://schemas.openxmlformats.org/officeDocument/2006/relationships/hyperlink" Target="https://drive.google.com/file/d/1y65VxlCgB7LqdiBHQvgH7sbtVFT0Ras3/view?usp=drivesdk" TargetMode="External"/><Relationship Id="rId1593" Type="http://schemas.openxmlformats.org/officeDocument/2006/relationships/hyperlink" Target="https://drive.google.com/file/d/1tWOGxUxpHrvd1pNi8S_NjuhR9I6oqe6o/view?usp=drivesdk" TargetMode="External"/><Relationship Id="rId2440" Type="http://schemas.openxmlformats.org/officeDocument/2006/relationships/hyperlink" Target="https://drive.google.com/file/d/1H4WyHENzcJ8X25udP0dker9myZBwO-f2/view?usp=drivesdk" TargetMode="External"/><Relationship Id="rId521" Type="http://schemas.openxmlformats.org/officeDocument/2006/relationships/hyperlink" Target="https://drive.google.com/file/d/15MegeAvmlBC6Ym5gJ2H5XkvVaM1Tb1pN/view?usp=drivesdk" TargetMode="External"/><Relationship Id="rId1110" Type="http://schemas.openxmlformats.org/officeDocument/2006/relationships/hyperlink" Target="https://drive.google.com/file/d/1H8gMkTnzoAYsorF2Fb3s6qhMwF3_o9m6/view?usp=drivesdk" TargetMode="External"/><Relationship Id="rId1594" Type="http://schemas.openxmlformats.org/officeDocument/2006/relationships/hyperlink" Target="https://drive.google.com/file/d/15cwFz2Oyf7gU8qxh0vHPqkNXxcGt3bPE/view?usp=drivesdk" TargetMode="External"/><Relationship Id="rId2441" Type="http://schemas.openxmlformats.org/officeDocument/2006/relationships/hyperlink" Target="https://drive.google.com/file/d/16C6G5eTAUaYho_P2HGv892dYmALQZAo6/view?usp=drivesdk" TargetMode="External"/><Relationship Id="rId520" Type="http://schemas.openxmlformats.org/officeDocument/2006/relationships/hyperlink" Target="https://drive.google.com/file/d/1D0UUibUx1lD754oredVv8NFOxUpzCfYd/view?usp=drivesdk" TargetMode="External"/><Relationship Id="rId1111" Type="http://schemas.openxmlformats.org/officeDocument/2006/relationships/hyperlink" Target="https://drive.google.com/file/d/14TUjbd7OQ4IcxL3r2mQnUXyhAljDd113/view?usp=drivesdk" TargetMode="External"/><Relationship Id="rId1595" Type="http://schemas.openxmlformats.org/officeDocument/2006/relationships/hyperlink" Target="https://drive.google.com/file/d/16s9xomQK9uA8KgIs7dSrDbyQGU5zg5Rt/view?usp=drivesdk" TargetMode="External"/><Relationship Id="rId2442" Type="http://schemas.openxmlformats.org/officeDocument/2006/relationships/hyperlink" Target="https://drive.google.com/file/d/10F-Z_5IB_pXFBYR8JiCA6QSNok4WnBsc/view?usp=drivesdk" TargetMode="External"/><Relationship Id="rId1112" Type="http://schemas.openxmlformats.org/officeDocument/2006/relationships/hyperlink" Target="https://drive.google.com/file/d/1YR6HO_sD9n-ED7pXG6uO4GLKJ2DpxjRY/view?usp=drivesdk" TargetMode="External"/><Relationship Id="rId1596" Type="http://schemas.openxmlformats.org/officeDocument/2006/relationships/hyperlink" Target="https://drive.google.com/file/d/1cuB0IJ7Gex_eveAyYqwerVjByYQmRR1p/view?usp=drivesdk" TargetMode="External"/><Relationship Id="rId2443" Type="http://schemas.openxmlformats.org/officeDocument/2006/relationships/hyperlink" Target="https://drive.google.com/file/d/1ZbTLZhBIaWz0rYX92UmxQ0_bSoKO8r_f/view?usp=drivesdk" TargetMode="External"/><Relationship Id="rId1113" Type="http://schemas.openxmlformats.org/officeDocument/2006/relationships/hyperlink" Target="https://drive.google.com/file/d/15cMNjS7k-iXUhcrEAwMtJ-ELHusoxprX/view?usp=drivesdk" TargetMode="External"/><Relationship Id="rId1597" Type="http://schemas.openxmlformats.org/officeDocument/2006/relationships/hyperlink" Target="https://drive.google.com/file/d/1jLVqpkGnAxsO40Y43-mxSKU3hBkC38dB/view?usp=drivesdk" TargetMode="External"/><Relationship Id="rId2444" Type="http://schemas.openxmlformats.org/officeDocument/2006/relationships/hyperlink" Target="https://drive.google.com/file/d/1uaa30Wzi-lMkzzHqjHd19uHnC9vrVYBx/view?usp=drivesdk" TargetMode="External"/><Relationship Id="rId1103" Type="http://schemas.openxmlformats.org/officeDocument/2006/relationships/hyperlink" Target="https://drive.google.com/file/d/1S9gvYOMzKnlnSy7WsjXZNNsGlIIv5YSj/view?usp=drivesdk" TargetMode="External"/><Relationship Id="rId1587" Type="http://schemas.openxmlformats.org/officeDocument/2006/relationships/hyperlink" Target="https://drive.google.com/file/d/1ntPRXIhtwUPw-s0q2J9BxQS6rSNMvN_U/view?usp=drivesdk" TargetMode="External"/><Relationship Id="rId2434" Type="http://schemas.openxmlformats.org/officeDocument/2006/relationships/hyperlink" Target="https://drive.google.com/file/d/1Eoxp0Z-tT2x4UgIidch0G696B9nt9aY4/view?usp=drivesdk" TargetMode="External"/><Relationship Id="rId1104" Type="http://schemas.openxmlformats.org/officeDocument/2006/relationships/hyperlink" Target="https://drive.google.com/file/d/1s7HA_XkkfsFoTHsi4W4H0k3biRUxQJet/view?usp=drivesdk" TargetMode="External"/><Relationship Id="rId1588" Type="http://schemas.openxmlformats.org/officeDocument/2006/relationships/hyperlink" Target="https://drive.google.com/file/d/13ILyevtkBr7ks0uPrZhSA_v9mriX9ni9/view?usp=drivesdk" TargetMode="External"/><Relationship Id="rId2435" Type="http://schemas.openxmlformats.org/officeDocument/2006/relationships/hyperlink" Target="https://drive.google.com/file/d/1HmpUZpiCi_wr8oZNcNcVwsoWe6QdCHI8/view?usp=drivesdk" TargetMode="External"/><Relationship Id="rId1105" Type="http://schemas.openxmlformats.org/officeDocument/2006/relationships/hyperlink" Target="https://drive.google.com/file/d/1anEi-ZlvB5Y3W9Cymi7EpBnS3GMI4-3R/view?usp=drivesdk" TargetMode="External"/><Relationship Id="rId1589" Type="http://schemas.openxmlformats.org/officeDocument/2006/relationships/hyperlink" Target="https://drive.google.com/file/d/1YZn9uz4zksjZyywI5gzvm7NqiG1-qa9f/view?usp=drivesdk" TargetMode="External"/><Relationship Id="rId2436" Type="http://schemas.openxmlformats.org/officeDocument/2006/relationships/hyperlink" Target="https://drive.google.com/file/d/1Hf-1Bhe7fQlcTD_j1bYNp5E47hEn7IGF/view?usp=drivesdk" TargetMode="External"/><Relationship Id="rId1106" Type="http://schemas.openxmlformats.org/officeDocument/2006/relationships/hyperlink" Target="https://drive.google.com/file/d/1zGjoQEVqM19P9wYQy2rw3VW1H1k2JDXS/view?usp=drivesdk" TargetMode="External"/><Relationship Id="rId2437" Type="http://schemas.openxmlformats.org/officeDocument/2006/relationships/hyperlink" Target="https://drive.google.com/file/d/1oViSEKg2uYBvfr0jJu6k6hoGeCIzs9lQ/view?usp=drivesdk" TargetMode="External"/><Relationship Id="rId1107" Type="http://schemas.openxmlformats.org/officeDocument/2006/relationships/hyperlink" Target="https://drive.google.com/file/d/18yBhq6DMTjECxuZQE56kAY-uBPXXqnBP/view?usp=drivesdk" TargetMode="External"/><Relationship Id="rId2438" Type="http://schemas.openxmlformats.org/officeDocument/2006/relationships/hyperlink" Target="https://drive.google.com/file/d/1MP4Prdf-u6v9icGBaR1JZONNsqETR1MC/view?usp=drivesdk" TargetMode="External"/><Relationship Id="rId1108" Type="http://schemas.openxmlformats.org/officeDocument/2006/relationships/hyperlink" Target="https://drive.google.com/file/d/1H6daI65GWkvrjYXhkdwsdJydHjG-oM8M/view?usp=drivesdk" TargetMode="External"/><Relationship Id="rId2439" Type="http://schemas.openxmlformats.org/officeDocument/2006/relationships/hyperlink" Target="https://drive.google.com/file/d/1qSlYJyYxOIhSRAXjR0iu00QImlO0PTTF/view?usp=drivesdk" TargetMode="External"/><Relationship Id="rId1109" Type="http://schemas.openxmlformats.org/officeDocument/2006/relationships/hyperlink" Target="https://drive.google.com/file/d/1uosOtC-fyc26RkyDv1LQ-S1v7ceLJMsb/view?usp=drivesdk" TargetMode="External"/><Relationship Id="rId519" Type="http://schemas.openxmlformats.org/officeDocument/2006/relationships/hyperlink" Target="https://drive.google.com/file/d/1UwEDh9ePqSB4tWs5KcOSC6ztLIgaewBL/view?usp=drivesdk" TargetMode="External"/><Relationship Id="rId514" Type="http://schemas.openxmlformats.org/officeDocument/2006/relationships/hyperlink" Target="https://drive.google.com/file/d/1B5PiW8EFonHKbTVrz7oByTlZuDQbrOWd/view?usp=drivesdk" TargetMode="External"/><Relationship Id="rId998" Type="http://schemas.openxmlformats.org/officeDocument/2006/relationships/hyperlink" Target="https://drive.google.com/file/d/1NWjb4aA5umNXsP5D93UmnGg57zuBzzGt/view?usp=drivesdk" TargetMode="External"/><Relationship Id="rId513" Type="http://schemas.openxmlformats.org/officeDocument/2006/relationships/hyperlink" Target="https://drive.google.com/file/d/1NbLcjcdTntNYTfqRcxgpoHT6x6NGsE2a/view?usp=drivesdk" TargetMode="External"/><Relationship Id="rId997" Type="http://schemas.openxmlformats.org/officeDocument/2006/relationships/hyperlink" Target="https://drive.google.com/file/d/1vy1wx0MU_hEJYU2JeyslxKgvnlmiOEQ0/view?usp=drivesdk" TargetMode="External"/><Relationship Id="rId512" Type="http://schemas.openxmlformats.org/officeDocument/2006/relationships/hyperlink" Target="https://drive.google.com/file/d/1Qw2opO5uW-5Uo639TykT8MdTu62qX3jW/view?usp=drivesdk" TargetMode="External"/><Relationship Id="rId996" Type="http://schemas.openxmlformats.org/officeDocument/2006/relationships/hyperlink" Target="https://drive.google.com/file/d/12l9nol27GbNo4rVWtk2uZdIDdMpCn4Uh/view?usp=drivesdk" TargetMode="External"/><Relationship Id="rId511" Type="http://schemas.openxmlformats.org/officeDocument/2006/relationships/hyperlink" Target="https://drive.google.com/file/d/1fdJUZymUYfYfUF-8FUud5WHU_0RRpfq0/view?usp=drivesdk" TargetMode="External"/><Relationship Id="rId995" Type="http://schemas.openxmlformats.org/officeDocument/2006/relationships/hyperlink" Target="https://drive.google.com/file/d/1iVgufy_Xa350BsEdaAj3wgNJnpYagDTT/view?usp=drivesdk" TargetMode="External"/><Relationship Id="rId518" Type="http://schemas.openxmlformats.org/officeDocument/2006/relationships/hyperlink" Target="https://drive.google.com/file/d/1Z7gRlxpW4dXaWgj5FUEByZi86XWBcr5R/view?usp=drivesdk" TargetMode="External"/><Relationship Id="rId517" Type="http://schemas.openxmlformats.org/officeDocument/2006/relationships/hyperlink" Target="https://drive.google.com/file/d/1GReRzZQU0Ghqq52qzwgc6RsudJtoLv3G/view?usp=drivesdk" TargetMode="External"/><Relationship Id="rId516" Type="http://schemas.openxmlformats.org/officeDocument/2006/relationships/hyperlink" Target="https://drive.google.com/file/d/16mqY5fYC2-vmFC-M3TxghxJHpizWJLOG/view?usp=drivesdk" TargetMode="External"/><Relationship Id="rId515" Type="http://schemas.openxmlformats.org/officeDocument/2006/relationships/hyperlink" Target="https://drive.google.com/file/d/1JlWMJv5oyqVuGdnN1q96ZflFTD4ZyKAy/view?usp=drivesdk" TargetMode="External"/><Relationship Id="rId999" Type="http://schemas.openxmlformats.org/officeDocument/2006/relationships/hyperlink" Target="https://drive.google.com/file/d/1xnpRdo4ZmHEah6baOJqCTD8ndz96bSsT/view?usp=drivesdk" TargetMode="External"/><Relationship Id="rId990" Type="http://schemas.openxmlformats.org/officeDocument/2006/relationships/hyperlink" Target="https://drive.google.com/file/d/1Ho-dYePs_RUfLSd3F4i_DQP4E88mLKz4/view?usp=drivesdk" TargetMode="External"/><Relationship Id="rId1580" Type="http://schemas.openxmlformats.org/officeDocument/2006/relationships/hyperlink" Target="https://drive.google.com/file/d/1ardQEybKRKjUbZ0b2PFHMUbiGeDjkFk9/view?usp=drivesdk" TargetMode="External"/><Relationship Id="rId1581" Type="http://schemas.openxmlformats.org/officeDocument/2006/relationships/hyperlink" Target="https://drive.google.com/file/d/1k5jGOEAl2PNNuA6o8uNM5-EtGU1_ZI76/view?usp=drivesdk" TargetMode="External"/><Relationship Id="rId1582" Type="http://schemas.openxmlformats.org/officeDocument/2006/relationships/hyperlink" Target="https://drive.google.com/file/d/1uRYs7D27y4syNCGpC3EfKaya-ehMgHp-/view?usp=drivesdk" TargetMode="External"/><Relationship Id="rId510" Type="http://schemas.openxmlformats.org/officeDocument/2006/relationships/hyperlink" Target="https://drive.google.com/file/d/1Vrhkx4UwdZHVvZ3OdPs0IYBAwj2MIbOF/view?usp=drivesdk" TargetMode="External"/><Relationship Id="rId994" Type="http://schemas.openxmlformats.org/officeDocument/2006/relationships/hyperlink" Target="https://drive.google.com/file/d/1XubJZ-sSJWwXilXEwyEuzNP4m81yytuo/view?usp=drivesdk" TargetMode="External"/><Relationship Id="rId1583" Type="http://schemas.openxmlformats.org/officeDocument/2006/relationships/hyperlink" Target="https://drive.google.com/file/d/16Pe30kcQ3P2_0FUT6OJYoUQzgDgbi6Xv/view?usp=drivesdk" TargetMode="External"/><Relationship Id="rId2430" Type="http://schemas.openxmlformats.org/officeDocument/2006/relationships/hyperlink" Target="https://drive.google.com/file/d/17sxW8ZXHAdpzENFXyg3BAkOfevyrM6cv/view?usp=drivesdk" TargetMode="External"/><Relationship Id="rId993" Type="http://schemas.openxmlformats.org/officeDocument/2006/relationships/hyperlink" Target="https://drive.google.com/file/d/1SpJTz4-TlRaf27Cdry-fvW3OscxrZSl2/view?usp=drivesdk" TargetMode="External"/><Relationship Id="rId1100" Type="http://schemas.openxmlformats.org/officeDocument/2006/relationships/hyperlink" Target="https://drive.google.com/file/d/1gIj7AidQX3TqyPg_nYk35S74fkNRlt9L/view?usp=drivesdk" TargetMode="External"/><Relationship Id="rId1584" Type="http://schemas.openxmlformats.org/officeDocument/2006/relationships/hyperlink" Target="https://drive.google.com/file/d/18IdySjgN-X0HN1r7FmpcmIzkkw5_uYed/view?usp=drivesdk" TargetMode="External"/><Relationship Id="rId2431" Type="http://schemas.openxmlformats.org/officeDocument/2006/relationships/hyperlink" Target="https://drive.google.com/file/d/1O4hx_ZuRejlifjCLQkCDSGP21s5CUzJn/view?usp=drivesdk" TargetMode="External"/><Relationship Id="rId992" Type="http://schemas.openxmlformats.org/officeDocument/2006/relationships/hyperlink" Target="https://drive.google.com/file/d/1oC8drdSi7oS9Fx-U-1Ngl9fTfCLUhZpH/view?usp=drivesdk" TargetMode="External"/><Relationship Id="rId1101" Type="http://schemas.openxmlformats.org/officeDocument/2006/relationships/hyperlink" Target="https://drive.google.com/file/d/195yXQVKAFqSiaT272fUT0ROqeso2C4Dq/view?usp=drivesdk" TargetMode="External"/><Relationship Id="rId1585" Type="http://schemas.openxmlformats.org/officeDocument/2006/relationships/hyperlink" Target="https://drive.google.com/file/d/1YI4IvH_IbDrngrgY41-ShBPJtwryDNiq/view?usp=drivesdk" TargetMode="External"/><Relationship Id="rId2432" Type="http://schemas.openxmlformats.org/officeDocument/2006/relationships/hyperlink" Target="https://drive.google.com/file/d/11ci9nD2uYZSkCd0-WU3-QxPE5WpxOZyd/view?usp=drivesdk" TargetMode="External"/><Relationship Id="rId991" Type="http://schemas.openxmlformats.org/officeDocument/2006/relationships/hyperlink" Target="https://drive.google.com/file/d/16j9wPVVIecQ1ss1nZqtdBptUQykLSY7J/view?usp=drivesdk" TargetMode="External"/><Relationship Id="rId1102" Type="http://schemas.openxmlformats.org/officeDocument/2006/relationships/hyperlink" Target="https://drive.google.com/file/d/1jfjnhNVaqFiI7_-G-sbajTDjE84LU5Bx/view?usp=drivesdk" TargetMode="External"/><Relationship Id="rId1586" Type="http://schemas.openxmlformats.org/officeDocument/2006/relationships/hyperlink" Target="https://drive.google.com/file/d/1OWZqIZU20OyZEn04kV663td_XvBAVxRq/view?usp=drivesdk" TargetMode="External"/><Relationship Id="rId2433" Type="http://schemas.openxmlformats.org/officeDocument/2006/relationships/hyperlink" Target="https://drive.google.com/file/d/1y6BcWnW5wgkywY5ZNXyxYYn1r2r2kr7m/view?usp=drivesdk" TargetMode="External"/><Relationship Id="rId1532" Type="http://schemas.openxmlformats.org/officeDocument/2006/relationships/hyperlink" Target="https://drive.google.com/file/d/1xp582SYcFpppcH4EsnPNNpIJptw5qHgQ/view?usp=drivesdk" TargetMode="External"/><Relationship Id="rId1533" Type="http://schemas.openxmlformats.org/officeDocument/2006/relationships/hyperlink" Target="https://drive.google.com/file/d/1GfS9khFvNWvs4VIpxMZ-NLXIagU49-4V/view?usp=drivesdk" TargetMode="External"/><Relationship Id="rId1534" Type="http://schemas.openxmlformats.org/officeDocument/2006/relationships/hyperlink" Target="https://drive.google.com/file/d/1BowidRlRCkMY6OKmH_JwTPrSSasAOiQx/view?usp=drivesdk" TargetMode="External"/><Relationship Id="rId1535" Type="http://schemas.openxmlformats.org/officeDocument/2006/relationships/hyperlink" Target="https://drive.google.com/file/d/1jbwlQE5c8bKni62Xk9QhpjD6jHtogJ2f/view?usp=drivesdk" TargetMode="External"/><Relationship Id="rId1536" Type="http://schemas.openxmlformats.org/officeDocument/2006/relationships/hyperlink" Target="https://drive.google.com/file/d/1geEFeTPL1SM6iidBWHjp42D7FbWkeaOG/view?usp=drivesdk" TargetMode="External"/><Relationship Id="rId1537" Type="http://schemas.openxmlformats.org/officeDocument/2006/relationships/hyperlink" Target="https://drive.google.com/file/d/16DyCJOd65Fa94ELDjfZ8ottRjAS_7sjG/view?usp=drivesdk" TargetMode="External"/><Relationship Id="rId1538" Type="http://schemas.openxmlformats.org/officeDocument/2006/relationships/hyperlink" Target="https://drive.google.com/file/d/1Pz7Hz8MLPJ5qBLQHx5H8jFvyqR2nX3WE/view?usp=drivesdk" TargetMode="External"/><Relationship Id="rId1539" Type="http://schemas.openxmlformats.org/officeDocument/2006/relationships/hyperlink" Target="https://drive.google.com/file/d/1lttM39qFxP_5iWOG1FU1Ab1wEt2uWOvP/view?usp=drivesdk" TargetMode="External"/><Relationship Id="rId949" Type="http://schemas.openxmlformats.org/officeDocument/2006/relationships/hyperlink" Target="https://drive.google.com/file/d/18SLlpTAPx6JPKrpJA4ZgKLZ4GzXiKKTo/view?usp=drivesdk" TargetMode="External"/><Relationship Id="rId948" Type="http://schemas.openxmlformats.org/officeDocument/2006/relationships/hyperlink" Target="https://drive.google.com/file/d/1SjpGQxi5e6x9jkA5-HL_MknGAhX7slww/view?usp=drivesdk" TargetMode="External"/><Relationship Id="rId943" Type="http://schemas.openxmlformats.org/officeDocument/2006/relationships/hyperlink" Target="https://drive.google.com/file/d/1o9SD7zSbmRDBWO547PyO6NI2eu682qat/view?usp=drivesdk" TargetMode="External"/><Relationship Id="rId942" Type="http://schemas.openxmlformats.org/officeDocument/2006/relationships/hyperlink" Target="https://drive.google.com/file/d/116TKQvFM4mr76xAtu5Ch3pv83PYlnd6s/view?usp=drivesdk" TargetMode="External"/><Relationship Id="rId941" Type="http://schemas.openxmlformats.org/officeDocument/2006/relationships/hyperlink" Target="https://drive.google.com/file/d/1fVFhjNpF-nw8ozCfVo8SUeGmukfdBNQS/view?usp=drivesdk" TargetMode="External"/><Relationship Id="rId940" Type="http://schemas.openxmlformats.org/officeDocument/2006/relationships/hyperlink" Target="https://drive.google.com/file/d/1RVSagBXI_bhvHGvc8aVM5nNkiR2DZ8xb/view?usp=drivesdk" TargetMode="External"/><Relationship Id="rId947" Type="http://schemas.openxmlformats.org/officeDocument/2006/relationships/hyperlink" Target="https://drive.google.com/file/d/1Vs9suQ9rYP0RG4oQc_bWYd8dp0nA9CJk/view?usp=drivesdk" TargetMode="External"/><Relationship Id="rId946" Type="http://schemas.openxmlformats.org/officeDocument/2006/relationships/hyperlink" Target="https://drive.google.com/file/d/1uhsw5KekdjWybf3Nngmsml2B_xfm9AZV/view?usp=drivesdk" TargetMode="External"/><Relationship Id="rId945" Type="http://schemas.openxmlformats.org/officeDocument/2006/relationships/hyperlink" Target="https://drive.google.com/file/d/1o226HntuOH9LBLBm6aF8YoXoJXx974U-/view?usp=drivesdk" TargetMode="External"/><Relationship Id="rId944" Type="http://schemas.openxmlformats.org/officeDocument/2006/relationships/hyperlink" Target="https://drive.google.com/file/d/1UoOeV363T9QJE0rss2a92whsriXQMJ9y/view?usp=drivesdk" TargetMode="External"/><Relationship Id="rId1530" Type="http://schemas.openxmlformats.org/officeDocument/2006/relationships/hyperlink" Target="https://drive.google.com/file/d/11xYOjTT5mT8SHAjwAjYWyMqlKMEHIjtP/view?usp=drivesdk" TargetMode="External"/><Relationship Id="rId1531" Type="http://schemas.openxmlformats.org/officeDocument/2006/relationships/hyperlink" Target="https://drive.google.com/file/d/1qbbs06LEHAvAZdycBKFvdd7pX2AoVP9V/view?usp=drivesdk" TargetMode="External"/><Relationship Id="rId1521" Type="http://schemas.openxmlformats.org/officeDocument/2006/relationships/hyperlink" Target="https://drive.google.com/file/d/14zRm9ulchWaHCzgYMV4_z8VPi_EwwXE1/view?usp=drivesdk" TargetMode="External"/><Relationship Id="rId1522" Type="http://schemas.openxmlformats.org/officeDocument/2006/relationships/hyperlink" Target="https://drive.google.com/file/d/1mUNj4WHd7FyIN_lbXxGVj2Nb18-a4no4/view?usp=drivesdk" TargetMode="External"/><Relationship Id="rId1523" Type="http://schemas.openxmlformats.org/officeDocument/2006/relationships/hyperlink" Target="https://drive.google.com/file/d/1EYBG7M1t3gTT4gjMyzswyzoJMXXosZbk/view?usp=drivesdk" TargetMode="External"/><Relationship Id="rId1524" Type="http://schemas.openxmlformats.org/officeDocument/2006/relationships/hyperlink" Target="https://drive.google.com/file/d/1AkPsfVXouhN6sMxO4s06KfZ_6Bph44DN/view?usp=drivesdk" TargetMode="External"/><Relationship Id="rId1525" Type="http://schemas.openxmlformats.org/officeDocument/2006/relationships/hyperlink" Target="https://drive.google.com/file/d/1pCi84W8EEn8AYnKqnbYbURa2a6OKQUt_/view?usp=drivesdk" TargetMode="External"/><Relationship Id="rId1526" Type="http://schemas.openxmlformats.org/officeDocument/2006/relationships/hyperlink" Target="https://drive.google.com/file/d/1QiFBjKAIQ_XowhPow2851_qIzLFAiIe-/view?usp=drivesdk" TargetMode="External"/><Relationship Id="rId1527" Type="http://schemas.openxmlformats.org/officeDocument/2006/relationships/hyperlink" Target="https://drive.google.com/file/d/1T-OeZOOhQedAkZxHy2PsJJRrRv8FAmVY/view?usp=drivesdk" TargetMode="External"/><Relationship Id="rId1528" Type="http://schemas.openxmlformats.org/officeDocument/2006/relationships/hyperlink" Target="https://drive.google.com/file/d/1QQGp6Nb_0RTGfUMuvbAa9IN3vsPrdjNA/view?usp=drivesdk" TargetMode="External"/><Relationship Id="rId1529" Type="http://schemas.openxmlformats.org/officeDocument/2006/relationships/hyperlink" Target="https://drive.google.com/file/d/1CpQ89dXCE5lp3Uu8l-UUDNuNp1PkZoZv/view?usp=drivesdk" TargetMode="External"/><Relationship Id="rId939" Type="http://schemas.openxmlformats.org/officeDocument/2006/relationships/hyperlink" Target="https://drive.google.com/file/d/1w6kLmd9C-1Ea9G08HmDb_sPWNYpm5Xv4/view?usp=drivesdk" TargetMode="External"/><Relationship Id="rId938" Type="http://schemas.openxmlformats.org/officeDocument/2006/relationships/hyperlink" Target="https://drive.google.com/file/d/1Ifi_ttKzmI1UKPYJGq6gSxnanA9s6A49/view?usp=drivesdk" TargetMode="External"/><Relationship Id="rId937" Type="http://schemas.openxmlformats.org/officeDocument/2006/relationships/hyperlink" Target="https://drive.google.com/file/d/1gcefNhNaPWU4KSj0t89_MTGALowlosgw/view?usp=drivesdk" TargetMode="External"/><Relationship Id="rId932" Type="http://schemas.openxmlformats.org/officeDocument/2006/relationships/hyperlink" Target="https://drive.google.com/file/d/1WjHpSVg7jIH2fF-JqEFWC3cWZE14NHWw/view?usp=drivesdk" TargetMode="External"/><Relationship Id="rId931" Type="http://schemas.openxmlformats.org/officeDocument/2006/relationships/hyperlink" Target="https://drive.google.com/file/d/1YkLJ5DQY50qOzPN3FKLjaWWYCYrdG9lK/view?usp=drivesdk" TargetMode="External"/><Relationship Id="rId930" Type="http://schemas.openxmlformats.org/officeDocument/2006/relationships/hyperlink" Target="https://drive.google.com/file/d/1el8FUnhQu2QRcR3Tv6S_KFqFaTN5s04J/view?usp=drivesdk" TargetMode="External"/><Relationship Id="rId936" Type="http://schemas.openxmlformats.org/officeDocument/2006/relationships/hyperlink" Target="https://drive.google.com/file/d/13kxbNhxE2PujwRNSst2U3-iqpHRX7cGR/view?usp=drivesdk" TargetMode="External"/><Relationship Id="rId935" Type="http://schemas.openxmlformats.org/officeDocument/2006/relationships/hyperlink" Target="https://drive.google.com/file/d/1RPzURpKgt3tbDj5yt7zLsQtCE4KbfGZo/view?usp=drivesdk" TargetMode="External"/><Relationship Id="rId934" Type="http://schemas.openxmlformats.org/officeDocument/2006/relationships/hyperlink" Target="https://drive.google.com/file/d/1wRu2-YUoXbSCWAGa7aY-kflP0uqxey07/view?usp=drivesdk" TargetMode="External"/><Relationship Id="rId933" Type="http://schemas.openxmlformats.org/officeDocument/2006/relationships/hyperlink" Target="https://drive.google.com/file/d/1o2yBQgrM4vwrfc47DCFU_jvH7qihYRaj/view?usp=drivesdk" TargetMode="External"/><Relationship Id="rId1520" Type="http://schemas.openxmlformats.org/officeDocument/2006/relationships/hyperlink" Target="https://drive.google.com/file/d/1dFJYg_bTIFNYd4UIoeNWi-uRDCENsWOI/view?usp=drivesdk" TargetMode="External"/><Relationship Id="rId1554" Type="http://schemas.openxmlformats.org/officeDocument/2006/relationships/hyperlink" Target="https://drive.google.com/file/d/1dRrWeMHJKSO-SgO9ajJJsGi4cGEVvDEO/view?usp=drivesdk" TargetMode="External"/><Relationship Id="rId2401" Type="http://schemas.openxmlformats.org/officeDocument/2006/relationships/hyperlink" Target="https://drive.google.com/file/d/1Zk6Uolrpcfuc7uI-DUmRG9FkJOwLltag/view?usp=drivesdk" TargetMode="External"/><Relationship Id="rId1555" Type="http://schemas.openxmlformats.org/officeDocument/2006/relationships/hyperlink" Target="https://drive.google.com/file/d/1PEkBNCI6YvhAW6tAwK8_Sd-wfW7FvMXE/view?usp=drivesdk" TargetMode="External"/><Relationship Id="rId2402" Type="http://schemas.openxmlformats.org/officeDocument/2006/relationships/hyperlink" Target="https://drive.google.com/file/d/12LHHxPU6VaTyLv9HZcncUGV-PSjeziym/view?usp=drivesdk" TargetMode="External"/><Relationship Id="rId1556" Type="http://schemas.openxmlformats.org/officeDocument/2006/relationships/hyperlink" Target="https://drive.google.com/file/d/1bnckCpyr44FD-DM3LvHJA4Bf6L1QkWa3/view?usp=drivesdk" TargetMode="External"/><Relationship Id="rId2403" Type="http://schemas.openxmlformats.org/officeDocument/2006/relationships/hyperlink" Target="https://drive.google.com/file/d/1w7-sJrIDOYPEnEOmOVWwtbLvXZuy2zVN/view?usp=drivesdk" TargetMode="External"/><Relationship Id="rId1557" Type="http://schemas.openxmlformats.org/officeDocument/2006/relationships/hyperlink" Target="https://drive.google.com/file/d/164-Vx4ZWMAZalnE_9cfy6junfGyRP5zy/view?usp=drivesdk" TargetMode="External"/><Relationship Id="rId2404" Type="http://schemas.openxmlformats.org/officeDocument/2006/relationships/hyperlink" Target="https://drive.google.com/file/d/1Hd1DM1pZ7bo1HRe6pW6JH-LJ972NOs4w/view?usp=drivesdk" TargetMode="External"/><Relationship Id="rId1558" Type="http://schemas.openxmlformats.org/officeDocument/2006/relationships/hyperlink" Target="https://drive.google.com/file/d/1oLBQTGgS2E-iQ8PUBs-OBO1KlQ7x3gkQ/view?usp=drivesdk" TargetMode="External"/><Relationship Id="rId2405" Type="http://schemas.openxmlformats.org/officeDocument/2006/relationships/hyperlink" Target="https://drive.google.com/file/d/1kpwH40Iqd4ofSV_RT93m43G6TQAMuugR/view?usp=drivesdk" TargetMode="External"/><Relationship Id="rId1559" Type="http://schemas.openxmlformats.org/officeDocument/2006/relationships/hyperlink" Target="https://drive.google.com/file/d/1flDlk4VEvo59i56Nw9nc2nW0FH_XBwQy/view?usp=drivesdk" TargetMode="External"/><Relationship Id="rId2406" Type="http://schemas.openxmlformats.org/officeDocument/2006/relationships/hyperlink" Target="https://drive.google.com/file/d/1AYa3MG8u-cD8cuKPgQ6uITllATArKqeX/view?usp=drivesdk" TargetMode="External"/><Relationship Id="rId2407" Type="http://schemas.openxmlformats.org/officeDocument/2006/relationships/hyperlink" Target="https://drive.google.com/file/d/1JlsQzLj3iyuVCWKFWBQ8wVeisq8mVaoq/view?usp=drivesdk" TargetMode="External"/><Relationship Id="rId2408" Type="http://schemas.openxmlformats.org/officeDocument/2006/relationships/hyperlink" Target="https://drive.google.com/file/d/1LXf40Wt8T5Q0JGTDA4msKUOA9-amfxSF/view?usp=drivesdk" TargetMode="External"/><Relationship Id="rId2409" Type="http://schemas.openxmlformats.org/officeDocument/2006/relationships/hyperlink" Target="https://drive.google.com/file/d/1j4zGazxX-6EcGi0dZltvTJn13wYmBwWJ/view?usp=drivesdk" TargetMode="External"/><Relationship Id="rId965" Type="http://schemas.openxmlformats.org/officeDocument/2006/relationships/hyperlink" Target="https://drive.google.com/file/d/1ILoOwbLiXqUh7bvlniMy-OgsdQHExyPr/view?usp=drivesdk" TargetMode="External"/><Relationship Id="rId964" Type="http://schemas.openxmlformats.org/officeDocument/2006/relationships/hyperlink" Target="https://drive.google.com/file/d/1OtjGv9wVr7vbZ788e8P5yapkxXJ5dq7U/view?usp=drivesdk" TargetMode="External"/><Relationship Id="rId963" Type="http://schemas.openxmlformats.org/officeDocument/2006/relationships/hyperlink" Target="https://drive.google.com/file/d/1e1HkmuUAnYx72CBTodIHi54NQpUZom1e/view?usp=drivesdk" TargetMode="External"/><Relationship Id="rId962" Type="http://schemas.openxmlformats.org/officeDocument/2006/relationships/hyperlink" Target="https://drive.google.com/file/d/1qddo8dku8WdzPN8A6w_aPawSa-brG3R9/view?usp=drivesdk" TargetMode="External"/><Relationship Id="rId969" Type="http://schemas.openxmlformats.org/officeDocument/2006/relationships/hyperlink" Target="https://drive.google.com/file/d/1PkI88dz_PfIGeyE98j8CraowCwP59gbB/view?usp=drivesdk" TargetMode="External"/><Relationship Id="rId968" Type="http://schemas.openxmlformats.org/officeDocument/2006/relationships/hyperlink" Target="https://drive.google.com/file/d/1J0EVKjr9KphZiY0YoGAeOTc9cJx-hnwU/view?usp=drivesdk" TargetMode="External"/><Relationship Id="rId967" Type="http://schemas.openxmlformats.org/officeDocument/2006/relationships/hyperlink" Target="https://drive.google.com/file/d/1ejIPNPQ-a6-ocxzU-WKsSIcfXZ9rFfk7/view?usp=drivesdk" TargetMode="External"/><Relationship Id="rId966" Type="http://schemas.openxmlformats.org/officeDocument/2006/relationships/hyperlink" Target="https://drive.google.com/file/d/1419t8WnaFo53Nbym3WmKC8crVy6NTgSs/view?usp=drivesdk" TargetMode="External"/><Relationship Id="rId961" Type="http://schemas.openxmlformats.org/officeDocument/2006/relationships/hyperlink" Target="https://drive.google.com/file/d/1oLUyTXVB-zxT-39a6IrGRyUOje-cQncp/view?usp=drivesdk" TargetMode="External"/><Relationship Id="rId1550" Type="http://schemas.openxmlformats.org/officeDocument/2006/relationships/hyperlink" Target="https://drive.google.com/file/d/1HtGpbkUKbiOH410U20rgqZlaxGvYUSaK/view?usp=drivesdk" TargetMode="External"/><Relationship Id="rId960" Type="http://schemas.openxmlformats.org/officeDocument/2006/relationships/hyperlink" Target="https://drive.google.com/file/d/1-FJ_yyyMXewVzY31su8uJrtmaXi0wN0G/view?usp=drivesdk" TargetMode="External"/><Relationship Id="rId1551" Type="http://schemas.openxmlformats.org/officeDocument/2006/relationships/hyperlink" Target="https://drive.google.com/file/d/14kp1buMz39oQow7eIzCHsAr7GbJ79Rjy/view?usp=drivesdk" TargetMode="External"/><Relationship Id="rId1552" Type="http://schemas.openxmlformats.org/officeDocument/2006/relationships/hyperlink" Target="https://drive.google.com/file/d/1ISOoU6M3AntoaH9rXkOtb52Sxq1gbvmU/view?usp=drivesdk" TargetMode="External"/><Relationship Id="rId1553" Type="http://schemas.openxmlformats.org/officeDocument/2006/relationships/hyperlink" Target="https://drive.google.com/file/d/1c-SO6bFgL5ozXlKBumuDUJIrAEj6NvD9/view?usp=drivesdk" TargetMode="External"/><Relationship Id="rId2400" Type="http://schemas.openxmlformats.org/officeDocument/2006/relationships/hyperlink" Target="https://drive.google.com/file/d/1XbqzqYs36f15OG5LFKMjHc7pyXKxCg-R/view?usp=drivesdk" TargetMode="External"/><Relationship Id="rId1543" Type="http://schemas.openxmlformats.org/officeDocument/2006/relationships/hyperlink" Target="https://drive.google.com/file/d/1S0cFJZ9vNMyVUZxL7b4NZwKawCZl_I0P/view?usp=drivesdk" TargetMode="External"/><Relationship Id="rId1544" Type="http://schemas.openxmlformats.org/officeDocument/2006/relationships/hyperlink" Target="https://drive.google.com/file/d/1-MThw71pN-pLMlcDgSb-OZ1F7cq_oMpQ/view?usp=drivesdk" TargetMode="External"/><Relationship Id="rId1545" Type="http://schemas.openxmlformats.org/officeDocument/2006/relationships/hyperlink" Target="https://drive.google.com/file/d/1yS6iK-1UXzZCoxfgIdvD1ENeum114Uy4/view?usp=drivesdk" TargetMode="External"/><Relationship Id="rId1546" Type="http://schemas.openxmlformats.org/officeDocument/2006/relationships/hyperlink" Target="https://drive.google.com/file/d/12JRy89I-yjbMZJSl_vvFOZBMENq_1YTi/view?usp=drivesdk" TargetMode="External"/><Relationship Id="rId1547" Type="http://schemas.openxmlformats.org/officeDocument/2006/relationships/hyperlink" Target="https://drive.google.com/file/d/1FeULVpYnrPXpKxZ8IBGlU7oqP0nco349/view?usp=drivesdk" TargetMode="External"/><Relationship Id="rId1548" Type="http://schemas.openxmlformats.org/officeDocument/2006/relationships/hyperlink" Target="https://drive.google.com/file/d/1C9F2gClxCKOzGRCniZSu2q-8AZAVuKHD/view?usp=drivesdk" TargetMode="External"/><Relationship Id="rId1549" Type="http://schemas.openxmlformats.org/officeDocument/2006/relationships/hyperlink" Target="https://drive.google.com/file/d/1lM7rlkylnIwvQ7R7XgPrGiUGoUhgjiwP/view?usp=drivesdk" TargetMode="External"/><Relationship Id="rId959" Type="http://schemas.openxmlformats.org/officeDocument/2006/relationships/hyperlink" Target="https://drive.google.com/file/d/12YixapyCqGimuDvVZrs4-C5c_D4AcF13/view?usp=drivesdk" TargetMode="External"/><Relationship Id="rId954" Type="http://schemas.openxmlformats.org/officeDocument/2006/relationships/hyperlink" Target="https://drive.google.com/file/d/1na0rm5Mc83pJ584jCvvd35uSLAw4F2zn/view?usp=drivesdk" TargetMode="External"/><Relationship Id="rId953" Type="http://schemas.openxmlformats.org/officeDocument/2006/relationships/hyperlink" Target="https://drive.google.com/file/d/1HfvWXEqTVhyq8ggOGaDwfH9vyMUCYjS6/view?usp=drivesdk" TargetMode="External"/><Relationship Id="rId952" Type="http://schemas.openxmlformats.org/officeDocument/2006/relationships/hyperlink" Target="https://drive.google.com/file/d/1b7VTWjMt8sw62UrHtvvN-x-27p537Ep5/view?usp=drivesdk" TargetMode="External"/><Relationship Id="rId951" Type="http://schemas.openxmlformats.org/officeDocument/2006/relationships/hyperlink" Target="https://drive.google.com/file/d/1Aq7r2-RSSQdFsMkfXpXlqnbqBBsI2HMt/view?usp=drivesdk" TargetMode="External"/><Relationship Id="rId958" Type="http://schemas.openxmlformats.org/officeDocument/2006/relationships/hyperlink" Target="https://drive.google.com/file/d/1Ob-4-gZKcKpn40JgQFV6ahm3wQELzOIJ/view?usp=drivesdk" TargetMode="External"/><Relationship Id="rId957" Type="http://schemas.openxmlformats.org/officeDocument/2006/relationships/hyperlink" Target="https://drive.google.com/file/d/1yaoaxHm_WrJpqrRGzfNMcyp2D2NXXdNx/view?usp=drivesdk" TargetMode="External"/><Relationship Id="rId956" Type="http://schemas.openxmlformats.org/officeDocument/2006/relationships/hyperlink" Target="https://drive.google.com/file/d/1p22q9qC8oNUusWg9UJsH-MwOpjuTTej7/view?usp=drivesdk" TargetMode="External"/><Relationship Id="rId955" Type="http://schemas.openxmlformats.org/officeDocument/2006/relationships/hyperlink" Target="https://drive.google.com/file/d/1iX6UU0wQfrcuTT0iA3sLjNNawRq2uQdG/view?usp=drivesdk" TargetMode="External"/><Relationship Id="rId950" Type="http://schemas.openxmlformats.org/officeDocument/2006/relationships/hyperlink" Target="https://drive.google.com/file/d/1A6rPeh6qAIVACQV9ufe6_0vBmBZrJxg4/view?usp=drivesdk" TargetMode="External"/><Relationship Id="rId1540" Type="http://schemas.openxmlformats.org/officeDocument/2006/relationships/hyperlink" Target="https://drive.google.com/file/d/1oRww_4bSgBFUKOxtLhi_RiDbuGqexyNl/view?usp=drivesdk" TargetMode="External"/><Relationship Id="rId1541" Type="http://schemas.openxmlformats.org/officeDocument/2006/relationships/hyperlink" Target="https://drive.google.com/file/d/1q3koaFgjiOSksAsuGF7oocEUtuXC23bc/view?usp=drivesdk" TargetMode="External"/><Relationship Id="rId1542" Type="http://schemas.openxmlformats.org/officeDocument/2006/relationships/hyperlink" Target="https://drive.google.com/file/d/1obZ2mY1XExNw5sManQ53deUIHdGwE5_S/view?usp=drivesdk" TargetMode="External"/><Relationship Id="rId2027" Type="http://schemas.openxmlformats.org/officeDocument/2006/relationships/hyperlink" Target="https://drive.google.com/file/d/1AinKn-1OEG8ojzofUAuCV8gROx6vjy2S/view?usp=drivesdk" TargetMode="External"/><Relationship Id="rId2028" Type="http://schemas.openxmlformats.org/officeDocument/2006/relationships/hyperlink" Target="https://drive.google.com/file/d/1DEiHiI2Q_vkgSrWKHi9zSbK-4xPBzfch/view?usp=drivesdk" TargetMode="External"/><Relationship Id="rId2029" Type="http://schemas.openxmlformats.org/officeDocument/2006/relationships/hyperlink" Target="https://drive.google.com/file/d/1reuytiCV1SgH9tctlZyLBIrE2c-3F6rq/view?usp=drivesdk" TargetMode="External"/><Relationship Id="rId590" Type="http://schemas.openxmlformats.org/officeDocument/2006/relationships/hyperlink" Target="https://drive.google.com/file/d/1aDgqy3JqXV-MWfCooe3HMsKg9STNDWxi/view?usp=drivesdk" TargetMode="External"/><Relationship Id="rId107" Type="http://schemas.openxmlformats.org/officeDocument/2006/relationships/hyperlink" Target="https://drive.google.com/file/d/1MRUIJ2rgwaucO2pu_JYUyMNc10ZBIgYQ/view?usp=drivesdk" TargetMode="External"/><Relationship Id="rId106" Type="http://schemas.openxmlformats.org/officeDocument/2006/relationships/hyperlink" Target="https://drive.google.com/file/d/1yMQlUxE6htjvR9cMeNQmLXQsUXltjcIu/view?usp=drivesdk" TargetMode="External"/><Relationship Id="rId105" Type="http://schemas.openxmlformats.org/officeDocument/2006/relationships/hyperlink" Target="https://drive.google.com/file/d/15_uD6gKzss9m9oKupgC9ZLD-5zAx4I1J/view?usp=drivesdk" TargetMode="External"/><Relationship Id="rId589" Type="http://schemas.openxmlformats.org/officeDocument/2006/relationships/hyperlink" Target="https://drive.google.com/file/d/1n18obAtMBITGEKlLAlBI3IrBUOr52Ugx/view?usp=drivesdk" TargetMode="External"/><Relationship Id="rId104" Type="http://schemas.openxmlformats.org/officeDocument/2006/relationships/hyperlink" Target="https://drive.google.com/file/d/1BGyVMU7M_2FD5s-UF-avkkZLro6IG1bh/view?usp=drivesdk" TargetMode="External"/><Relationship Id="rId588" Type="http://schemas.openxmlformats.org/officeDocument/2006/relationships/hyperlink" Target="https://drive.google.com/file/d/1iiZc9tO5J64HDlyA3FeZaZl0nQMjvv3Q/view?usp=drivesdk" TargetMode="External"/><Relationship Id="rId109" Type="http://schemas.openxmlformats.org/officeDocument/2006/relationships/hyperlink" Target="https://drive.google.com/file/d/1o1-ou1Epbx3UpvCpelSXBCWPzZUwxJYy/view?usp=drivesdk" TargetMode="External"/><Relationship Id="rId1170" Type="http://schemas.openxmlformats.org/officeDocument/2006/relationships/hyperlink" Target="https://drive.google.com/file/d/156lV4pLDK0RS0u_87dbRCfXFk4J4JON8/view?usp=drivesdk" TargetMode="External"/><Relationship Id="rId108" Type="http://schemas.openxmlformats.org/officeDocument/2006/relationships/hyperlink" Target="https://drive.google.com/file/d/1S_-Ssn9h6mOM45xnr4Hoa7YY1CDWTyIw/view?usp=drivesdk" TargetMode="External"/><Relationship Id="rId1171" Type="http://schemas.openxmlformats.org/officeDocument/2006/relationships/hyperlink" Target="https://drive.google.com/file/d/1aXJU4D_xx3B4e7jy0G8qTmpKcEBZSsOK/view?usp=drivesdk" TargetMode="External"/><Relationship Id="rId583" Type="http://schemas.openxmlformats.org/officeDocument/2006/relationships/hyperlink" Target="https://drive.google.com/file/d/1bitttRYlqd1FkpQgYJ7cXbiZ8CP-OwLA/view?usp=drivesdk" TargetMode="External"/><Relationship Id="rId1172" Type="http://schemas.openxmlformats.org/officeDocument/2006/relationships/hyperlink" Target="https://drive.google.com/file/d/1Xj7xoCQUwOt5Hi7NUUi_Q1Z-pzmy-ewu/view?usp=drivesdk" TargetMode="External"/><Relationship Id="rId582" Type="http://schemas.openxmlformats.org/officeDocument/2006/relationships/hyperlink" Target="https://drive.google.com/file/d/1fFceZOznvN5xiOoKvM4OBBitL329eSg7/view?usp=drivesdk" TargetMode="External"/><Relationship Id="rId1173" Type="http://schemas.openxmlformats.org/officeDocument/2006/relationships/hyperlink" Target="https://drive.google.com/file/d/122WlWH8XyK1QIPoKMVQBOMZ65nJoHIZL/view?usp=drivesdk" TargetMode="External"/><Relationship Id="rId2020" Type="http://schemas.openxmlformats.org/officeDocument/2006/relationships/hyperlink" Target="https://drive.google.com/file/d/1pnwiuCEca1WPKdpSKxcXalSPLG8LSWOP/view?usp=drivesdk" TargetMode="External"/><Relationship Id="rId581" Type="http://schemas.openxmlformats.org/officeDocument/2006/relationships/hyperlink" Target="https://drive.google.com/file/d/181fdpq1pv0Ffp8_4lRaeiBE-sr-LcHN7/view?usp=drivesdk" TargetMode="External"/><Relationship Id="rId1174" Type="http://schemas.openxmlformats.org/officeDocument/2006/relationships/hyperlink" Target="https://drive.google.com/file/d/1bcW2DJHZhDF1NhyWQMZ3hpXfEQE4a3T5/view?usp=drivesdk" TargetMode="External"/><Relationship Id="rId2021" Type="http://schemas.openxmlformats.org/officeDocument/2006/relationships/hyperlink" Target="https://drive.google.com/file/d/1sbjYZN6Sx0WTruSoTwye3F10hqtJdJyz/view?usp=drivesdk" TargetMode="External"/><Relationship Id="rId580" Type="http://schemas.openxmlformats.org/officeDocument/2006/relationships/hyperlink" Target="https://drive.google.com/file/d/1mSAMMzUQDi8MldlnqkAXJsuNjP0J1AJK/view?usp=drivesdk" TargetMode="External"/><Relationship Id="rId1175" Type="http://schemas.openxmlformats.org/officeDocument/2006/relationships/hyperlink" Target="https://drive.google.com/file/d/1yTOp8ydOEBBGorvke631xSQs9fURdCmg/view?usp=drivesdk" TargetMode="External"/><Relationship Id="rId2022" Type="http://schemas.openxmlformats.org/officeDocument/2006/relationships/hyperlink" Target="https://drive.google.com/file/d/1IFqCpronHZ8XUlLuE1QlwF9IrvJT2Rri/view?usp=drivesdk" TargetMode="External"/><Relationship Id="rId103" Type="http://schemas.openxmlformats.org/officeDocument/2006/relationships/hyperlink" Target="https://drive.google.com/file/d/1IKCSNsIxR7no3QSD3v7pvi5ly6jxlFCl/view?usp=drivesdk" TargetMode="External"/><Relationship Id="rId587" Type="http://schemas.openxmlformats.org/officeDocument/2006/relationships/hyperlink" Target="https://drive.google.com/file/d/1Yb2qY13jQqEPqZSMxZJfwxvIqORtLCfw/view?usp=drivesdk" TargetMode="External"/><Relationship Id="rId1176" Type="http://schemas.openxmlformats.org/officeDocument/2006/relationships/hyperlink" Target="https://drive.google.com/file/d/178FdwCsiGaCLtKCQWN0AHaky1dQo-Gnt/view?usp=drivesdk" TargetMode="External"/><Relationship Id="rId2023" Type="http://schemas.openxmlformats.org/officeDocument/2006/relationships/hyperlink" Target="https://drive.google.com/file/d/1ABBiuaVOU46xpkvzLQfmqmz8VzzFsZVb/view?usp=drivesdk" TargetMode="External"/><Relationship Id="rId102" Type="http://schemas.openxmlformats.org/officeDocument/2006/relationships/hyperlink" Target="https://drive.google.com/file/d/181Y1qrVeeAFG5qsO5w6Rc6TllichHOCa/view?usp=drivesdk" TargetMode="External"/><Relationship Id="rId586" Type="http://schemas.openxmlformats.org/officeDocument/2006/relationships/hyperlink" Target="https://drive.google.com/file/d/1Z2ar40dlXsp3EYzZ3fMwicLC2wo_025j/view?usp=drivesdk" TargetMode="External"/><Relationship Id="rId1177" Type="http://schemas.openxmlformats.org/officeDocument/2006/relationships/hyperlink" Target="https://drive.google.com/file/d/1DHQweOlsj3fZB48si45A8DRyDk8b3Uuq/view?usp=drivesdk" TargetMode="External"/><Relationship Id="rId2024" Type="http://schemas.openxmlformats.org/officeDocument/2006/relationships/hyperlink" Target="https://drive.google.com/file/d/17tlShlaSQbLwzntlUSl0-dBIDkBAZQko/view?usp=drivesdk" TargetMode="External"/><Relationship Id="rId101" Type="http://schemas.openxmlformats.org/officeDocument/2006/relationships/hyperlink" Target="https://drive.google.com/file/d/1dj_md34MLEWEVYrb7JyFNIvvOHOZpvFX/view?usp=drivesdk" TargetMode="External"/><Relationship Id="rId585" Type="http://schemas.openxmlformats.org/officeDocument/2006/relationships/hyperlink" Target="https://drive.google.com/file/d/1tI-DwygJihvNcvhqUewDxTfwAEE7bKVn/view?usp=drivesdk" TargetMode="External"/><Relationship Id="rId1178" Type="http://schemas.openxmlformats.org/officeDocument/2006/relationships/hyperlink" Target="https://drive.google.com/file/d/19aRaz8QG5iFokIbT9yK-yDizGU839Inw/view?usp=drivesdk" TargetMode="External"/><Relationship Id="rId2025" Type="http://schemas.openxmlformats.org/officeDocument/2006/relationships/hyperlink" Target="https://drive.google.com/file/d/1QnkG225gc6tPTXZc9EvpfL9V7m8SGSVf/view?usp=drivesdk" TargetMode="External"/><Relationship Id="rId100" Type="http://schemas.openxmlformats.org/officeDocument/2006/relationships/hyperlink" Target="https://drive.google.com/file/d/1nlg5_9NXgVMIwxMikxLVN8taEP5Zvrw9/view?usp=drivesdk" TargetMode="External"/><Relationship Id="rId584" Type="http://schemas.openxmlformats.org/officeDocument/2006/relationships/hyperlink" Target="https://drive.google.com/file/d/1tGPdbu6lmRnOdw2hJdVVW-lHQ6XDsJr5/view?usp=drivesdk" TargetMode="External"/><Relationship Id="rId1179" Type="http://schemas.openxmlformats.org/officeDocument/2006/relationships/hyperlink" Target="https://drive.google.com/file/d/10Hpm9OBw3dPliswNKjEcsOl0BuBqogfo/view?usp=drivesdk" TargetMode="External"/><Relationship Id="rId2026" Type="http://schemas.openxmlformats.org/officeDocument/2006/relationships/hyperlink" Target="https://drive.google.com/file/d/1yb42zpxkpiGd1-cTu_Jj4zEkcEAEW1Xn/view?usp=drivesdk" TargetMode="External"/><Relationship Id="rId1169" Type="http://schemas.openxmlformats.org/officeDocument/2006/relationships/hyperlink" Target="https://drive.google.com/file/d/1TqQMWvPFVDH6pzTF-iHc-JOOldHhz19J/view?usp=drivesdk" TargetMode="External"/><Relationship Id="rId2016" Type="http://schemas.openxmlformats.org/officeDocument/2006/relationships/hyperlink" Target="https://drive.google.com/file/d/1ztA-RO4M-30v0Kn6otJbVme9KdAY27lX/view?usp=drivesdk" TargetMode="External"/><Relationship Id="rId2017" Type="http://schemas.openxmlformats.org/officeDocument/2006/relationships/hyperlink" Target="https://drive.google.com/file/d/1EiuJQhdpIT8h3IVyR04LYSdH41JVJbSH/view?usp=drivesdk" TargetMode="External"/><Relationship Id="rId2018" Type="http://schemas.openxmlformats.org/officeDocument/2006/relationships/hyperlink" Target="https://drive.google.com/file/d/1d-qvn_7h8obQeygQ4PWZaGrioAG2rZwv/view?usp=drivesdk" TargetMode="External"/><Relationship Id="rId2019" Type="http://schemas.openxmlformats.org/officeDocument/2006/relationships/hyperlink" Target="https://drive.google.com/file/d/1kRVZFBP_FyC9Ew4q0pVGEte4afyEC2mc/view?usp=drivesdk" TargetMode="External"/><Relationship Id="rId579" Type="http://schemas.openxmlformats.org/officeDocument/2006/relationships/hyperlink" Target="https://drive.google.com/file/d/17nZ0iEqEG5ybrMOsJ6CJ1XEGVHobOLfO/view?usp=drivesdk" TargetMode="External"/><Relationship Id="rId578" Type="http://schemas.openxmlformats.org/officeDocument/2006/relationships/hyperlink" Target="https://drive.google.com/file/d/1MBMJhOp3NZsvAeAPbDrJc0ktftyfZ5d4/view?usp=drivesdk" TargetMode="External"/><Relationship Id="rId577" Type="http://schemas.openxmlformats.org/officeDocument/2006/relationships/hyperlink" Target="https://drive.google.com/file/d/1Eo1voIOs8qzsnZ54BTOqgWKD1cnxEgAc/view?usp=drivesdk" TargetMode="External"/><Relationship Id="rId2490" Type="http://schemas.openxmlformats.org/officeDocument/2006/relationships/hyperlink" Target="https://drive.google.com/file/d/1eyYp-Jpkpe4NL87DivJXPtuCbDk1Ch4b/view?usp=drivesdk" TargetMode="External"/><Relationship Id="rId1160" Type="http://schemas.openxmlformats.org/officeDocument/2006/relationships/hyperlink" Target="https://drive.google.com/file/d/1AI_cycI9DwxCaE60sGVUbCa0RAvqhSMz/view?usp=drivesdk" TargetMode="External"/><Relationship Id="rId2491" Type="http://schemas.openxmlformats.org/officeDocument/2006/relationships/hyperlink" Target="https://drive.google.com/file/d/1DDcL6FEq9bJqIaWY_SaeuMFVxF7Nx-Hg/view?usp=drivesdk" TargetMode="External"/><Relationship Id="rId572" Type="http://schemas.openxmlformats.org/officeDocument/2006/relationships/hyperlink" Target="https://drive.google.com/file/d/1m8z7GeMnUgPzFKj4WLANrHWXzIWytN9R/view?usp=drivesdk" TargetMode="External"/><Relationship Id="rId1161" Type="http://schemas.openxmlformats.org/officeDocument/2006/relationships/hyperlink" Target="https://drive.google.com/file/d/1ngZhJ533GKagJWzzRVIT3YIaPGxpoT72/view?usp=drivesdk" TargetMode="External"/><Relationship Id="rId2492" Type="http://schemas.openxmlformats.org/officeDocument/2006/relationships/hyperlink" Target="https://drive.google.com/file/d/1zI_uMUiwuNvmsOUz39MPIcx6tfgbSf87/view?usp=drivesdk" TargetMode="External"/><Relationship Id="rId571" Type="http://schemas.openxmlformats.org/officeDocument/2006/relationships/hyperlink" Target="https://drive.google.com/file/d/1bpW_di1SyeO-n_yVP4otlUZT0vGyFpGq/view?usp=drivesdk" TargetMode="External"/><Relationship Id="rId1162" Type="http://schemas.openxmlformats.org/officeDocument/2006/relationships/hyperlink" Target="https://drive.google.com/file/d/1wV5drUJS0KoGEwgWAXXZYNbCTTV4aL2P/view?usp=drivesdk" TargetMode="External"/><Relationship Id="rId2493" Type="http://schemas.openxmlformats.org/officeDocument/2006/relationships/hyperlink" Target="https://drive.google.com/file/d/1kBYnZLwLVuhZPxonzVN_DJZzp-Ne8snj/view?usp=drivesdk" TargetMode="External"/><Relationship Id="rId570" Type="http://schemas.openxmlformats.org/officeDocument/2006/relationships/hyperlink" Target="https://drive.google.com/file/d/1o51uon_-RI5uqhYF4-B_hh2QxDBqUVp7/view?usp=drivesdk" TargetMode="External"/><Relationship Id="rId1163" Type="http://schemas.openxmlformats.org/officeDocument/2006/relationships/hyperlink" Target="https://drive.google.com/file/d/1-wLIJ2E3dvwWpfkuoSoswpL-ykSlYEQY/view?usp=drivesdk" TargetMode="External"/><Relationship Id="rId2010" Type="http://schemas.openxmlformats.org/officeDocument/2006/relationships/hyperlink" Target="https://drive.google.com/file/d/1D74PaKrL-pgnyJ8JTFQNxV6tgx-XwfHK/view?usp=drivesdk" TargetMode="External"/><Relationship Id="rId2494" Type="http://schemas.openxmlformats.org/officeDocument/2006/relationships/hyperlink" Target="https://drive.google.com/file/d/19yXdE7dQep1UgvyfiT4Uq6nIlE3oTyR_/view?usp=drivesdk" TargetMode="External"/><Relationship Id="rId1164" Type="http://schemas.openxmlformats.org/officeDocument/2006/relationships/hyperlink" Target="https://drive.google.com/file/d/1418wwmRuXyKzpzwS3Nni2KvVIl-bSzEO/view?usp=drivesdk" TargetMode="External"/><Relationship Id="rId2011" Type="http://schemas.openxmlformats.org/officeDocument/2006/relationships/hyperlink" Target="https://drive.google.com/file/d/1LrwLtVnSb2H2nelElLdgzE35vmBJ-bz1/view?usp=drivesdk" TargetMode="External"/><Relationship Id="rId2495" Type="http://schemas.openxmlformats.org/officeDocument/2006/relationships/hyperlink" Target="https://drive.google.com/file/d/1V0EGnHgeVjwczino38r3PLgictb9bVjS/view?usp=drivesdk" TargetMode="External"/><Relationship Id="rId576" Type="http://schemas.openxmlformats.org/officeDocument/2006/relationships/hyperlink" Target="https://drive.google.com/file/d/1sjSz_CrfL9RX4uXkbnaAddXnIv-1CZbe/view?usp=drivesdk" TargetMode="External"/><Relationship Id="rId1165" Type="http://schemas.openxmlformats.org/officeDocument/2006/relationships/hyperlink" Target="https://drive.google.com/file/d/1He89PS1cz4cwW91tcSFq0e419FbbN7eI/view?usp=drivesdk" TargetMode="External"/><Relationship Id="rId2012" Type="http://schemas.openxmlformats.org/officeDocument/2006/relationships/hyperlink" Target="https://drive.google.com/file/d/12vA4fgjByV1FsN1I5a7bMlHrVMmwg13L/view?usp=drivesdk" TargetMode="External"/><Relationship Id="rId2496" Type="http://schemas.openxmlformats.org/officeDocument/2006/relationships/hyperlink" Target="https://drive.google.com/file/d/1FAo9_kzPYjst3fufS--UOmDo4BGoCRkG/view?usp=drivesdk" TargetMode="External"/><Relationship Id="rId575" Type="http://schemas.openxmlformats.org/officeDocument/2006/relationships/hyperlink" Target="https://drive.google.com/file/d/11jYrZhVULuXZ9cXQAsqu8em1IG68-wpd/view?usp=drivesdk" TargetMode="External"/><Relationship Id="rId1166" Type="http://schemas.openxmlformats.org/officeDocument/2006/relationships/hyperlink" Target="https://drive.google.com/file/d/1G4HPCf7aaeg-07CjxOlaiyPOpgwm74sS/view?usp=drivesdk" TargetMode="External"/><Relationship Id="rId2013" Type="http://schemas.openxmlformats.org/officeDocument/2006/relationships/hyperlink" Target="https://drive.google.com/file/d/1YwMCTB6BhoNhnn-LYs3Li_W1CBsluP7c/view?usp=drivesdk" TargetMode="External"/><Relationship Id="rId2497" Type="http://schemas.openxmlformats.org/officeDocument/2006/relationships/hyperlink" Target="https://drive.google.com/file/d/16SYVcEa06pXFi7Oz30eWulDXEEu2MwgT/view?usp=drivesdk" TargetMode="External"/><Relationship Id="rId574" Type="http://schemas.openxmlformats.org/officeDocument/2006/relationships/hyperlink" Target="https://drive.google.com/file/d/1mSoqwMDJgTA5t5Mxsm6kGXOewyqH7Q0e/view?usp=drivesdk" TargetMode="External"/><Relationship Id="rId1167" Type="http://schemas.openxmlformats.org/officeDocument/2006/relationships/hyperlink" Target="https://drive.google.com/file/d/1MP_FGQ9kuE8l9tuqLmp7k8pUf2wIxu6n/view?usp=drivesdk" TargetMode="External"/><Relationship Id="rId2014" Type="http://schemas.openxmlformats.org/officeDocument/2006/relationships/hyperlink" Target="https://drive.google.com/file/d/1wklt-yxyiJfMs4kPVXOXi6xyagIEAdUk/view?usp=drivesdk" TargetMode="External"/><Relationship Id="rId2498" Type="http://schemas.openxmlformats.org/officeDocument/2006/relationships/hyperlink" Target="https://drive.google.com/file/d/1E7xO6PXMGeVwmDF46emBtlzH6UQEStSW/view?usp=drivesdk" TargetMode="External"/><Relationship Id="rId573" Type="http://schemas.openxmlformats.org/officeDocument/2006/relationships/hyperlink" Target="https://drive.google.com/file/d/1yU8cWexmL-ewW01gID72WQDH_o8IAoyH/view?usp=drivesdk" TargetMode="External"/><Relationship Id="rId1168" Type="http://schemas.openxmlformats.org/officeDocument/2006/relationships/hyperlink" Target="https://drive.google.com/file/d/17wuGeCcB37hWjwBaN7ScM974nElfBjW4/view?usp=drivesdk" TargetMode="External"/><Relationship Id="rId2015" Type="http://schemas.openxmlformats.org/officeDocument/2006/relationships/hyperlink" Target="https://drive.google.com/file/d/1_HCd_YHK_vdEKphKdP5Gm--AJklATIhK/view?usp=drivesdk" TargetMode="External"/><Relationship Id="rId2499" Type="http://schemas.openxmlformats.org/officeDocument/2006/relationships/hyperlink" Target="https://drive.google.com/file/d/1_7W_KGq9fPsPOikDD9XV9IY6ucPUXem3/view?usp=drivesdk" TargetMode="External"/><Relationship Id="rId2049" Type="http://schemas.openxmlformats.org/officeDocument/2006/relationships/hyperlink" Target="https://drive.google.com/file/d/1gpNg0ZrSv7PyzihLnqI50DMS5MMk5HB5/view?usp=drivesdk" TargetMode="External"/><Relationship Id="rId129" Type="http://schemas.openxmlformats.org/officeDocument/2006/relationships/hyperlink" Target="https://drive.google.com/file/d/14a0FFzgWwnwBGOP3uHd2nqQFsKvZjZFe/view?usp=drivesdk" TargetMode="External"/><Relationship Id="rId128" Type="http://schemas.openxmlformats.org/officeDocument/2006/relationships/hyperlink" Target="https://drive.google.com/file/d/1pNZGnC1coVMmzSOlT1McNCepjfaT71QB/view?usp=drivesdk" TargetMode="External"/><Relationship Id="rId127" Type="http://schemas.openxmlformats.org/officeDocument/2006/relationships/hyperlink" Target="https://drive.google.com/file/d/1_c8KWUDRFGy7_AyhWzxKIKAujY-FWJoD/view?usp=drivesdk" TargetMode="External"/><Relationship Id="rId126" Type="http://schemas.openxmlformats.org/officeDocument/2006/relationships/hyperlink" Target="https://drive.google.com/file/d/1UeYgEPG6CQLy7Uk98Px8qSv8PqtM3r9L/view?usp=drivesdk" TargetMode="External"/><Relationship Id="rId1190" Type="http://schemas.openxmlformats.org/officeDocument/2006/relationships/hyperlink" Target="https://drive.google.com/file/d/1xO-_V5SwXCXZQjNLCwjBy5eZSzz55GQX/view?usp=drivesdk" TargetMode="External"/><Relationship Id="rId1191" Type="http://schemas.openxmlformats.org/officeDocument/2006/relationships/hyperlink" Target="https://drive.google.com/file/d/1HvsZE66219N8E3Y__Ma1o2cCnRUKLPH0/view?usp=drivesdk" TargetMode="External"/><Relationship Id="rId1192" Type="http://schemas.openxmlformats.org/officeDocument/2006/relationships/hyperlink" Target="https://drive.google.com/file/d/1vxuw8Gd28IdQMy46GpCD0KorOW61Uy9i/view?usp=drivesdk" TargetMode="External"/><Relationship Id="rId1193" Type="http://schemas.openxmlformats.org/officeDocument/2006/relationships/hyperlink" Target="https://drive.google.com/file/d/11X0y5vSXYBN1hU5w92V7aEnPJ4Gc6oI4/view?usp=drivesdk" TargetMode="External"/><Relationship Id="rId2040" Type="http://schemas.openxmlformats.org/officeDocument/2006/relationships/hyperlink" Target="https://drive.google.com/file/d/1zAR3Hl8HO6gyrXVdRR1My_Wk9ETViWQV/view?usp=drivesdk" TargetMode="External"/><Relationship Id="rId121" Type="http://schemas.openxmlformats.org/officeDocument/2006/relationships/hyperlink" Target="https://drive.google.com/file/d/1AW92BaFdzUpzJ3_wsb64mTg0dnkTl3mx/view?usp=drivesdk" TargetMode="External"/><Relationship Id="rId1194" Type="http://schemas.openxmlformats.org/officeDocument/2006/relationships/hyperlink" Target="https://drive.google.com/file/d/1BuSosKPWBbsbXtAIhArZXgaGSbo2fyQP/view?usp=drivesdk" TargetMode="External"/><Relationship Id="rId2041" Type="http://schemas.openxmlformats.org/officeDocument/2006/relationships/hyperlink" Target="https://drive.google.com/file/d/1BIweZ5hl1I3o6RR0BAAxrN_bnPGaqxyg/view?usp=drivesdk" TargetMode="External"/><Relationship Id="rId120" Type="http://schemas.openxmlformats.org/officeDocument/2006/relationships/hyperlink" Target="https://drive.google.com/file/d/1COY1hD2D0PdRFApeQoWD7ylmxP9g3bp0/view?usp=drivesdk" TargetMode="External"/><Relationship Id="rId1195" Type="http://schemas.openxmlformats.org/officeDocument/2006/relationships/hyperlink" Target="https://drive.google.com/file/d/1Tzedx9WfPxipboTG6_QTn3e9OHUn1q20/view?usp=drivesdk" TargetMode="External"/><Relationship Id="rId2042" Type="http://schemas.openxmlformats.org/officeDocument/2006/relationships/hyperlink" Target="https://drive.google.com/file/d/1EREIayYeg27Wb2VTXf8P7Y-8y-1MQesh/view?usp=drivesdk" TargetMode="External"/><Relationship Id="rId1196" Type="http://schemas.openxmlformats.org/officeDocument/2006/relationships/hyperlink" Target="https://drive.google.com/file/d/1UF2acjFo9Cdzpgqfgsy-GKr8gFOOdT0B/view?usp=drivesdk" TargetMode="External"/><Relationship Id="rId2043" Type="http://schemas.openxmlformats.org/officeDocument/2006/relationships/hyperlink" Target="https://drive.google.com/file/d/17YdKZdUfBKkbP4ouGfq9nUenm7tvveW4/view?usp=drivesdk" TargetMode="External"/><Relationship Id="rId1197" Type="http://schemas.openxmlformats.org/officeDocument/2006/relationships/hyperlink" Target="https://drive.google.com/file/d/1Gq7p-B9tKMQZ3_bgR6-GzYqozfXAWRhx/view?usp=drivesdk" TargetMode="External"/><Relationship Id="rId2044" Type="http://schemas.openxmlformats.org/officeDocument/2006/relationships/hyperlink" Target="https://drive.google.com/file/d/1RxkpQUEwhxwOfA4GB0Ah9F9pdv3JKTlj/view?usp=drivesdk" TargetMode="External"/><Relationship Id="rId125" Type="http://schemas.openxmlformats.org/officeDocument/2006/relationships/hyperlink" Target="https://drive.google.com/file/d/1sFiMIg-7Ypor805VzGrzqRf9hQrQb-Hb/view?usp=drivesdk" TargetMode="External"/><Relationship Id="rId1198" Type="http://schemas.openxmlformats.org/officeDocument/2006/relationships/hyperlink" Target="https://drive.google.com/file/d/1FXVIs6grWP8-0w-sE_ijG31Z7jmcWfv2/view?usp=drivesdk" TargetMode="External"/><Relationship Id="rId2045" Type="http://schemas.openxmlformats.org/officeDocument/2006/relationships/hyperlink" Target="https://drive.google.com/file/d/1M82YrPb5C8Nv2b--R68SXmnBYup-_fyK/view?usp=drivesdk" TargetMode="External"/><Relationship Id="rId124" Type="http://schemas.openxmlformats.org/officeDocument/2006/relationships/hyperlink" Target="https://drive.google.com/file/d/1EgfeIX2bbDQoKNBYzZI_x0tEWA8nbAlX/view?usp=drivesdk" TargetMode="External"/><Relationship Id="rId1199" Type="http://schemas.openxmlformats.org/officeDocument/2006/relationships/hyperlink" Target="https://drive.google.com/file/d/1hM8Sq6oONCk588yfEWOklLbvS5qrZcMI/view?usp=drivesdk" TargetMode="External"/><Relationship Id="rId2046" Type="http://schemas.openxmlformats.org/officeDocument/2006/relationships/hyperlink" Target="https://drive.google.com/file/d/1Hd8YrJv4sUX93W9MHVVtPJeIfmktrWTZ/view?usp=drivesdk" TargetMode="External"/><Relationship Id="rId123" Type="http://schemas.openxmlformats.org/officeDocument/2006/relationships/hyperlink" Target="https://drive.google.com/file/d/1n-pJGkgx-qGueHCKzMjPwWwuCWLHQFoK/view?usp=drivesdk" TargetMode="External"/><Relationship Id="rId2047" Type="http://schemas.openxmlformats.org/officeDocument/2006/relationships/hyperlink" Target="https://drive.google.com/file/d/1tdY1EeABc0qsF4JaMgplXY3JgEYGuhAF/view?usp=drivesdk" TargetMode="External"/><Relationship Id="rId122" Type="http://schemas.openxmlformats.org/officeDocument/2006/relationships/hyperlink" Target="https://drive.google.com/file/d/1s8Hi7ED4NCL6BlgwmKNZr9VWqoexMPC7/view?usp=drivesdk" TargetMode="External"/><Relationship Id="rId2048" Type="http://schemas.openxmlformats.org/officeDocument/2006/relationships/hyperlink" Target="https://drive.google.com/file/d/1jqu8JJXq6cNDCe-hRjoQN-A5Zp8RkfCz/view?usp=drivesdk" TargetMode="External"/><Relationship Id="rId2038" Type="http://schemas.openxmlformats.org/officeDocument/2006/relationships/hyperlink" Target="https://drive.google.com/file/d/1eoWzHh5-QR7NRcUAdOUcc4hjjGoDE7qG/view?usp=drivesdk" TargetMode="External"/><Relationship Id="rId2039" Type="http://schemas.openxmlformats.org/officeDocument/2006/relationships/hyperlink" Target="https://drive.google.com/file/d/1hjnWmkcZS2LNhPv0BFWWPW_uA1aqmb5B/view?usp=drivesdk" TargetMode="External"/><Relationship Id="rId118" Type="http://schemas.openxmlformats.org/officeDocument/2006/relationships/hyperlink" Target="https://drive.google.com/file/d/1Qqykso9ICNesOXRzCvfBRWyO5HcIxpka/view?usp=drivesdk" TargetMode="External"/><Relationship Id="rId117" Type="http://schemas.openxmlformats.org/officeDocument/2006/relationships/hyperlink" Target="https://drive.google.com/file/d/1uvXv_WQIC2HrSnieAhVhC8Mt8bSEvPCH/view?usp=drivesdk" TargetMode="External"/><Relationship Id="rId116" Type="http://schemas.openxmlformats.org/officeDocument/2006/relationships/hyperlink" Target="https://drive.google.com/file/d/1oc5egDGN8452sGPTkNBDy6nva4mn_qmN/view?usp=drivesdk" TargetMode="External"/><Relationship Id="rId115" Type="http://schemas.openxmlformats.org/officeDocument/2006/relationships/hyperlink" Target="https://drive.google.com/file/d/1P3hWwRdKrR5N-uxRlYXU1ZI0-6tWAfYU/view?usp=drivesdk" TargetMode="External"/><Relationship Id="rId599" Type="http://schemas.openxmlformats.org/officeDocument/2006/relationships/hyperlink" Target="https://drive.google.com/file/d/144E27SzGOPyHyoozjF2QpXskibt5Po8F/view?usp=drivesdk" TargetMode="External"/><Relationship Id="rId1180" Type="http://schemas.openxmlformats.org/officeDocument/2006/relationships/hyperlink" Target="https://drive.google.com/file/d/1aAOx8wv5n2CMyCGMLIbec9Ug29HDMhpx/view?usp=drivesdk" TargetMode="External"/><Relationship Id="rId1181" Type="http://schemas.openxmlformats.org/officeDocument/2006/relationships/hyperlink" Target="https://drive.google.com/file/d/1_pVjHf74cpMj-2ifQY9ogs-Dp-p5Op__/view?usp=drivesdk" TargetMode="External"/><Relationship Id="rId119" Type="http://schemas.openxmlformats.org/officeDocument/2006/relationships/hyperlink" Target="https://drive.google.com/file/d/14KFYpdhId9RDr2u9Ka7twyoKlUCh85tE/view?usp=drivesdk" TargetMode="External"/><Relationship Id="rId1182" Type="http://schemas.openxmlformats.org/officeDocument/2006/relationships/hyperlink" Target="https://drive.google.com/file/d/1oTeMYkM2cD9nqdgYDQ2jfIbhtIfMOlFS/view?usp=drivesdk" TargetMode="External"/><Relationship Id="rId110" Type="http://schemas.openxmlformats.org/officeDocument/2006/relationships/hyperlink" Target="https://drive.google.com/file/d/1wLaaXF50CDuaGMx3AxbCGI9OiAootFU-/view?usp=drivesdk" TargetMode="External"/><Relationship Id="rId594" Type="http://schemas.openxmlformats.org/officeDocument/2006/relationships/hyperlink" Target="https://drive.google.com/file/d/13j5zgEuGAwSq4VB4IjdkZI1CWAnf8EgL/view?usp=drivesdk" TargetMode="External"/><Relationship Id="rId1183" Type="http://schemas.openxmlformats.org/officeDocument/2006/relationships/hyperlink" Target="https://drive.google.com/file/d/1mguz2TRUvuYWqYpZdXToB967YrjRpenZ/view?usp=drivesdk" TargetMode="External"/><Relationship Id="rId2030" Type="http://schemas.openxmlformats.org/officeDocument/2006/relationships/hyperlink" Target="https://drive.google.com/file/d/14dgm0MBu9VABYuKO7B4qYNywLaIX_o8d/view?usp=drivesdk" TargetMode="External"/><Relationship Id="rId593" Type="http://schemas.openxmlformats.org/officeDocument/2006/relationships/hyperlink" Target="https://drive.google.com/file/d/19AYHSd6MBiONNRdAcSXgBlK7VZ9RvsZr/view?usp=drivesdk" TargetMode="External"/><Relationship Id="rId1184" Type="http://schemas.openxmlformats.org/officeDocument/2006/relationships/hyperlink" Target="https://drive.google.com/file/d/1yRocFFfBU3vFiUNfjbmgiA9k5SB_dSkN/view?usp=drivesdk" TargetMode="External"/><Relationship Id="rId2031" Type="http://schemas.openxmlformats.org/officeDocument/2006/relationships/hyperlink" Target="https://drive.google.com/file/d/1nppd9RCtlTnY_LBC7td9qSEdJZF0gud0/view?usp=drivesdk" TargetMode="External"/><Relationship Id="rId592" Type="http://schemas.openxmlformats.org/officeDocument/2006/relationships/hyperlink" Target="https://drive.google.com/file/d/1dBSJ4wrRt0DO_huCpHoyZ8JnraFABU2u/view?usp=drivesdk" TargetMode="External"/><Relationship Id="rId1185" Type="http://schemas.openxmlformats.org/officeDocument/2006/relationships/hyperlink" Target="https://drive.google.com/file/d/1RTix3RA9BX-zkN-gr-5PMcr9o_WaGTjj/view?usp=drivesdk" TargetMode="External"/><Relationship Id="rId2032" Type="http://schemas.openxmlformats.org/officeDocument/2006/relationships/hyperlink" Target="https://drive.google.com/file/d/1yLJqT7NAdG0Tl4XhjB4-EVxnWDW4CUw4/view?usp=drivesdk" TargetMode="External"/><Relationship Id="rId591" Type="http://schemas.openxmlformats.org/officeDocument/2006/relationships/hyperlink" Target="https://drive.google.com/file/d/1ijL_oN5fBXlgvY1qFQFh9w_lB0V-79Fo/view?usp=drivesdk" TargetMode="External"/><Relationship Id="rId1186" Type="http://schemas.openxmlformats.org/officeDocument/2006/relationships/hyperlink" Target="https://drive.google.com/file/d/1fsWjWMBtWgHyrptjd3wzj-TS9OKa3kXN/view?usp=drivesdk" TargetMode="External"/><Relationship Id="rId2033" Type="http://schemas.openxmlformats.org/officeDocument/2006/relationships/hyperlink" Target="https://drive.google.com/file/d/1n8Ik4P7a6kF_2_pFYbVY5KYQERxFJ8bM/view?usp=drivesdk" TargetMode="External"/><Relationship Id="rId114" Type="http://schemas.openxmlformats.org/officeDocument/2006/relationships/hyperlink" Target="https://drive.google.com/file/d/14HiKo7VirGP2AadR2qetSRhEOOfekTHc/view?usp=drivesdk" TargetMode="External"/><Relationship Id="rId598" Type="http://schemas.openxmlformats.org/officeDocument/2006/relationships/hyperlink" Target="https://drive.google.com/file/d/1KeURTvC8wPUyGcynbC5EcZfJd35UHT-N/view?usp=drivesdk" TargetMode="External"/><Relationship Id="rId1187" Type="http://schemas.openxmlformats.org/officeDocument/2006/relationships/hyperlink" Target="https://drive.google.com/file/d/1Hu0dvG9F0GUZXP86FsSI8YWNGAP83858/view?usp=drivesdk" TargetMode="External"/><Relationship Id="rId2034" Type="http://schemas.openxmlformats.org/officeDocument/2006/relationships/hyperlink" Target="https://drive.google.com/file/d/1r9Vy-zrx08Ehv9soJJiOpnVytffozVvU/view?usp=drivesdk" TargetMode="External"/><Relationship Id="rId113" Type="http://schemas.openxmlformats.org/officeDocument/2006/relationships/hyperlink" Target="https://drive.google.com/file/d/1MtUquAnerEm5HnvqQPreKrKhowa2fyxb/view?usp=drivesdk" TargetMode="External"/><Relationship Id="rId597" Type="http://schemas.openxmlformats.org/officeDocument/2006/relationships/hyperlink" Target="https://drive.google.com/file/d/1Eqm3AJf3aZp4YqIWwHWzopaSd9ab75Ql/view?usp=drivesdk" TargetMode="External"/><Relationship Id="rId1188" Type="http://schemas.openxmlformats.org/officeDocument/2006/relationships/hyperlink" Target="https://drive.google.com/file/d/1gpwi0CwFH2vosIceidokNuErk7Tz1C5j/view?usp=drivesdk" TargetMode="External"/><Relationship Id="rId2035" Type="http://schemas.openxmlformats.org/officeDocument/2006/relationships/hyperlink" Target="https://drive.google.com/file/d/1967JXg4bSHmlpYmj-_cWNPpzn-mVtjjw/view?usp=drivesdk" TargetMode="External"/><Relationship Id="rId112" Type="http://schemas.openxmlformats.org/officeDocument/2006/relationships/hyperlink" Target="https://drive.google.com/file/d/1Nq9TE61D7OD3tV-_Ztptsn0mN9paPS4r/view?usp=drivesdk" TargetMode="External"/><Relationship Id="rId596" Type="http://schemas.openxmlformats.org/officeDocument/2006/relationships/hyperlink" Target="https://drive.google.com/file/d/1Ca53Ii18p6QT5jVBR27O__AaMn09-61j/view?usp=drivesdk" TargetMode="External"/><Relationship Id="rId1189" Type="http://schemas.openxmlformats.org/officeDocument/2006/relationships/hyperlink" Target="https://drive.google.com/file/d/1eTUhITFdZ-z5jK_zV6o1SKgcWOaF8IJL/view?usp=drivesdk" TargetMode="External"/><Relationship Id="rId2036" Type="http://schemas.openxmlformats.org/officeDocument/2006/relationships/hyperlink" Target="https://drive.google.com/file/d/1NB6e_UUErJ4bk0j5RcwMbPbjqa7aX2SC/view?usp=drivesdk" TargetMode="External"/><Relationship Id="rId111" Type="http://schemas.openxmlformats.org/officeDocument/2006/relationships/hyperlink" Target="https://drive.google.com/file/d/1JOQvrZ8f1gIw6USdXeyglFwWheSXIpkQ/view?usp=drivesdk" TargetMode="External"/><Relationship Id="rId595" Type="http://schemas.openxmlformats.org/officeDocument/2006/relationships/hyperlink" Target="https://drive.google.com/file/d/1J0F4q9Emkm8grsU8AIUYMrPLZLCkc-mT/view?usp=drivesdk" TargetMode="External"/><Relationship Id="rId2037" Type="http://schemas.openxmlformats.org/officeDocument/2006/relationships/hyperlink" Target="https://drive.google.com/file/d/1gcnqtKtFfy87bviRvMYyfYpOr7jcvjN8/view?usp=drivesdk" TargetMode="External"/><Relationship Id="rId1136" Type="http://schemas.openxmlformats.org/officeDocument/2006/relationships/hyperlink" Target="https://drive.google.com/file/d/1jRG-4yDg_rr4CHS_kr2k6AGAgKekfMUt/view?usp=drivesdk" TargetMode="External"/><Relationship Id="rId2467" Type="http://schemas.openxmlformats.org/officeDocument/2006/relationships/hyperlink" Target="https://drive.google.com/file/d/1dHd2iLCtxlsRk_liZJeEdKNPiqY01-3j/view?usp=drivesdk" TargetMode="External"/><Relationship Id="rId1137" Type="http://schemas.openxmlformats.org/officeDocument/2006/relationships/hyperlink" Target="https://drive.google.com/file/d/1Q7cVIAXyWP2un7x1zze3KuHsNiSS5sKt/view?usp=drivesdk" TargetMode="External"/><Relationship Id="rId2468" Type="http://schemas.openxmlformats.org/officeDocument/2006/relationships/hyperlink" Target="https://drive.google.com/file/d/1FhC-pP7yOBANiZ0yGngCNLQW3mbnZm8i/view?usp=drivesdk" TargetMode="External"/><Relationship Id="rId1138" Type="http://schemas.openxmlformats.org/officeDocument/2006/relationships/hyperlink" Target="https://drive.google.com/file/d/1k65pS7MIvoUhD3D4TtsP14QaPczpzPEQ/view?usp=drivesdk" TargetMode="External"/><Relationship Id="rId2469" Type="http://schemas.openxmlformats.org/officeDocument/2006/relationships/hyperlink" Target="https://drive.google.com/file/d/1UPtaEEix_xhi8ZfHuUaHS_OLp580hCn_/view?usp=drivesdk" TargetMode="External"/><Relationship Id="rId1139" Type="http://schemas.openxmlformats.org/officeDocument/2006/relationships/hyperlink" Target="https://drive.google.com/file/d/1FSbmPt4_xdWypY4CoQN2onRnDKDZ6Khw/view?usp=drivesdk" TargetMode="External"/><Relationship Id="rId547" Type="http://schemas.openxmlformats.org/officeDocument/2006/relationships/hyperlink" Target="https://drive.google.com/file/d/1oQFV8WDP7GAkyVLZDEajXxm1nZ_FddEg/view?usp=drivesdk" TargetMode="External"/><Relationship Id="rId546" Type="http://schemas.openxmlformats.org/officeDocument/2006/relationships/hyperlink" Target="https://drive.google.com/file/d/1UMSFk4brK4RRxLdhvUJ_NvI6eiDba4Qn/view?usp=drivesdk" TargetMode="External"/><Relationship Id="rId545" Type="http://schemas.openxmlformats.org/officeDocument/2006/relationships/hyperlink" Target="https://drive.google.com/file/d/1jHSMhdSOKV4buKUlRkO15GhElJ4Sy-Gz/view?usp=drivesdk" TargetMode="External"/><Relationship Id="rId544" Type="http://schemas.openxmlformats.org/officeDocument/2006/relationships/hyperlink" Target="https://drive.google.com/file/d/1zb9_ryLsAdoQSOjF2Pa6z7ieBrjPc72z/view?usp=drivesdk" TargetMode="External"/><Relationship Id="rId549" Type="http://schemas.openxmlformats.org/officeDocument/2006/relationships/hyperlink" Target="https://drive.google.com/file/d/1UPdEKwYhRvprJtQR53UHUD73J62iR7o0/view?usp=drivesdk" TargetMode="External"/><Relationship Id="rId548" Type="http://schemas.openxmlformats.org/officeDocument/2006/relationships/hyperlink" Target="https://drive.google.com/file/d/1kLK1m5C2AtqOVmeLvJltisOLiuJrDYE8/view?usp=drivesdk" TargetMode="External"/><Relationship Id="rId2460" Type="http://schemas.openxmlformats.org/officeDocument/2006/relationships/hyperlink" Target="https://drive.google.com/file/d/15M18YPELYvhdNIXEOR4bXhVLNolqsJaX/view?usp=drivesdk" TargetMode="External"/><Relationship Id="rId1130" Type="http://schemas.openxmlformats.org/officeDocument/2006/relationships/hyperlink" Target="https://drive.google.com/file/d/1VVSwxb32eFRE-EeVmve1_p2WIlfweTpr/view?usp=drivesdk" TargetMode="External"/><Relationship Id="rId2461" Type="http://schemas.openxmlformats.org/officeDocument/2006/relationships/hyperlink" Target="https://drive.google.com/file/d/1sY0vExYAWRUYTqyb7hiZcVbyX3wC9kEt/view?usp=drivesdk" TargetMode="External"/><Relationship Id="rId1131" Type="http://schemas.openxmlformats.org/officeDocument/2006/relationships/hyperlink" Target="https://drive.google.com/file/d/1f6tx0upiENZ6H4SJuwKMNR_TTIpCAHOH/view?usp=drivesdk" TargetMode="External"/><Relationship Id="rId2462" Type="http://schemas.openxmlformats.org/officeDocument/2006/relationships/hyperlink" Target="https://drive.google.com/file/d/1FDpFxjHAz6F6iX4Tf3InRGwWwSaPQ8Z3/view?usp=drivesdk" TargetMode="External"/><Relationship Id="rId543" Type="http://schemas.openxmlformats.org/officeDocument/2006/relationships/hyperlink" Target="https://drive.google.com/file/d/1KrwmWNp6m6j-JBIQowwAv7oddvY4LpxH/view?usp=drivesdk" TargetMode="External"/><Relationship Id="rId1132" Type="http://schemas.openxmlformats.org/officeDocument/2006/relationships/hyperlink" Target="https://drive.google.com/file/d/1v11RmTyQSIvHPw2yEXpHP4U_m5zNq44N/view?usp=drivesdk" TargetMode="External"/><Relationship Id="rId2463" Type="http://schemas.openxmlformats.org/officeDocument/2006/relationships/hyperlink" Target="https://drive.google.com/file/d/16BNv4nN6zdpI362GxgzVsSQLCsLjW2Ff/view?usp=drivesdk" TargetMode="External"/><Relationship Id="rId542" Type="http://schemas.openxmlformats.org/officeDocument/2006/relationships/hyperlink" Target="https://drive.google.com/file/d/1Fwq063oxPPUA5JQcwD8_6yneCViIAgBj/view?usp=drivesdk" TargetMode="External"/><Relationship Id="rId1133" Type="http://schemas.openxmlformats.org/officeDocument/2006/relationships/hyperlink" Target="https://drive.google.com/file/d/1Y64Cs8oNFaG-0VoECDNDP0VK124Khf0q/view?usp=drivesdk" TargetMode="External"/><Relationship Id="rId2464" Type="http://schemas.openxmlformats.org/officeDocument/2006/relationships/hyperlink" Target="https://drive.google.com/file/d/1g2-zE0tgcBfxRJRv0jFjdsi8_cJnoXW4/view?usp=drivesdk" TargetMode="External"/><Relationship Id="rId541" Type="http://schemas.openxmlformats.org/officeDocument/2006/relationships/hyperlink" Target="https://drive.google.com/file/d/1vcJtbDeXb1WcNveaTAxmkfN_xYEohMlM/view?usp=drivesdk" TargetMode="External"/><Relationship Id="rId1134" Type="http://schemas.openxmlformats.org/officeDocument/2006/relationships/hyperlink" Target="https://drive.google.com/file/d/1ckr5cdO6Vatde81NVinZSO-dH-gvNJmW/view?usp=drivesdk" TargetMode="External"/><Relationship Id="rId2465" Type="http://schemas.openxmlformats.org/officeDocument/2006/relationships/hyperlink" Target="https://drive.google.com/file/d/1SnDCloF7bbnbtyEMV4oMizNu3gu7kjKC/view?usp=drivesdk" TargetMode="External"/><Relationship Id="rId540" Type="http://schemas.openxmlformats.org/officeDocument/2006/relationships/hyperlink" Target="https://drive.google.com/file/d/1lf6oJzMKCXB3JVKsHdmlXPrLpu25nj4G/view?usp=drivesdk" TargetMode="External"/><Relationship Id="rId1135" Type="http://schemas.openxmlformats.org/officeDocument/2006/relationships/hyperlink" Target="https://drive.google.com/file/d/1RpVEhOdq6Au2H_uYAN7Qmp9BrxcCePjw/view?usp=drivesdk" TargetMode="External"/><Relationship Id="rId2466" Type="http://schemas.openxmlformats.org/officeDocument/2006/relationships/hyperlink" Target="https://drive.google.com/file/d/1Uevtq98-SRx74bUDD_E44vaFKK54BoVt/view?usp=drivesdk" TargetMode="External"/><Relationship Id="rId1125" Type="http://schemas.openxmlformats.org/officeDocument/2006/relationships/hyperlink" Target="https://drive.google.com/file/d/1xI0xwe0f-WCIfLXoZYIJeLyTQtFmwULA/view?usp=drivesdk" TargetMode="External"/><Relationship Id="rId2456" Type="http://schemas.openxmlformats.org/officeDocument/2006/relationships/hyperlink" Target="https://drive.google.com/file/d/1KUfoAJ7xslnHLmG7cn20eZoCFQdHnoQD/view?usp=drivesdk" TargetMode="External"/><Relationship Id="rId1126" Type="http://schemas.openxmlformats.org/officeDocument/2006/relationships/hyperlink" Target="https://drive.google.com/file/d/1QNX43jZe0z6LxmYtilmUcawW0JTx7yKQ/view?usp=drivesdk" TargetMode="External"/><Relationship Id="rId2457" Type="http://schemas.openxmlformats.org/officeDocument/2006/relationships/hyperlink" Target="https://drive.google.com/file/d/1P2KMzvFZcrLfkIKZk2e0YWEGe1gjoLd5/view?usp=drivesdk" TargetMode="External"/><Relationship Id="rId1127" Type="http://schemas.openxmlformats.org/officeDocument/2006/relationships/hyperlink" Target="https://drive.google.com/file/d/1lGwhWgctFU5xzDyIhqkbQKIT03_BIvWv/view?usp=drivesdk" TargetMode="External"/><Relationship Id="rId2458" Type="http://schemas.openxmlformats.org/officeDocument/2006/relationships/hyperlink" Target="https://drive.google.com/file/d/1EQD7W3fRxfYZ46nLvu-bGvEd-w58EaH7/view?usp=drivesdk" TargetMode="External"/><Relationship Id="rId1128" Type="http://schemas.openxmlformats.org/officeDocument/2006/relationships/hyperlink" Target="https://drive.google.com/file/d/1CP5AmomHZko1i8eqqpXAXpUgh-zjjdLG/view?usp=drivesdk" TargetMode="External"/><Relationship Id="rId2459" Type="http://schemas.openxmlformats.org/officeDocument/2006/relationships/hyperlink" Target="https://drive.google.com/file/d/1kAoAOmyHJeU2ZxtddNDnqfAtoSHAJ9qa/view?usp=drivesdk" TargetMode="External"/><Relationship Id="rId1129" Type="http://schemas.openxmlformats.org/officeDocument/2006/relationships/hyperlink" Target="https://drive.google.com/file/d/1YCdYgv6h_GzFRcb6_HC4XiYtm_5Zl10K/view?usp=drivesdk" TargetMode="External"/><Relationship Id="rId536" Type="http://schemas.openxmlformats.org/officeDocument/2006/relationships/hyperlink" Target="https://drive.google.com/file/d/1lDx6FMh9EnLmvJHKhUhifjFGNMMUYFFc/view?usp=drivesdk" TargetMode="External"/><Relationship Id="rId535" Type="http://schemas.openxmlformats.org/officeDocument/2006/relationships/hyperlink" Target="https://drive.google.com/file/d/1RMB3TpUjd1Pxplxo9qmUXw01x30D2i5I/view?usp=drivesdk" TargetMode="External"/><Relationship Id="rId534" Type="http://schemas.openxmlformats.org/officeDocument/2006/relationships/hyperlink" Target="https://drive.google.com/file/d/1Tph4tG2zEw2pCq78o6L83XI_Jfw5MAIu/view?usp=drivesdk" TargetMode="External"/><Relationship Id="rId533" Type="http://schemas.openxmlformats.org/officeDocument/2006/relationships/hyperlink" Target="https://drive.google.com/file/d/1iHRFhPmzUhO7VPYPhvQlfkbM_boeQFEa/view?usp=drivesdk" TargetMode="External"/><Relationship Id="rId539" Type="http://schemas.openxmlformats.org/officeDocument/2006/relationships/hyperlink" Target="https://drive.google.com/file/d/1Jzr3QymuMX1UEDPnpfYLRp2S5HWcWcPK/view?usp=drivesdk" TargetMode="External"/><Relationship Id="rId538" Type="http://schemas.openxmlformats.org/officeDocument/2006/relationships/hyperlink" Target="https://drive.google.com/file/d/1oXFT2jEjWcg9_ouRWKPh8UvDAHBUZHiZ/view?usp=drivesdk" TargetMode="External"/><Relationship Id="rId537" Type="http://schemas.openxmlformats.org/officeDocument/2006/relationships/hyperlink" Target="https://drive.google.com/file/d/15kRd3WXKhVX7yQ1idKh0M_YeGmrIR6si/view?usp=drivesdk" TargetMode="External"/><Relationship Id="rId2450" Type="http://schemas.openxmlformats.org/officeDocument/2006/relationships/hyperlink" Target="https://drive.google.com/file/d/1BNUhg6ToBjKeL9xMJK_otueDq8bgvyLr/view?usp=drivesdk" TargetMode="External"/><Relationship Id="rId1120" Type="http://schemas.openxmlformats.org/officeDocument/2006/relationships/hyperlink" Target="https://drive.google.com/file/d/1diI6U6X34yeMJtixg4Jtg0wslCyey0fu/view?usp=drivesdk" TargetMode="External"/><Relationship Id="rId2451" Type="http://schemas.openxmlformats.org/officeDocument/2006/relationships/hyperlink" Target="https://drive.google.com/file/d/1TAsEonTSC6Re5_lOTX0_bWBFO1D357ix/view?usp=drivesdk" TargetMode="External"/><Relationship Id="rId532" Type="http://schemas.openxmlformats.org/officeDocument/2006/relationships/hyperlink" Target="https://drive.google.com/file/d/1vFfhQZ6VNqMohTfnDM8fUm69Pmj_7Svr/view?usp=drivesdk" TargetMode="External"/><Relationship Id="rId1121" Type="http://schemas.openxmlformats.org/officeDocument/2006/relationships/hyperlink" Target="https://drive.google.com/file/d/1yf7iC8NiAimzSzlf2aSTqtuS0hXF_twU/view?usp=drivesdk" TargetMode="External"/><Relationship Id="rId2452" Type="http://schemas.openxmlformats.org/officeDocument/2006/relationships/hyperlink" Target="https://drive.google.com/file/d/1kaTMAYKyUl1sZ7ASZe-d2KaJC3djQjoB/view?usp=drivesdk" TargetMode="External"/><Relationship Id="rId531" Type="http://schemas.openxmlformats.org/officeDocument/2006/relationships/hyperlink" Target="https://drive.google.com/file/d/11Kt_bGy3CnhetKz7QQ_0T-d32Qai7wZU/view?usp=drivesdk" TargetMode="External"/><Relationship Id="rId1122" Type="http://schemas.openxmlformats.org/officeDocument/2006/relationships/hyperlink" Target="https://drive.google.com/file/d/10Y_jyvbM22-tnHj191k6L5dbQdjc4aNt/view?usp=drivesdk" TargetMode="External"/><Relationship Id="rId2453" Type="http://schemas.openxmlformats.org/officeDocument/2006/relationships/hyperlink" Target="https://drive.google.com/file/d/1ZyH1L6xOftK2JuAZggfiikD0YxUCJDD1/view?usp=drivesdk" TargetMode="External"/><Relationship Id="rId530" Type="http://schemas.openxmlformats.org/officeDocument/2006/relationships/hyperlink" Target="https://drive.google.com/file/d/1sinJyNKrk1B3-J7EbG0TiCd5QdrMRVYs/view?usp=drivesdk" TargetMode="External"/><Relationship Id="rId1123" Type="http://schemas.openxmlformats.org/officeDocument/2006/relationships/hyperlink" Target="https://drive.google.com/file/d/128j6D9fBjgSSVcAUtdVT6kDBBm5VBsmb/view?usp=drivesdk" TargetMode="External"/><Relationship Id="rId2454" Type="http://schemas.openxmlformats.org/officeDocument/2006/relationships/hyperlink" Target="https://drive.google.com/file/d/1ADOmLIGI8CCDh7ZdEfIf8sMAma12_dNt/view?usp=drivesdk" TargetMode="External"/><Relationship Id="rId1124" Type="http://schemas.openxmlformats.org/officeDocument/2006/relationships/hyperlink" Target="https://drive.google.com/file/d/1hA_WUd246Ljq-NGwOYSTXjk4H4pOc0J_/view?usp=drivesdk" TargetMode="External"/><Relationship Id="rId2455" Type="http://schemas.openxmlformats.org/officeDocument/2006/relationships/hyperlink" Target="https://drive.google.com/file/d/1lrPJ-cNCxq_2EkF4I3cLO40_GLg4hSJu/view?usp=drivesdk" TargetMode="External"/><Relationship Id="rId1158" Type="http://schemas.openxmlformats.org/officeDocument/2006/relationships/hyperlink" Target="https://drive.google.com/file/d/1EWWcYn6hBcVXkPo_RVW1SJ3uW9BrEL1n/view?usp=drivesdk" TargetMode="External"/><Relationship Id="rId2005" Type="http://schemas.openxmlformats.org/officeDocument/2006/relationships/hyperlink" Target="https://drive.google.com/file/d/1zAOi6fCJkVAuXFQKSnzD4KBGH_TQoFPw/view?usp=drivesdk" TargetMode="External"/><Relationship Id="rId2489" Type="http://schemas.openxmlformats.org/officeDocument/2006/relationships/hyperlink" Target="https://drive.google.com/file/d/1WaoUMoFrWZlk7OwnjwaBwqWYeFbTZKxN/view?usp=drivesdk" TargetMode="External"/><Relationship Id="rId1159" Type="http://schemas.openxmlformats.org/officeDocument/2006/relationships/hyperlink" Target="https://drive.google.com/file/d/12Xu0pPa4r1cSz7V8USqk3uhp-pPfuXb8/view?usp=drivesdk" TargetMode="External"/><Relationship Id="rId2006" Type="http://schemas.openxmlformats.org/officeDocument/2006/relationships/hyperlink" Target="https://drive.google.com/file/d/1GQwUTpHdzhSPwqFopQVSPpHsobFLu7d9/view?usp=drivesdk" TargetMode="External"/><Relationship Id="rId2007" Type="http://schemas.openxmlformats.org/officeDocument/2006/relationships/hyperlink" Target="https://drive.google.com/file/d/1jfVKA8OitOs6cH-4x3lvR41GC4fvOWum/view?usp=drivesdk" TargetMode="External"/><Relationship Id="rId2008" Type="http://schemas.openxmlformats.org/officeDocument/2006/relationships/hyperlink" Target="https://drive.google.com/file/d/1b5BxninfCAx98R7uJs0LIN0EZa9VntKm/view?usp=drivesdk" TargetMode="External"/><Relationship Id="rId2009" Type="http://schemas.openxmlformats.org/officeDocument/2006/relationships/hyperlink" Target="https://drive.google.com/file/d/1MW_NaSdYx1KGvgxYGVOH7j7n5iGynEeA/view?usp=drivesdk" TargetMode="External"/><Relationship Id="rId569" Type="http://schemas.openxmlformats.org/officeDocument/2006/relationships/hyperlink" Target="https://drive.google.com/file/d/1Lg4_jeBFmz2RHsMpTmSG_8C6bt_wGT7U/view?usp=drivesdk" TargetMode="External"/><Relationship Id="rId568" Type="http://schemas.openxmlformats.org/officeDocument/2006/relationships/hyperlink" Target="https://drive.google.com/file/d/14Kc6mvwFRMElpGi6PjrVJSadMJgc7MA3/view?usp=drivesdk" TargetMode="External"/><Relationship Id="rId567" Type="http://schemas.openxmlformats.org/officeDocument/2006/relationships/hyperlink" Target="https://drive.google.com/file/d/1rHW3maikEZmFZU9Nrc-eocjQRumwjnrT/view?usp=drivesdk" TargetMode="External"/><Relationship Id="rId566" Type="http://schemas.openxmlformats.org/officeDocument/2006/relationships/hyperlink" Target="https://drive.google.com/file/d/1dZieIwB19qJGuPpDc8kfGYOMz6TtzBXe/view?usp=drivesdk" TargetMode="External"/><Relationship Id="rId2480" Type="http://schemas.openxmlformats.org/officeDocument/2006/relationships/hyperlink" Target="https://drive.google.com/file/d/1iaK3qwjIxk3McLg0s4dlY3ZBC7NNErlu/view?usp=drivesdk" TargetMode="External"/><Relationship Id="rId561" Type="http://schemas.openxmlformats.org/officeDocument/2006/relationships/hyperlink" Target="https://drive.google.com/file/d/1O4ngtNzhnxMqWJcFfjSKkOrEYxGOCgaX/view?usp=drivesdk" TargetMode="External"/><Relationship Id="rId1150" Type="http://schemas.openxmlformats.org/officeDocument/2006/relationships/hyperlink" Target="https://drive.google.com/file/d/1fg3GN455YpFtudw60_iPl5G3NHeAdUdv/view?usp=drivesdk" TargetMode="External"/><Relationship Id="rId2481" Type="http://schemas.openxmlformats.org/officeDocument/2006/relationships/hyperlink" Target="https://drive.google.com/file/d/1jhZTjUOOEPQrBqWap5SUTdhlfmtyr7q1/view?usp=drivesdk" TargetMode="External"/><Relationship Id="rId560" Type="http://schemas.openxmlformats.org/officeDocument/2006/relationships/hyperlink" Target="https://drive.google.com/file/d/1_rRg_wQkl_u4mDDHf4Fm5nYpHZbGDt70/view?usp=drivesdk" TargetMode="External"/><Relationship Id="rId1151" Type="http://schemas.openxmlformats.org/officeDocument/2006/relationships/hyperlink" Target="https://drive.google.com/file/d/1z4FzfLJ-cZc60-AES31uOG7zBgfI2ShE/view?usp=drivesdk" TargetMode="External"/><Relationship Id="rId2482" Type="http://schemas.openxmlformats.org/officeDocument/2006/relationships/hyperlink" Target="https://drive.google.com/file/d/1ReYflTpeDEc-2nXhMxrerhoTvBDTSe15/view?usp=drivesdk" TargetMode="External"/><Relationship Id="rId1152" Type="http://schemas.openxmlformats.org/officeDocument/2006/relationships/hyperlink" Target="https://drive.google.com/file/d/1v1UWtOYmefk55zB46OtB2G-xwDX-exe6/view?usp=drivesdk" TargetMode="External"/><Relationship Id="rId2483" Type="http://schemas.openxmlformats.org/officeDocument/2006/relationships/hyperlink" Target="https://drive.google.com/file/d/1CN8l_wYSpcGLQydnGWBwKLRXiJIxgBpL/view?usp=drivesdk" TargetMode="External"/><Relationship Id="rId1153" Type="http://schemas.openxmlformats.org/officeDocument/2006/relationships/hyperlink" Target="https://drive.google.com/file/d/161HeBfDDvYJc6LZ67EiGHVw9uV4YFIjf/view?usp=drivesdk" TargetMode="External"/><Relationship Id="rId2000" Type="http://schemas.openxmlformats.org/officeDocument/2006/relationships/hyperlink" Target="https://drive.google.com/file/d/1Ju6hyUquiuOme7IXDW_Tx5_eJo8qDCj1/view?usp=drivesdk" TargetMode="External"/><Relationship Id="rId2484" Type="http://schemas.openxmlformats.org/officeDocument/2006/relationships/hyperlink" Target="https://drive.google.com/file/d/10KQhlBpbRBhIasrlo7nRxhjt14_W2KI_/view?usp=drivesdk" TargetMode="External"/><Relationship Id="rId565" Type="http://schemas.openxmlformats.org/officeDocument/2006/relationships/hyperlink" Target="https://drive.google.com/file/d/17M8j5Q3fqFpDo9tGnnT509K1QQJ7KjHy/view?usp=drivesdk" TargetMode="External"/><Relationship Id="rId1154" Type="http://schemas.openxmlformats.org/officeDocument/2006/relationships/hyperlink" Target="https://drive.google.com/file/d/10KJJdTSMZTn0Zc8_ixxIMgxcuxcHnFs-/view?usp=drivesdk" TargetMode="External"/><Relationship Id="rId2001" Type="http://schemas.openxmlformats.org/officeDocument/2006/relationships/hyperlink" Target="https://drive.google.com/file/d/1SYC-LKu84JZ_FRobbmYz65_N9aGZSOIW/view?usp=drivesdk" TargetMode="External"/><Relationship Id="rId2485" Type="http://schemas.openxmlformats.org/officeDocument/2006/relationships/hyperlink" Target="https://drive.google.com/file/d/1tVzQH--5W2AsRa_GL_1V_HTiDRuap5Yq/view?usp=drivesdk" TargetMode="External"/><Relationship Id="rId564" Type="http://schemas.openxmlformats.org/officeDocument/2006/relationships/hyperlink" Target="https://drive.google.com/file/d/1EGoMwJWI_KhWRHJhVMKJNwUZaYPT4tdP/view?usp=drivesdk" TargetMode="External"/><Relationship Id="rId1155" Type="http://schemas.openxmlformats.org/officeDocument/2006/relationships/hyperlink" Target="https://drive.google.com/file/d/1ivnTLcWKlOfw1vW-Jdd780ZHl0bsBNBK/view?usp=drivesdk" TargetMode="External"/><Relationship Id="rId2002" Type="http://schemas.openxmlformats.org/officeDocument/2006/relationships/hyperlink" Target="https://drive.google.com/file/d/1AkcX9pWgWnyl-GHq8kE1ziNy8PrwLZea/view?usp=drivesdk" TargetMode="External"/><Relationship Id="rId2486" Type="http://schemas.openxmlformats.org/officeDocument/2006/relationships/hyperlink" Target="https://drive.google.com/file/d/1FVTe_nE6sYtphJfvMUbHfuSlBSXHJ7o4/view?usp=drivesdk" TargetMode="External"/><Relationship Id="rId563" Type="http://schemas.openxmlformats.org/officeDocument/2006/relationships/hyperlink" Target="https://drive.google.com/file/d/1fwPGq529oLK_kkIlXHTSgSIaTK6b5Cwq/view?usp=drivesdk" TargetMode="External"/><Relationship Id="rId1156" Type="http://schemas.openxmlformats.org/officeDocument/2006/relationships/hyperlink" Target="https://drive.google.com/file/d/1ECRqZKLblvtpUFIztSIaxUQ-SvRBiYW-/view?usp=drivesdk" TargetMode="External"/><Relationship Id="rId2003" Type="http://schemas.openxmlformats.org/officeDocument/2006/relationships/hyperlink" Target="https://drive.google.com/file/d/1LVLlMwhe2VnRD1VYlZ0XKfHA5SYM3qFS/view?usp=drivesdk" TargetMode="External"/><Relationship Id="rId2487" Type="http://schemas.openxmlformats.org/officeDocument/2006/relationships/hyperlink" Target="https://drive.google.com/file/d/1yxBmK7AchuL1EGxOrGYCmz9ns-Jv2jq6/view?usp=drivesdk" TargetMode="External"/><Relationship Id="rId562" Type="http://schemas.openxmlformats.org/officeDocument/2006/relationships/hyperlink" Target="https://drive.google.com/file/d/1g8TNktg-39sziZqDWd28eN1C41xfXRfv/view?usp=drivesdk" TargetMode="External"/><Relationship Id="rId1157" Type="http://schemas.openxmlformats.org/officeDocument/2006/relationships/hyperlink" Target="https://drive.google.com/file/d/1X7P6SKfD5rL7YPQEjQHVV8GQYilsJhWP/view?usp=drivesdk" TargetMode="External"/><Relationship Id="rId2004" Type="http://schemas.openxmlformats.org/officeDocument/2006/relationships/hyperlink" Target="https://drive.google.com/file/d/1lBUfxs2y8xESw_WRaY8AHT4_-8XBwweZ/view?usp=drivesdk" TargetMode="External"/><Relationship Id="rId2488" Type="http://schemas.openxmlformats.org/officeDocument/2006/relationships/hyperlink" Target="https://drive.google.com/file/d/1eVGHX5YqIDszNsFl0a2wEsyyIiLoT1P1/view?usp=drivesdk" TargetMode="External"/><Relationship Id="rId1147" Type="http://schemas.openxmlformats.org/officeDocument/2006/relationships/hyperlink" Target="https://drive.google.com/file/d/1r-YveOXDSOpurT9aUtf2FrO_t9vBQqNl/view?usp=drivesdk" TargetMode="External"/><Relationship Id="rId2478" Type="http://schemas.openxmlformats.org/officeDocument/2006/relationships/hyperlink" Target="https://drive.google.com/file/d/14ly3Ph5pt-uyzqr-qIgB5AJYkPU0kZ9Z/view?usp=drivesdk" TargetMode="External"/><Relationship Id="rId1148" Type="http://schemas.openxmlformats.org/officeDocument/2006/relationships/hyperlink" Target="https://drive.google.com/file/d/1bVT-KjEF_uxxn8t_IF73Ew9PzD7pEyf5/view?usp=drivesdk" TargetMode="External"/><Relationship Id="rId2479" Type="http://schemas.openxmlformats.org/officeDocument/2006/relationships/hyperlink" Target="https://drive.google.com/file/d/1QcEaEKPOlGqT2Th4XfGqDiUd0-mfZFst/view?usp=drivesdk" TargetMode="External"/><Relationship Id="rId1149" Type="http://schemas.openxmlformats.org/officeDocument/2006/relationships/hyperlink" Target="https://drive.google.com/file/d/1pSG-8nu74Hj3HP7SLAwWrXunCgVfQ68m/view?usp=drivesdk" TargetMode="External"/><Relationship Id="rId558" Type="http://schemas.openxmlformats.org/officeDocument/2006/relationships/hyperlink" Target="https://drive.google.com/file/d/1R5bC8G1JdcVBeiZWdwTyTNqI_v64qEOV/view?usp=drivesdk" TargetMode="External"/><Relationship Id="rId557" Type="http://schemas.openxmlformats.org/officeDocument/2006/relationships/hyperlink" Target="https://drive.google.com/file/d/1QLtl_EB2RgKP799kuSIMzMRPTWtvVmTp/view?usp=drivesdk" TargetMode="External"/><Relationship Id="rId556" Type="http://schemas.openxmlformats.org/officeDocument/2006/relationships/hyperlink" Target="https://drive.google.com/file/d/1zm5kHUKkKP6Mzdlmo5WyWqpdP3OPUzep/view?usp=drivesdk" TargetMode="External"/><Relationship Id="rId555" Type="http://schemas.openxmlformats.org/officeDocument/2006/relationships/hyperlink" Target="https://drive.google.com/file/d/16J3Y1tRW83KL6zFLQn6ypceddSN3ciUU/view?usp=drivesdk" TargetMode="External"/><Relationship Id="rId559" Type="http://schemas.openxmlformats.org/officeDocument/2006/relationships/hyperlink" Target="https://drive.google.com/file/d/1IBhorGBqG0rJDZuaPrsQjfaq7yJk-hhd/view?usp=drivesdk" TargetMode="External"/><Relationship Id="rId550" Type="http://schemas.openxmlformats.org/officeDocument/2006/relationships/hyperlink" Target="https://drive.google.com/file/d/1KXPh1WZbuPaNJQqykvPN3JoyVQHOqWLZ/view?usp=drivesdk" TargetMode="External"/><Relationship Id="rId2470" Type="http://schemas.openxmlformats.org/officeDocument/2006/relationships/hyperlink" Target="https://drive.google.com/file/d/1gE87xuYb3lAkvE6DTh8DjpbOzjhUwLeq/view?usp=drivesdk" TargetMode="External"/><Relationship Id="rId1140" Type="http://schemas.openxmlformats.org/officeDocument/2006/relationships/hyperlink" Target="https://drive.google.com/file/d/1ob3807ymoUZrKJea4oXkXX5MeLjwW_ff/view?usp=drivesdk" TargetMode="External"/><Relationship Id="rId2471" Type="http://schemas.openxmlformats.org/officeDocument/2006/relationships/hyperlink" Target="https://drive.google.com/file/d/1cyhYNUGrR9kMuBS3FEj80_ZDm8kIUjQj/view?usp=drivesdk" TargetMode="External"/><Relationship Id="rId1141" Type="http://schemas.openxmlformats.org/officeDocument/2006/relationships/hyperlink" Target="https://drive.google.com/file/d/18vvy092vGRS-uU58EBZVSuLDkf5W0fRp/view?usp=drivesdk" TargetMode="External"/><Relationship Id="rId2472" Type="http://schemas.openxmlformats.org/officeDocument/2006/relationships/hyperlink" Target="https://drive.google.com/file/d/1eqeLYjc2Tnjeb3SWxteU5L6N5qZXM-WX/view?usp=drivesdk" TargetMode="External"/><Relationship Id="rId1142" Type="http://schemas.openxmlformats.org/officeDocument/2006/relationships/hyperlink" Target="https://drive.google.com/file/d/1sdqz2-Pya2nDM3QdJyv2cyIzAvcWyqMQ/view?usp=drivesdk" TargetMode="External"/><Relationship Id="rId2473" Type="http://schemas.openxmlformats.org/officeDocument/2006/relationships/hyperlink" Target="https://drive.google.com/file/d/1RDo5mODD8fW436JMAQf7JNwmA_Slt2Xs/view?usp=drivesdk" TargetMode="External"/><Relationship Id="rId554" Type="http://schemas.openxmlformats.org/officeDocument/2006/relationships/hyperlink" Target="https://drive.google.com/file/d/1jYfE-5NzjDTsDh0aB0IhlJgTpIchxdzE/view?usp=drivesdk" TargetMode="External"/><Relationship Id="rId1143" Type="http://schemas.openxmlformats.org/officeDocument/2006/relationships/hyperlink" Target="https://drive.google.com/file/d/1ZRzj8KklykiqQTnkx7WjBvjYe7Dfo4w9/view?usp=drivesdk" TargetMode="External"/><Relationship Id="rId2474" Type="http://schemas.openxmlformats.org/officeDocument/2006/relationships/hyperlink" Target="https://drive.google.com/file/d/1MQ10T43jbs2Y5bQ7mKgv0nYgPG1TxbA9/view?usp=drivesdk" TargetMode="External"/><Relationship Id="rId553" Type="http://schemas.openxmlformats.org/officeDocument/2006/relationships/hyperlink" Target="https://drive.google.com/file/d/1xV0NNvpF0xqwTVhiSszqUoUrYRuVqj6t/view?usp=drivesdk" TargetMode="External"/><Relationship Id="rId1144" Type="http://schemas.openxmlformats.org/officeDocument/2006/relationships/hyperlink" Target="https://drive.google.com/file/d/1L4dNUtDIJrzOQQJx8EncTim29PgmGTJX/view?usp=drivesdk" TargetMode="External"/><Relationship Id="rId2475" Type="http://schemas.openxmlformats.org/officeDocument/2006/relationships/hyperlink" Target="https://drive.google.com/file/d/12uVDmBNHvutgY6VYUFOAPWBe_59Kxrpz/view?usp=drivesdk" TargetMode="External"/><Relationship Id="rId552" Type="http://schemas.openxmlformats.org/officeDocument/2006/relationships/hyperlink" Target="https://drive.google.com/file/d/1ugFTuUk4cXZgXO3ihqP5JaFo6VGuqtBM/view?usp=drivesdk" TargetMode="External"/><Relationship Id="rId1145" Type="http://schemas.openxmlformats.org/officeDocument/2006/relationships/hyperlink" Target="https://drive.google.com/file/d/11xSEux66_mKH4hjDQybCcbzZOSHpbhPP/view?usp=drivesdk" TargetMode="External"/><Relationship Id="rId2476" Type="http://schemas.openxmlformats.org/officeDocument/2006/relationships/hyperlink" Target="https://drive.google.com/file/d/1h54ejwUOeXyydEjUockuKzzoRIGQ2Jot/view?usp=drivesdk" TargetMode="External"/><Relationship Id="rId551" Type="http://schemas.openxmlformats.org/officeDocument/2006/relationships/hyperlink" Target="https://drive.google.com/file/d/1hhmnlaldSHZmlsKWfbdqft-DpySd4eWY/view?usp=drivesdk" TargetMode="External"/><Relationship Id="rId1146" Type="http://schemas.openxmlformats.org/officeDocument/2006/relationships/hyperlink" Target="https://drive.google.com/file/d/1vSoj18NjBY7QsayqkE2vk-hCYMTq_A7w/view?usp=drivesdk" TargetMode="External"/><Relationship Id="rId2477" Type="http://schemas.openxmlformats.org/officeDocument/2006/relationships/hyperlink" Target="https://drive.google.com/file/d/1RdU-VXUQx8tr802YYU225oHcRu-cN9am/view?usp=drivesdk" TargetMode="External"/><Relationship Id="rId2090" Type="http://schemas.openxmlformats.org/officeDocument/2006/relationships/hyperlink" Target="https://drive.google.com/file/d/15UBn61CgsVWx9kpJgKx0hpUSnQZ4oZ6D/view?usp=drivesdk" TargetMode="External"/><Relationship Id="rId2091" Type="http://schemas.openxmlformats.org/officeDocument/2006/relationships/hyperlink" Target="https://drive.google.com/file/d/1Gpxy-YYzArUDVwIUbH_Od_QOBxG7dmfl/view?usp=drivesdk" TargetMode="External"/><Relationship Id="rId2092" Type="http://schemas.openxmlformats.org/officeDocument/2006/relationships/hyperlink" Target="https://drive.google.com/file/d/1hny5sX3E-xqC2riZXzQo4k0s7DZ7Jp7P/view?usp=drivesdk" TargetMode="External"/><Relationship Id="rId2093" Type="http://schemas.openxmlformats.org/officeDocument/2006/relationships/hyperlink" Target="https://drive.google.com/file/d/1RI5L8zB7mKy9ITUZ5EWTGjGJ_4Lm0FFJ/view?usp=drivesdk" TargetMode="External"/><Relationship Id="rId2094" Type="http://schemas.openxmlformats.org/officeDocument/2006/relationships/hyperlink" Target="https://drive.google.com/file/d/1iFcGHgCF3skr9JMr31whpNrPzwNDMKdM/view?usp=drivesdk" TargetMode="External"/><Relationship Id="rId2095" Type="http://schemas.openxmlformats.org/officeDocument/2006/relationships/hyperlink" Target="https://drive.google.com/file/d/1n5G1au62_Ajki0TYIxyxur-fG7H8gj07/view?usp=drivesdk" TargetMode="External"/><Relationship Id="rId2096" Type="http://schemas.openxmlformats.org/officeDocument/2006/relationships/hyperlink" Target="https://drive.google.com/file/d/18DOTJH_eDj4ivEHC0IvWhycKJ0eudGuY/view?usp=drivesdk" TargetMode="External"/><Relationship Id="rId2097" Type="http://schemas.openxmlformats.org/officeDocument/2006/relationships/hyperlink" Target="https://drive.google.com/file/d/1GS4sQm9eWp48jImVz9fNtpijV7ImJBIZ/view?usp=drivesdk" TargetMode="External"/><Relationship Id="rId2098" Type="http://schemas.openxmlformats.org/officeDocument/2006/relationships/hyperlink" Target="https://drive.google.com/file/d/10vs5sdLPdkSdGZD-fys4TiDL4QQUslV2/view?usp=drivesdk" TargetMode="External"/><Relationship Id="rId2099" Type="http://schemas.openxmlformats.org/officeDocument/2006/relationships/hyperlink" Target="https://drive.google.com/file/d/1jP7Ttu81MoOyGBtWtgbFsfV9d0r2ER4p/view?usp=drivesdk" TargetMode="External"/><Relationship Id="rId2060" Type="http://schemas.openxmlformats.org/officeDocument/2006/relationships/hyperlink" Target="https://drive.google.com/file/d/115CbuYelEv8WbErWA3ZxMbhViHi7ZyCl/view?usp=drivesdk" TargetMode="External"/><Relationship Id="rId2061" Type="http://schemas.openxmlformats.org/officeDocument/2006/relationships/hyperlink" Target="https://drive.google.com/file/d/1eWzP1XLDcAodrl0DGy34VbaNfYbdWSjf/view?usp=drivesdk" TargetMode="External"/><Relationship Id="rId2062" Type="http://schemas.openxmlformats.org/officeDocument/2006/relationships/hyperlink" Target="https://drive.google.com/file/d/1kQkvxCtZjojo1BPYdNs1bwVv2leowHUZ/view?usp=drivesdk" TargetMode="External"/><Relationship Id="rId2063" Type="http://schemas.openxmlformats.org/officeDocument/2006/relationships/hyperlink" Target="https://drive.google.com/file/d/1HBjQGZunK0aDIVMxTJCPOL9c4uIsbZIa/view?usp=drivesdk" TargetMode="External"/><Relationship Id="rId2064" Type="http://schemas.openxmlformats.org/officeDocument/2006/relationships/hyperlink" Target="https://drive.google.com/file/d/1PUFcKHl56dYClmyO5WevRCUlUu8mqDV7/view?usp=drivesdk" TargetMode="External"/><Relationship Id="rId2065" Type="http://schemas.openxmlformats.org/officeDocument/2006/relationships/hyperlink" Target="https://drive.google.com/file/d/1LDFwML_mDEgDm0BNOpc2IX-e6RHYtmyu/view?usp=drivesdk" TargetMode="External"/><Relationship Id="rId2066" Type="http://schemas.openxmlformats.org/officeDocument/2006/relationships/hyperlink" Target="https://drive.google.com/file/d/1CDwf-QXvGwNWWMoJvV_QIJbAOgjrI4DW/view?usp=drivesdk" TargetMode="External"/><Relationship Id="rId2067" Type="http://schemas.openxmlformats.org/officeDocument/2006/relationships/hyperlink" Target="https://drive.google.com/file/d/1qO4-b2blojcjsowf6cT3Bdm2RyZEx52q/view?usp=drivesdk" TargetMode="External"/><Relationship Id="rId2068" Type="http://schemas.openxmlformats.org/officeDocument/2006/relationships/hyperlink" Target="https://drive.google.com/file/d/1bF7TyIfHWqCNc-5Xik1cLfM32rmhVH4H/view?usp=drivesdk" TargetMode="External"/><Relationship Id="rId2069" Type="http://schemas.openxmlformats.org/officeDocument/2006/relationships/hyperlink" Target="https://drive.google.com/file/d/1OZFl5iYUCuafhHZvabJEqszh0B6GuWqV/view?usp=drivesdk" TargetMode="External"/><Relationship Id="rId2050" Type="http://schemas.openxmlformats.org/officeDocument/2006/relationships/hyperlink" Target="https://drive.google.com/file/d/13VsdxTAf0RC-08SHLB4a9qEo46QvUhov/view?usp=drivesdk" TargetMode="External"/><Relationship Id="rId2051" Type="http://schemas.openxmlformats.org/officeDocument/2006/relationships/hyperlink" Target="https://drive.google.com/file/d/1Zpb4uu4UB4oOVdjRnP-Ch217Y_Jqrf7q/view?usp=drivesdk" TargetMode="External"/><Relationship Id="rId495" Type="http://schemas.openxmlformats.org/officeDocument/2006/relationships/hyperlink" Target="https://drive.google.com/file/d/1HUN5BvEHgYLQ7wznCKCfQ2L3szjbltxw/view?usp=drivesdk" TargetMode="External"/><Relationship Id="rId2052" Type="http://schemas.openxmlformats.org/officeDocument/2006/relationships/hyperlink" Target="https://drive.google.com/file/d/1VQY_gL_I6bS3izIxVrb7kYyrtKvnnXBR/view?usp=drivesdk" TargetMode="External"/><Relationship Id="rId494" Type="http://schemas.openxmlformats.org/officeDocument/2006/relationships/hyperlink" Target="https://drive.google.com/file/d/12ubEAmi80gZzrLf2UMuhoBSJ-AO5jPim/view?usp=drivesdk" TargetMode="External"/><Relationship Id="rId2053" Type="http://schemas.openxmlformats.org/officeDocument/2006/relationships/hyperlink" Target="https://drive.google.com/file/d/1I0lvoMCSZbWM90uhapv6TEiFFxBxtbxy/view?usp=drivesdk" TargetMode="External"/><Relationship Id="rId493" Type="http://schemas.openxmlformats.org/officeDocument/2006/relationships/hyperlink" Target="https://drive.google.com/file/d/1i85jp07Il0aKLwpmBzR3_DWGuybOQUgS/view?usp=drivesdk" TargetMode="External"/><Relationship Id="rId2054" Type="http://schemas.openxmlformats.org/officeDocument/2006/relationships/hyperlink" Target="https://drive.google.com/file/d/1gSsh8cNjYW2vP7vzCRRbDOPe2ezukuKL/view?usp=drivesdk" TargetMode="External"/><Relationship Id="rId492" Type="http://schemas.openxmlformats.org/officeDocument/2006/relationships/hyperlink" Target="https://drive.google.com/file/d/1iesHpXauQfd79x9Aynt9ht-YZasKVuIh/view?usp=drivesdk" TargetMode="External"/><Relationship Id="rId2055" Type="http://schemas.openxmlformats.org/officeDocument/2006/relationships/hyperlink" Target="https://drive.google.com/file/d/1g61npyG1RChe3Ywl6CcyQywUmcHRqj_y/view?usp=drivesdk" TargetMode="External"/><Relationship Id="rId499" Type="http://schemas.openxmlformats.org/officeDocument/2006/relationships/hyperlink" Target="https://drive.google.com/file/d/1b06RZdfoJUqXKzaujR4U2MsPX0I4mjp9/view?usp=drivesdk" TargetMode="External"/><Relationship Id="rId2056" Type="http://schemas.openxmlformats.org/officeDocument/2006/relationships/hyperlink" Target="https://drive.google.com/file/d/17WN2KG_UF_WnPRCJa6KskNvp3nm6PE7R/view?usp=drivesdk" TargetMode="External"/><Relationship Id="rId498" Type="http://schemas.openxmlformats.org/officeDocument/2006/relationships/hyperlink" Target="https://drive.google.com/file/d/1nxwugB0nzSewKR6tmBZvbjiTJ1dxDREX/view?usp=drivesdk" TargetMode="External"/><Relationship Id="rId2057" Type="http://schemas.openxmlformats.org/officeDocument/2006/relationships/hyperlink" Target="https://drive.google.com/file/d/1n7gRhEi9izHP6cQs68UPhXE9ubzL8FVQ/view?usp=drivesdk" TargetMode="External"/><Relationship Id="rId497" Type="http://schemas.openxmlformats.org/officeDocument/2006/relationships/hyperlink" Target="https://drive.google.com/file/d/1BSxaWWzfz8Mdc2x6rMercU1_9nmTrC-F/view?usp=drivesdk" TargetMode="External"/><Relationship Id="rId2058" Type="http://schemas.openxmlformats.org/officeDocument/2006/relationships/hyperlink" Target="https://drive.google.com/file/d/1we0NzrKJ2IwG_8OuitvuS-mhA3wAyva2/view?usp=drivesdk" TargetMode="External"/><Relationship Id="rId496" Type="http://schemas.openxmlformats.org/officeDocument/2006/relationships/hyperlink" Target="https://drive.google.com/file/d/1bBAl0KL2TBS4rZ3pRmeu5wAXQpotOFTD/view?usp=drivesdk" TargetMode="External"/><Relationship Id="rId2059" Type="http://schemas.openxmlformats.org/officeDocument/2006/relationships/hyperlink" Target="https://drive.google.com/file/d/1c3kMOZj-74VpCXxMokNaVcYFJ0J61ug3/view?usp=drivesdk" TargetMode="External"/><Relationship Id="rId2080" Type="http://schemas.openxmlformats.org/officeDocument/2006/relationships/hyperlink" Target="https://drive.google.com/file/d/1gi6nFvmSsHOHWrCkgig0DiYkDFPvFjnb/view?usp=drivesdk" TargetMode="External"/><Relationship Id="rId2081" Type="http://schemas.openxmlformats.org/officeDocument/2006/relationships/hyperlink" Target="https://drive.google.com/file/d/17lNog7Guuuie9pVv76a-yLVapgcmCCnx/view?usp=drivesdk" TargetMode="External"/><Relationship Id="rId2082" Type="http://schemas.openxmlformats.org/officeDocument/2006/relationships/hyperlink" Target="https://drive.google.com/file/d/1Zm3AefXzMSl8cpLkdndRA3x0csm4vvOc/view?usp=drivesdk" TargetMode="External"/><Relationship Id="rId2083" Type="http://schemas.openxmlformats.org/officeDocument/2006/relationships/hyperlink" Target="https://drive.google.com/file/d/1O92ZNxfRwiGLWmIGOJwO8ugH0t5id3Ay/view?usp=drivesdk" TargetMode="External"/><Relationship Id="rId2084" Type="http://schemas.openxmlformats.org/officeDocument/2006/relationships/hyperlink" Target="https://drive.google.com/file/d/1uIGjnUVnfBjIFyXk2Hy4kxRwzYYSIV6X/view?usp=drivesdk" TargetMode="External"/><Relationship Id="rId2085" Type="http://schemas.openxmlformats.org/officeDocument/2006/relationships/hyperlink" Target="https://drive.google.com/file/d/18819NMM15ozAKkjxmWfIoH7AMO6xaTlv/view?usp=drivesdk" TargetMode="External"/><Relationship Id="rId2086" Type="http://schemas.openxmlformats.org/officeDocument/2006/relationships/hyperlink" Target="https://drive.google.com/file/d/1Cd7pU-gIg9CRrCa4cjrivhVQvZkXCuPp/view?usp=drivesdk" TargetMode="External"/><Relationship Id="rId2087" Type="http://schemas.openxmlformats.org/officeDocument/2006/relationships/hyperlink" Target="https://drive.google.com/file/d/18_Oc0xJezb_VnJg4suGRCD_MrKWgN2kh/view?usp=drivesdk" TargetMode="External"/><Relationship Id="rId2088" Type="http://schemas.openxmlformats.org/officeDocument/2006/relationships/hyperlink" Target="https://drive.google.com/file/d/1XGYqhvapnWMTk274NcKfi3JWqLJpyeaU/view?usp=drivesdk" TargetMode="External"/><Relationship Id="rId2089" Type="http://schemas.openxmlformats.org/officeDocument/2006/relationships/hyperlink" Target="https://drive.google.com/file/d/1Qw0Ioar1mAExt5wlE7qZ-oZiHFBoG2wO/view?usp=drivesdk" TargetMode="External"/><Relationship Id="rId2070" Type="http://schemas.openxmlformats.org/officeDocument/2006/relationships/hyperlink" Target="https://drive.google.com/file/d/1WmUUetH4BNrvJ1uRt59sFQXh9pizO19k/view?usp=drivesdk" TargetMode="External"/><Relationship Id="rId2071" Type="http://schemas.openxmlformats.org/officeDocument/2006/relationships/hyperlink" Target="https://drive.google.com/file/d/1kOkmFEVph_8iPeixuVwtPV1LbBR8z14p/view?usp=drivesdk" TargetMode="External"/><Relationship Id="rId2072" Type="http://schemas.openxmlformats.org/officeDocument/2006/relationships/hyperlink" Target="https://drive.google.com/file/d/1tfFtN4Y16cbat_ORSlDLcWEgUzXd_HY-/view?usp=drivesdk" TargetMode="External"/><Relationship Id="rId2073" Type="http://schemas.openxmlformats.org/officeDocument/2006/relationships/hyperlink" Target="https://drive.google.com/file/d/1YHsmGBsHhOEqXRKNxSIM4-sOQQ8KCDHg/view?usp=drivesdk" TargetMode="External"/><Relationship Id="rId2074" Type="http://schemas.openxmlformats.org/officeDocument/2006/relationships/hyperlink" Target="https://drive.google.com/file/d/11oL4b22m4gmvLrq8CLleUfziPoGLz7nH/view?usp=drivesdk" TargetMode="External"/><Relationship Id="rId2075" Type="http://schemas.openxmlformats.org/officeDocument/2006/relationships/hyperlink" Target="https://drive.google.com/file/d/1lwatjhwgwx6VP117lwvB0LV7XbMtHJt-/view?usp=drivesdk" TargetMode="External"/><Relationship Id="rId2076" Type="http://schemas.openxmlformats.org/officeDocument/2006/relationships/hyperlink" Target="https://drive.google.com/file/d/15tIpqchnZo0JtDTh-oFj0P6lxbBfZSiV/view?usp=drivesdk" TargetMode="External"/><Relationship Id="rId2077" Type="http://schemas.openxmlformats.org/officeDocument/2006/relationships/hyperlink" Target="https://drive.google.com/file/d/124r4XKvi0JeQ1Nkhtih-2Mz_vnwZef1l/view?usp=drivesdk" TargetMode="External"/><Relationship Id="rId2078" Type="http://schemas.openxmlformats.org/officeDocument/2006/relationships/hyperlink" Target="https://drive.google.com/file/d/1AnEDcYCi6qiF6gBhaqlwPQrhinvBs0rc/view?usp=drivesdk" TargetMode="External"/><Relationship Id="rId2079" Type="http://schemas.openxmlformats.org/officeDocument/2006/relationships/hyperlink" Target="https://drive.google.com/file/d/1Vf8f9vTJv5xl364L6esC9mN2XxzqmwPc/view?usp=drivesdk" TargetMode="External"/><Relationship Id="rId1610" Type="http://schemas.openxmlformats.org/officeDocument/2006/relationships/hyperlink" Target="https://drive.google.com/file/d/1g2AwsccFEfP4b_uF-OK092Vj9pMZn3nX/view?usp=drivesdk" TargetMode="External"/><Relationship Id="rId1611" Type="http://schemas.openxmlformats.org/officeDocument/2006/relationships/hyperlink" Target="https://drive.google.com/file/d/1dMpzUL55oYgQYvT1ZFTZoQ4njdIe--DT/view?usp=drivesdk" TargetMode="External"/><Relationship Id="rId1612" Type="http://schemas.openxmlformats.org/officeDocument/2006/relationships/hyperlink" Target="https://drive.google.com/file/d/1Y1eXNXelDpQX87HeCmiCUzciXeKi9yTC/view?usp=drivesdk" TargetMode="External"/><Relationship Id="rId1613" Type="http://schemas.openxmlformats.org/officeDocument/2006/relationships/hyperlink" Target="https://drive.google.com/file/d/13A8mRCiFFCBGq5gfb2_f3FjPKSPDTOwJ/view?usp=drivesdk" TargetMode="External"/><Relationship Id="rId1614" Type="http://schemas.openxmlformats.org/officeDocument/2006/relationships/hyperlink" Target="https://drive.google.com/file/d/1Of2RRigl71hehbKJKzOkRNc98iBMDics/view?usp=drivesdk" TargetMode="External"/><Relationship Id="rId1615" Type="http://schemas.openxmlformats.org/officeDocument/2006/relationships/hyperlink" Target="https://drive.google.com/file/d/1gja1frpkaACsmImZHD5CDSkV6SK-H-GZ/view?usp=drivesdk" TargetMode="External"/><Relationship Id="rId1616" Type="http://schemas.openxmlformats.org/officeDocument/2006/relationships/hyperlink" Target="https://drive.google.com/file/d/1-RtKyGxrLLlepIWwNrNxZ0twU7z-_g8h/view?usp=drivesdk" TargetMode="External"/><Relationship Id="rId907" Type="http://schemas.openxmlformats.org/officeDocument/2006/relationships/hyperlink" Target="https://drive.google.com/file/d/1xEHuMiUMx4nBGg0AmMSdZGiZ0D9sZo3g/view?usp=drivesdk" TargetMode="External"/><Relationship Id="rId1617" Type="http://schemas.openxmlformats.org/officeDocument/2006/relationships/hyperlink" Target="https://drive.google.com/file/d/1my-1-I9fcalH3ONwY2TNsIzLwjkuSboR/view?usp=drivesdk" TargetMode="External"/><Relationship Id="rId906" Type="http://schemas.openxmlformats.org/officeDocument/2006/relationships/hyperlink" Target="https://drive.google.com/file/d/1Vsc98o25ndL9GCJDAXthtfwc_pNtI2wT/view?usp=drivesdk" TargetMode="External"/><Relationship Id="rId1618" Type="http://schemas.openxmlformats.org/officeDocument/2006/relationships/hyperlink" Target="https://drive.google.com/file/d/1G39xJd_yXHV4CPFJrSZ3zYaMvv6EhRTt/view?usp=drivesdk" TargetMode="External"/><Relationship Id="rId905" Type="http://schemas.openxmlformats.org/officeDocument/2006/relationships/hyperlink" Target="https://drive.google.com/file/d/1TBeZr2xFgsYuZZFLtVKh5aiz_pFHZn09/view?usp=drivesdk" TargetMode="External"/><Relationship Id="rId1619" Type="http://schemas.openxmlformats.org/officeDocument/2006/relationships/hyperlink" Target="https://drive.google.com/file/d/1Tt0D46vBvI2D5BHiuHanePW04URzvDTT/view?usp=drivesdk" TargetMode="External"/><Relationship Id="rId904" Type="http://schemas.openxmlformats.org/officeDocument/2006/relationships/hyperlink" Target="https://drive.google.com/file/d/14zLhv6Pq6gBMcSCCSS3ya76szFIfDg1i/view?usp=drivesdk" TargetMode="External"/><Relationship Id="rId909" Type="http://schemas.openxmlformats.org/officeDocument/2006/relationships/hyperlink" Target="https://drive.google.com/file/d/1qrkQWSt5hgeTiGSCFS8DfSki1O7ahQTw/view?usp=drivesdk" TargetMode="External"/><Relationship Id="rId908" Type="http://schemas.openxmlformats.org/officeDocument/2006/relationships/hyperlink" Target="https://drive.google.com/file/d/1_vbv5GnCSLYYO7jfDSGlQ3qVTPWoADq6/view?usp=drivesdk" TargetMode="External"/><Relationship Id="rId903" Type="http://schemas.openxmlformats.org/officeDocument/2006/relationships/hyperlink" Target="https://drive.google.com/file/d/1g9idxQUL1Jax1e4YMODkJyUQRBFSmUdN/view?usp=drivesdk" TargetMode="External"/><Relationship Id="rId902" Type="http://schemas.openxmlformats.org/officeDocument/2006/relationships/hyperlink" Target="https://drive.google.com/file/d/10QTjB5Uti2GX8FiA06xb4KlmEnr8X8RV/view?usp=drivesdk" TargetMode="External"/><Relationship Id="rId901" Type="http://schemas.openxmlformats.org/officeDocument/2006/relationships/hyperlink" Target="https://drive.google.com/file/d/1qQu3RMJrzSg4Vz9udyr0CcNecOW5pxk-/view?usp=drivesdk" TargetMode="External"/><Relationship Id="rId900" Type="http://schemas.openxmlformats.org/officeDocument/2006/relationships/hyperlink" Target="https://drive.google.com/file/d/1M0BAELx1z59ahBho_rqddbnN-jOkb4h8/view?usp=drivesdk" TargetMode="External"/><Relationship Id="rId1600" Type="http://schemas.openxmlformats.org/officeDocument/2006/relationships/hyperlink" Target="https://drive.google.com/file/d/1WnW13J1xF3o347tmKqnL2uoBlKxa8d6j/view?usp=drivesdk" TargetMode="External"/><Relationship Id="rId1601" Type="http://schemas.openxmlformats.org/officeDocument/2006/relationships/hyperlink" Target="https://drive.google.com/file/d/1FYtaAjVY0GYueikzljItbgH5Nm8DPIMF/view?usp=drivesdk" TargetMode="External"/><Relationship Id="rId1602" Type="http://schemas.openxmlformats.org/officeDocument/2006/relationships/hyperlink" Target="https://drive.google.com/file/d/1UdZ0sLlP9i0ObruaK31cter6u26nkt5i/view?usp=drivesdk" TargetMode="External"/><Relationship Id="rId1603" Type="http://schemas.openxmlformats.org/officeDocument/2006/relationships/hyperlink" Target="https://drive.google.com/file/d/1WzXoDw7hbTdfDVODSeGZ-wP4WsLu0ZBj/view?usp=drivesdk" TargetMode="External"/><Relationship Id="rId1604" Type="http://schemas.openxmlformats.org/officeDocument/2006/relationships/hyperlink" Target="https://drive.google.com/file/d/1UDoCLLZR6gPymPGsOi5SACqAtmQIN_rx/view?usp=drivesdk" TargetMode="External"/><Relationship Id="rId1605" Type="http://schemas.openxmlformats.org/officeDocument/2006/relationships/hyperlink" Target="https://drive.google.com/file/d/1FXFpSS4cJcP0GPo3qBPnVkQdZ2tDP7dL/view?usp=drivesdk" TargetMode="External"/><Relationship Id="rId1606" Type="http://schemas.openxmlformats.org/officeDocument/2006/relationships/hyperlink" Target="https://drive.google.com/file/d/1frrXpFPScwdTxz6dbuWow8xoiyH9oO4y/view?usp=drivesdk" TargetMode="External"/><Relationship Id="rId1607" Type="http://schemas.openxmlformats.org/officeDocument/2006/relationships/hyperlink" Target="https://drive.google.com/file/d/110fk1lm1EeA8p_eM5tIxAeygI8JdMBva/view?usp=drivesdk" TargetMode="External"/><Relationship Id="rId1608" Type="http://schemas.openxmlformats.org/officeDocument/2006/relationships/hyperlink" Target="https://drive.google.com/file/d/1JYoletZ4TlAvqI2JF77__ubnYjUBvf5a/view?usp=drivesdk" TargetMode="External"/><Relationship Id="rId1609" Type="http://schemas.openxmlformats.org/officeDocument/2006/relationships/hyperlink" Target="https://drive.google.com/file/d/1T4O07tQC-uw51OrxCRA1s3l-2w7uH22V/view?usp=drivesdk" TargetMode="External"/><Relationship Id="rId1631" Type="http://schemas.openxmlformats.org/officeDocument/2006/relationships/hyperlink" Target="https://drive.google.com/file/d/1h_1MP4lVyc9hN8zT4lxC6BoTpzV8A9zD/view?usp=drivesdk" TargetMode="External"/><Relationship Id="rId1632" Type="http://schemas.openxmlformats.org/officeDocument/2006/relationships/hyperlink" Target="https://drive.google.com/file/d/1C9urSD6IgosXJpHx_ueYkHvHYd3cI1yi/view?usp=drivesdk" TargetMode="External"/><Relationship Id="rId1633" Type="http://schemas.openxmlformats.org/officeDocument/2006/relationships/hyperlink" Target="https://drive.google.com/file/d/1Soe1DXmwpPJavHpnIZDcTHaMmkFOjgZc/view?usp=drivesdk" TargetMode="External"/><Relationship Id="rId1634" Type="http://schemas.openxmlformats.org/officeDocument/2006/relationships/hyperlink" Target="https://drive.google.com/file/d/111naFMS_MPeQCud_9l3ALhce9jRWz8C6/view?usp=drivesdk" TargetMode="External"/><Relationship Id="rId1635" Type="http://schemas.openxmlformats.org/officeDocument/2006/relationships/hyperlink" Target="https://drive.google.com/file/d/1VE2s9Z43aFLtXwp_NbluvdhBjZmu6DC7/view?usp=drivesdk" TargetMode="External"/><Relationship Id="rId1636" Type="http://schemas.openxmlformats.org/officeDocument/2006/relationships/hyperlink" Target="https://drive.google.com/file/d/1MaZ88UdNXT3mELbjsTCQ6laToK4MxaPV/view?usp=drivesdk" TargetMode="External"/><Relationship Id="rId1637" Type="http://schemas.openxmlformats.org/officeDocument/2006/relationships/hyperlink" Target="https://drive.google.com/file/d/1L1OOOoJSZ8mTGiQdP-tp_gYqZR6Pr3d6/view?usp=drivesdk" TargetMode="External"/><Relationship Id="rId1638" Type="http://schemas.openxmlformats.org/officeDocument/2006/relationships/hyperlink" Target="https://drive.google.com/file/d/1awK43Ooe4_iuiCIhYpyZ0B4bYnqazH1B/view?usp=drivesdk" TargetMode="External"/><Relationship Id="rId929" Type="http://schemas.openxmlformats.org/officeDocument/2006/relationships/hyperlink" Target="https://drive.google.com/file/d/1eMa7LpZ1s4S1mlTBAWPBMWKFjIHfLB4T/view?usp=drivesdk" TargetMode="External"/><Relationship Id="rId1639" Type="http://schemas.openxmlformats.org/officeDocument/2006/relationships/hyperlink" Target="https://drive.google.com/file/d/1tUPe5tLHFs98q9FOENadGTvkMUZ5jpNK/view?usp=drivesdk" TargetMode="External"/><Relationship Id="rId928" Type="http://schemas.openxmlformats.org/officeDocument/2006/relationships/hyperlink" Target="https://drive.google.com/file/d/1bplreIwAbdqqMlh2lHnowhn6uSKSKB-Z/view?usp=drivesdk" TargetMode="External"/><Relationship Id="rId927" Type="http://schemas.openxmlformats.org/officeDocument/2006/relationships/hyperlink" Target="https://drive.google.com/file/d/11r4evWjzUuGyBtFh_CZ84xcR-cu_2y5f/view?usp=drivesdk" TargetMode="External"/><Relationship Id="rId926" Type="http://schemas.openxmlformats.org/officeDocument/2006/relationships/hyperlink" Target="https://drive.google.com/file/d/1PzBrEXpbI0aP55RPU7eQcBmHdV_ZIJ8s/view?usp=drivesdk" TargetMode="External"/><Relationship Id="rId921" Type="http://schemas.openxmlformats.org/officeDocument/2006/relationships/hyperlink" Target="https://drive.google.com/file/d/1Es-2pTEP-ocHDNngAxn1FavT9X89rZ9V/view?usp=drivesdk" TargetMode="External"/><Relationship Id="rId920" Type="http://schemas.openxmlformats.org/officeDocument/2006/relationships/hyperlink" Target="https://drive.google.com/file/d/1MCX4Z6PpWpZkP3pUJkSPNulVpCYOuJHn/view?usp=drivesdk" TargetMode="External"/><Relationship Id="rId925" Type="http://schemas.openxmlformats.org/officeDocument/2006/relationships/hyperlink" Target="https://drive.google.com/file/d/1sCSbOTqKJ2TCUX_bxKiD9liuj3m6M15O/view?usp=drivesdk" TargetMode="External"/><Relationship Id="rId924" Type="http://schemas.openxmlformats.org/officeDocument/2006/relationships/hyperlink" Target="https://drive.google.com/file/d/1jtVG-CSyPxe7bli-0xFnuubscGpfo7wa/view?usp=drivesdk" TargetMode="External"/><Relationship Id="rId923" Type="http://schemas.openxmlformats.org/officeDocument/2006/relationships/hyperlink" Target="https://drive.google.com/file/d/1OyU_f8KS5BIl-9Y3Rc1pAg-paA9G1xJP/view?usp=drivesdk" TargetMode="External"/><Relationship Id="rId922" Type="http://schemas.openxmlformats.org/officeDocument/2006/relationships/hyperlink" Target="https://drive.google.com/file/d/14ZeSKU8_jDp6UkicMKMoWF6dk2kWfXkj/view?usp=drivesdk" TargetMode="External"/><Relationship Id="rId1630" Type="http://schemas.openxmlformats.org/officeDocument/2006/relationships/hyperlink" Target="https://drive.google.com/file/d/1eUfc4p8Xj3G-0i0rOJByX7WX_dInRryw/view?usp=drivesdk" TargetMode="External"/><Relationship Id="rId1620" Type="http://schemas.openxmlformats.org/officeDocument/2006/relationships/hyperlink" Target="https://drive.google.com/file/d/1763p0h-5YY0k_Kk56LO9gPwofea4GzUT/view?usp=drivesdk" TargetMode="External"/><Relationship Id="rId1621" Type="http://schemas.openxmlformats.org/officeDocument/2006/relationships/hyperlink" Target="https://drive.google.com/file/d/1JeRkYItBrLkTEcInjHZVN_q4UhNol-v4/view?usp=drivesdk" TargetMode="External"/><Relationship Id="rId1622" Type="http://schemas.openxmlformats.org/officeDocument/2006/relationships/hyperlink" Target="https://drive.google.com/file/d/1cnpxIdRVu3IuY0eiL0OyzQfGanYmR1Uu/view?usp=drivesdk" TargetMode="External"/><Relationship Id="rId1623" Type="http://schemas.openxmlformats.org/officeDocument/2006/relationships/hyperlink" Target="https://drive.google.com/file/d/12-LwaXwngFnJQaMTU5dHdLgGNUegpz65/view?usp=drivesdk" TargetMode="External"/><Relationship Id="rId1624" Type="http://schemas.openxmlformats.org/officeDocument/2006/relationships/hyperlink" Target="https://drive.google.com/file/d/16MJ5rPS0fBxEewncd8THOoWmlf7hfjMO/view?usp=drivesdk" TargetMode="External"/><Relationship Id="rId1625" Type="http://schemas.openxmlformats.org/officeDocument/2006/relationships/hyperlink" Target="https://drive.google.com/file/d/1HFfqVQA0jFpvbQpMv1_NZYXXgqjkr7kR/view?usp=drivesdk" TargetMode="External"/><Relationship Id="rId1626" Type="http://schemas.openxmlformats.org/officeDocument/2006/relationships/hyperlink" Target="https://drive.google.com/file/d/1Ftilm_QaYTqqEUpIoXAxbGoobdi-BPYP/view?usp=drivesdk" TargetMode="External"/><Relationship Id="rId1627" Type="http://schemas.openxmlformats.org/officeDocument/2006/relationships/hyperlink" Target="https://drive.google.com/file/d/1S-EEHEyH_AjkW3vg0wYOi_kDHfKYgJRR/view?usp=drivesdk" TargetMode="External"/><Relationship Id="rId918" Type="http://schemas.openxmlformats.org/officeDocument/2006/relationships/hyperlink" Target="https://drive.google.com/file/d/1o797uouvNQmp0JKbrnQeF2kO8V_39Eqd/view?usp=drivesdk" TargetMode="External"/><Relationship Id="rId1628" Type="http://schemas.openxmlformats.org/officeDocument/2006/relationships/hyperlink" Target="https://drive.google.com/file/d/1ruvW_pWQ1aYgrVlirHOk-gQGYIulZqho/view?usp=drivesdk" TargetMode="External"/><Relationship Id="rId917" Type="http://schemas.openxmlformats.org/officeDocument/2006/relationships/hyperlink" Target="https://drive.google.com/file/d/1_lCDmr4p6RiHW01BVEnHRretjfNmNY6w/view?usp=drivesdk" TargetMode="External"/><Relationship Id="rId1629" Type="http://schemas.openxmlformats.org/officeDocument/2006/relationships/hyperlink" Target="https://drive.google.com/file/d/1E1a6-y-SaOqKm1UV33OPZVN9L6KHbgtj/view?usp=drivesdk" TargetMode="External"/><Relationship Id="rId916" Type="http://schemas.openxmlformats.org/officeDocument/2006/relationships/hyperlink" Target="https://drive.google.com/file/d/18Iar1dXNWFU7mf-LbKy2-pfgCIKiSbJR/view?usp=drivesdk" TargetMode="External"/><Relationship Id="rId915" Type="http://schemas.openxmlformats.org/officeDocument/2006/relationships/hyperlink" Target="https://drive.google.com/file/d/1MZ6-BNCsxxTxkqjaA3dvQr84APrsOdES/view?usp=drivesdk" TargetMode="External"/><Relationship Id="rId919" Type="http://schemas.openxmlformats.org/officeDocument/2006/relationships/hyperlink" Target="https://drive.google.com/file/d/1bVTs1YosGwEFw1sZ4Mx8VjLGQQWrKKYA/view?usp=drivesdk" TargetMode="External"/><Relationship Id="rId910" Type="http://schemas.openxmlformats.org/officeDocument/2006/relationships/hyperlink" Target="https://drive.google.com/file/d/1_ftRG5mcYAYRQDzFGihI2v6Bk23BKXD3/view?usp=drivesdk" TargetMode="External"/><Relationship Id="rId914" Type="http://schemas.openxmlformats.org/officeDocument/2006/relationships/hyperlink" Target="https://drive.google.com/file/d/1oMOsZcOhaB7JmZiNiCkqIcMuzfEQt5pn/view?usp=drivesdk" TargetMode="External"/><Relationship Id="rId913" Type="http://schemas.openxmlformats.org/officeDocument/2006/relationships/hyperlink" Target="https://drive.google.com/file/d/1EfR4_kFWZWcf2Ka3cB1d5CA46Ot1m39N/view?usp=drivesdk" TargetMode="External"/><Relationship Id="rId912" Type="http://schemas.openxmlformats.org/officeDocument/2006/relationships/hyperlink" Target="https://drive.google.com/file/d/12PPg8t35DybR8iCQUD7nKGA08O8jsSWB/view?usp=drivesdk" TargetMode="External"/><Relationship Id="rId911" Type="http://schemas.openxmlformats.org/officeDocument/2006/relationships/hyperlink" Target="https://drive.google.com/file/d/1ERcR58fR_UV-brhjDNKF4yANsL_kib_F/view?usp=drivesdk" TargetMode="External"/><Relationship Id="rId1213" Type="http://schemas.openxmlformats.org/officeDocument/2006/relationships/hyperlink" Target="https://drive.google.com/file/d/1UfoEnGx2i4jJPVC50TxIueHGfcEd-geN/view?usp=drivesdk" TargetMode="External"/><Relationship Id="rId1697" Type="http://schemas.openxmlformats.org/officeDocument/2006/relationships/hyperlink" Target="https://drive.google.com/file/d/133hXzjscRjfl3IJ1JzL-Pzv3zLEV1-TF/view?usp=drivesdk" TargetMode="External"/><Relationship Id="rId2544" Type="http://schemas.openxmlformats.org/officeDocument/2006/relationships/hyperlink" Target="https://drive.google.com/file/d/1wbEGGErK-lbK0GtEg4mVu6wNrRpe5eNP/view?usp=drivesdk" TargetMode="External"/><Relationship Id="rId1214" Type="http://schemas.openxmlformats.org/officeDocument/2006/relationships/hyperlink" Target="https://drive.google.com/file/d/1JpUPpFn1W4KGJkQ-KCAIBXEVXkWTORfx/view?usp=drivesdk" TargetMode="External"/><Relationship Id="rId1698" Type="http://schemas.openxmlformats.org/officeDocument/2006/relationships/hyperlink" Target="https://drive.google.com/file/d/1_TD2AJFsiE66dodi6vuetOWl1uTM2nk7/view?usp=drivesdk" TargetMode="External"/><Relationship Id="rId2545" Type="http://schemas.openxmlformats.org/officeDocument/2006/relationships/hyperlink" Target="https://drive.google.com/file/d/1c09q1g7maUz_sJTJqzjk0frmvo1JjXkM/view?usp=drivesdk" TargetMode="External"/><Relationship Id="rId1215" Type="http://schemas.openxmlformats.org/officeDocument/2006/relationships/hyperlink" Target="https://drive.google.com/file/d/1FEy1Odh4uPc3jfwVC0h_PbnXlogCHac-/view?usp=drivesdk" TargetMode="External"/><Relationship Id="rId1699" Type="http://schemas.openxmlformats.org/officeDocument/2006/relationships/hyperlink" Target="https://drive.google.com/file/d/1x0o_roHHKzeQNaHEQzd_ERMC_tFEmHuR/view?usp=drivesdk" TargetMode="External"/><Relationship Id="rId2546" Type="http://schemas.openxmlformats.org/officeDocument/2006/relationships/hyperlink" Target="https://drive.google.com/file/d/1LeiQDS2D3vQqQTOqBOsraZ4TAW9Tl61Y/view?usp=drivesdk" TargetMode="External"/><Relationship Id="rId1216" Type="http://schemas.openxmlformats.org/officeDocument/2006/relationships/hyperlink" Target="https://drive.google.com/file/d/1YQte9j1aU-iTloK2aLij6bBwM6bJm6lz/view?usp=drivesdk" TargetMode="External"/><Relationship Id="rId2547" Type="http://schemas.openxmlformats.org/officeDocument/2006/relationships/hyperlink" Target="https://drive.google.com/file/d/1C0-uVbWG-mQHRlBaVV0Ea8bLTXnyvClL/view?usp=drivesdk" TargetMode="External"/><Relationship Id="rId1217" Type="http://schemas.openxmlformats.org/officeDocument/2006/relationships/hyperlink" Target="https://drive.google.com/file/d/1LuMjUgBfH8L5cRieI4JBBdeZW6UriSYK/view?usp=drivesdk" TargetMode="External"/><Relationship Id="rId2548" Type="http://schemas.openxmlformats.org/officeDocument/2006/relationships/hyperlink" Target="https://drive.google.com/file/d/1JH4hnhC8IaYiXJ7HAFQM4d0eKdUr65l0/view?usp=drivesdk" TargetMode="External"/><Relationship Id="rId1218" Type="http://schemas.openxmlformats.org/officeDocument/2006/relationships/hyperlink" Target="https://drive.google.com/file/d/1n5sdk0YyMZKAsQWaRSsz559_1uTGKHB3/view?usp=drivesdk" TargetMode="External"/><Relationship Id="rId2549" Type="http://schemas.openxmlformats.org/officeDocument/2006/relationships/hyperlink" Target="https://drive.google.com/file/d/1-2Gw6tHIdUmeLRgiWaefaduU0GME6Ogv/view?usp=drivesdk" TargetMode="External"/><Relationship Id="rId1219" Type="http://schemas.openxmlformats.org/officeDocument/2006/relationships/hyperlink" Target="https://drive.google.com/file/d/12TfkTjZWkJLCepp3_RPyOGcXqeTd9FRo/view?usp=drivesdk" TargetMode="External"/><Relationship Id="rId866" Type="http://schemas.openxmlformats.org/officeDocument/2006/relationships/hyperlink" Target="https://drive.google.com/file/d/1v8ZxtmNcZFZ8izo_QZOF5rQUvcRE5PQB/view?usp=drivesdk" TargetMode="External"/><Relationship Id="rId865" Type="http://schemas.openxmlformats.org/officeDocument/2006/relationships/hyperlink" Target="https://drive.google.com/file/d/10nMhdBV2ZLszAxBpsoWdhW2zFQE3m8Np/view?usp=drivesdk" TargetMode="External"/><Relationship Id="rId864" Type="http://schemas.openxmlformats.org/officeDocument/2006/relationships/hyperlink" Target="https://drive.google.com/file/d/1qHvz4pGZDGKRPyhr4OwcbsVzmLg-Ivuh/view?usp=drivesdk" TargetMode="External"/><Relationship Id="rId863" Type="http://schemas.openxmlformats.org/officeDocument/2006/relationships/hyperlink" Target="https://drive.google.com/file/d/1TgMKNP5sqhqgiERbaiA_cZTfxXaTdh6T/view?usp=drivesdk" TargetMode="External"/><Relationship Id="rId869" Type="http://schemas.openxmlformats.org/officeDocument/2006/relationships/hyperlink" Target="https://drive.google.com/file/d/14pF4zh-QTGl5GLl_mx8Ebsj0WBk_zJ1O/view?usp=drivesdk" TargetMode="External"/><Relationship Id="rId868" Type="http://schemas.openxmlformats.org/officeDocument/2006/relationships/hyperlink" Target="https://drive.google.com/file/d/1LA7rNqQQHJierdkRDLaSICu1THqahGpw/view?usp=drivesdk" TargetMode="External"/><Relationship Id="rId867" Type="http://schemas.openxmlformats.org/officeDocument/2006/relationships/hyperlink" Target="https://drive.google.com/file/d/15PE49LZyVc_gCX8swMRzwIULaiwwUpR8/view?usp=drivesdk" TargetMode="External"/><Relationship Id="rId1690" Type="http://schemas.openxmlformats.org/officeDocument/2006/relationships/hyperlink" Target="https://drive.google.com/file/d/1ES5nf7NI5yKSZeTUNa6afnubjN8SKmzf/view?usp=drivesdk" TargetMode="External"/><Relationship Id="rId1691" Type="http://schemas.openxmlformats.org/officeDocument/2006/relationships/hyperlink" Target="https://drive.google.com/file/d/1PACe3ge4zJ2vQIVTcrvxGgh3dEDzOQEf/view?usp=drivesdk" TargetMode="External"/><Relationship Id="rId1692" Type="http://schemas.openxmlformats.org/officeDocument/2006/relationships/hyperlink" Target="https://drive.google.com/file/d/1lhiNLzmKjmFkP1kr70p1azU0L9zq58dj/view?usp=drivesdk" TargetMode="External"/><Relationship Id="rId862" Type="http://schemas.openxmlformats.org/officeDocument/2006/relationships/hyperlink" Target="https://drive.google.com/file/d/1q_9qW_lL4MhuICTMeqnUOaWW2GYw2nBk/view?usp=drivesdk" TargetMode="External"/><Relationship Id="rId1693" Type="http://schemas.openxmlformats.org/officeDocument/2006/relationships/hyperlink" Target="https://drive.google.com/file/d/18usdGSH7iDASJztm31gP7f-qVHbUQy-7/view?usp=drivesdk" TargetMode="External"/><Relationship Id="rId2540" Type="http://schemas.openxmlformats.org/officeDocument/2006/relationships/hyperlink" Target="https://drive.google.com/file/d/1S0QmOPSVYmT0XvMyV-_tGJdppGrYHUL-/view?usp=drivesdk" TargetMode="External"/><Relationship Id="rId861" Type="http://schemas.openxmlformats.org/officeDocument/2006/relationships/hyperlink" Target="https://drive.google.com/file/d/1mqgJHbYoLed7azPO3YNs7f8fzbAMcZY6/view?usp=drivesdk" TargetMode="External"/><Relationship Id="rId1210" Type="http://schemas.openxmlformats.org/officeDocument/2006/relationships/hyperlink" Target="https://drive.google.com/file/d/177k-eYCmF46GOIHAoQmxxH6VFyw6qLW6/view?usp=drivesdk" TargetMode="External"/><Relationship Id="rId1694" Type="http://schemas.openxmlformats.org/officeDocument/2006/relationships/hyperlink" Target="https://drive.google.com/file/d/1lkMxdgG-pe8TEcrri0wAi5yJlCNdkrii/view?usp=drivesdk" TargetMode="External"/><Relationship Id="rId2541" Type="http://schemas.openxmlformats.org/officeDocument/2006/relationships/hyperlink" Target="https://drive.google.com/file/d/1aGRtdg47n4GGmp8H6sLWJEkp1qXeuZNN/view?usp=drivesdk" TargetMode="External"/><Relationship Id="rId860" Type="http://schemas.openxmlformats.org/officeDocument/2006/relationships/hyperlink" Target="https://drive.google.com/file/d/1zhICrtwPNU293pBhRnPmPS1OWdIvlMAz/view?usp=drivesdk" TargetMode="External"/><Relationship Id="rId1211" Type="http://schemas.openxmlformats.org/officeDocument/2006/relationships/hyperlink" Target="https://drive.google.com/file/d/1kXpYeZ9M5l0Gq0i4RtV55LsEBrEo_Dgi/view?usp=drivesdk" TargetMode="External"/><Relationship Id="rId1695" Type="http://schemas.openxmlformats.org/officeDocument/2006/relationships/hyperlink" Target="https://drive.google.com/file/d/1hOwIbO2nfwrzhNOajyMb6Zy4KiMlyIDM/view?usp=drivesdk" TargetMode="External"/><Relationship Id="rId2542" Type="http://schemas.openxmlformats.org/officeDocument/2006/relationships/hyperlink" Target="https://drive.google.com/file/d/1NI9cOsBPFe6Twvz5dvJPT8W0nfPTUlCy/view?usp=drivesdk" TargetMode="External"/><Relationship Id="rId1212" Type="http://schemas.openxmlformats.org/officeDocument/2006/relationships/hyperlink" Target="https://drive.google.com/file/d/19a1W2peiPvjWkgjI_R1C-5WFKv7tv5hM/view?usp=drivesdk" TargetMode="External"/><Relationship Id="rId1696" Type="http://schemas.openxmlformats.org/officeDocument/2006/relationships/hyperlink" Target="https://drive.google.com/file/d/16Wlt_kzdCYADXaytzInHVtrPSGanFsCD/view?usp=drivesdk" TargetMode="External"/><Relationship Id="rId2543" Type="http://schemas.openxmlformats.org/officeDocument/2006/relationships/hyperlink" Target="https://drive.google.com/file/d/1GtRv_d6OPYvcRgdFt196QDuhOUH8zDnn/view?usp=drivesdk" TargetMode="External"/><Relationship Id="rId1202" Type="http://schemas.openxmlformats.org/officeDocument/2006/relationships/hyperlink" Target="https://drive.google.com/file/d/1ciGF82g_Vp4CvJ5DJeIEqsBl0F9uQ1nw/view?usp=drivesdk" TargetMode="External"/><Relationship Id="rId1686" Type="http://schemas.openxmlformats.org/officeDocument/2006/relationships/hyperlink" Target="https://drive.google.com/file/d/1ymkl8y2ALCVL966kaJcRVgh2xHY8mGiq/view?usp=drivesdk" TargetMode="External"/><Relationship Id="rId2533" Type="http://schemas.openxmlformats.org/officeDocument/2006/relationships/hyperlink" Target="https://drive.google.com/file/d/15cKsCVO02j-ldE74qgJnKVlHgnKpZfHz/view?usp=drivesdk" TargetMode="External"/><Relationship Id="rId1203" Type="http://schemas.openxmlformats.org/officeDocument/2006/relationships/hyperlink" Target="https://drive.google.com/file/d/19VW0LPVKOQJg_uGYgojHdORRrDbDXWaQ/view?usp=drivesdk" TargetMode="External"/><Relationship Id="rId1687" Type="http://schemas.openxmlformats.org/officeDocument/2006/relationships/hyperlink" Target="https://drive.google.com/file/d/1gj0AanqwE0J7H7gCdaLdVQXzX0tOwyRY/view?usp=drivesdk" TargetMode="External"/><Relationship Id="rId2534" Type="http://schemas.openxmlformats.org/officeDocument/2006/relationships/hyperlink" Target="https://drive.google.com/file/d/1LUeYuJQHf_xl7EcPT_A4OpxSwi6PS033/view?usp=drivesdk" TargetMode="External"/><Relationship Id="rId1204" Type="http://schemas.openxmlformats.org/officeDocument/2006/relationships/hyperlink" Target="https://drive.google.com/file/d/1zc7P8NWV5oGnU0n5r2fTUn1EJmNStcNs/view?usp=drivesdk" TargetMode="External"/><Relationship Id="rId1688" Type="http://schemas.openxmlformats.org/officeDocument/2006/relationships/hyperlink" Target="https://drive.google.com/file/d/1TogTy-x9fMkA7XPERXqdLJEe2MIwUyyd/view?usp=drivesdk" TargetMode="External"/><Relationship Id="rId2535" Type="http://schemas.openxmlformats.org/officeDocument/2006/relationships/hyperlink" Target="https://drive.google.com/file/d/1_l0iSeHO9q-mWu2vXIw12w7Qwqss7-FO/view?usp=drivesdk" TargetMode="External"/><Relationship Id="rId1205" Type="http://schemas.openxmlformats.org/officeDocument/2006/relationships/hyperlink" Target="https://drive.google.com/file/d/1P1yJaW3uRR_z40PjBXXBrtMH92uu1sfQ/view?usp=drivesdk" TargetMode="External"/><Relationship Id="rId1689" Type="http://schemas.openxmlformats.org/officeDocument/2006/relationships/hyperlink" Target="https://drive.google.com/file/d/1IkI6O5rGD6WX8p-mQHlmKNESte5YF8uU/view?usp=drivesdk" TargetMode="External"/><Relationship Id="rId2536" Type="http://schemas.openxmlformats.org/officeDocument/2006/relationships/hyperlink" Target="https://drive.google.com/file/d/18h328lqAeN3aIESGfRywtHze5km_ildZ/view?usp=drivesdk" TargetMode="External"/><Relationship Id="rId1206" Type="http://schemas.openxmlformats.org/officeDocument/2006/relationships/hyperlink" Target="https://drive.google.com/file/d/1YEnqVbGtgx7Ubj2N_EJ1yiYUduEbtxvH/view?usp=drivesdk" TargetMode="External"/><Relationship Id="rId2537" Type="http://schemas.openxmlformats.org/officeDocument/2006/relationships/hyperlink" Target="https://drive.google.com/file/d/12MIjZvE8J_R0HomWVKIxwKBV6MjQ77O3/view?usp=drivesdk" TargetMode="External"/><Relationship Id="rId1207" Type="http://schemas.openxmlformats.org/officeDocument/2006/relationships/hyperlink" Target="https://drive.google.com/file/d/1qhESXmboCkDb7qXR-ma95P5aOfcOgLbf/view?usp=drivesdk" TargetMode="External"/><Relationship Id="rId2538" Type="http://schemas.openxmlformats.org/officeDocument/2006/relationships/hyperlink" Target="https://drive.google.com/file/d/1dkBcERCkQzGXJtDmBe7eCOKrXPa5fv_0/view?usp=drivesdk" TargetMode="External"/><Relationship Id="rId1208" Type="http://schemas.openxmlformats.org/officeDocument/2006/relationships/hyperlink" Target="https://drive.google.com/file/d/1xWXoQ8zmmZfTLGe4C52mOBPoBEOaSacN/view?usp=drivesdk" TargetMode="External"/><Relationship Id="rId2539" Type="http://schemas.openxmlformats.org/officeDocument/2006/relationships/hyperlink" Target="https://drive.google.com/file/d/1Mwewh7OYaG0aLxjon1XkT4BtcF_VPOcv/view?usp=drivesdk" TargetMode="External"/><Relationship Id="rId1209" Type="http://schemas.openxmlformats.org/officeDocument/2006/relationships/hyperlink" Target="https://drive.google.com/file/d/1qJUz5_QKz9rIeuj1xyCQ9ejMi4F3FcEW/view?usp=drivesdk" TargetMode="External"/><Relationship Id="rId855" Type="http://schemas.openxmlformats.org/officeDocument/2006/relationships/hyperlink" Target="https://drive.google.com/file/d/1jWzAwcVfwlyJwdlN_Ddty0mqP4fHsKMV/view?usp=drivesdk" TargetMode="External"/><Relationship Id="rId854" Type="http://schemas.openxmlformats.org/officeDocument/2006/relationships/hyperlink" Target="https://drive.google.com/file/d/1BJ03aVXjWmkU3vZCZcWrZ-oOwpt209fg/view?usp=drivesdk" TargetMode="External"/><Relationship Id="rId853" Type="http://schemas.openxmlformats.org/officeDocument/2006/relationships/hyperlink" Target="https://drive.google.com/file/d/1jbXsOMeMGwYurkWI8Rano0YXF3DPaCLW/view?usp=drivesdk" TargetMode="External"/><Relationship Id="rId852" Type="http://schemas.openxmlformats.org/officeDocument/2006/relationships/hyperlink" Target="https://drive.google.com/file/d/19bMQimpJyW4HxHrrLc-_MJCKMbBprVDq/view?usp=drivesdk" TargetMode="External"/><Relationship Id="rId859" Type="http://schemas.openxmlformats.org/officeDocument/2006/relationships/hyperlink" Target="https://drive.google.com/file/d/1a3xAQG3U_wYs53kRSQPtgKlTfCjU2H1Z/view?usp=drivesdk" TargetMode="External"/><Relationship Id="rId858" Type="http://schemas.openxmlformats.org/officeDocument/2006/relationships/hyperlink" Target="https://drive.google.com/file/d/18gkfr_jQbpu_VSUtvP8LHRHxg40mU5KL/view?usp=drivesdk" TargetMode="External"/><Relationship Id="rId857" Type="http://schemas.openxmlformats.org/officeDocument/2006/relationships/hyperlink" Target="https://drive.google.com/file/d/1QtGeCLyUNJBAkW3Iaw1PWLfhWtaWjTHG/view?usp=drivesdk" TargetMode="External"/><Relationship Id="rId856" Type="http://schemas.openxmlformats.org/officeDocument/2006/relationships/hyperlink" Target="https://drive.google.com/file/d/1bV8rthphWHgfgbJrdkD1TuQqdLKNjlOg/view?usp=drivesdk" TargetMode="External"/><Relationship Id="rId1680" Type="http://schemas.openxmlformats.org/officeDocument/2006/relationships/hyperlink" Target="https://drive.google.com/file/d/1_6pMpp24sqVVMd_VMRwPBDHfi-D4SOXQ/view?usp=drivesdk" TargetMode="External"/><Relationship Id="rId1681" Type="http://schemas.openxmlformats.org/officeDocument/2006/relationships/hyperlink" Target="https://drive.google.com/file/d/1YT9pk6CCN6ty92ZHEyNbN5GV7QRmnDum/view?usp=drivesdk" TargetMode="External"/><Relationship Id="rId851" Type="http://schemas.openxmlformats.org/officeDocument/2006/relationships/hyperlink" Target="https://drive.google.com/file/d/1xIXyH2HMQD1p9aD1ZuZWR3jTUwYrwCV8/view?usp=drivesdk" TargetMode="External"/><Relationship Id="rId1682" Type="http://schemas.openxmlformats.org/officeDocument/2006/relationships/hyperlink" Target="https://drive.google.com/file/d/1951CBx8jHJW4dVCc0iVAFtAkn8oUdHSQ/view?usp=drivesdk" TargetMode="External"/><Relationship Id="rId850" Type="http://schemas.openxmlformats.org/officeDocument/2006/relationships/hyperlink" Target="https://drive.google.com/file/d/1ojljhBCI-uLIldvJHwy2PyWM7yfV8yn6/view?usp=drivesdk" TargetMode="External"/><Relationship Id="rId1683" Type="http://schemas.openxmlformats.org/officeDocument/2006/relationships/hyperlink" Target="https://drive.google.com/file/d/18ZhxUFHx_SyEuZ5l0HJIIKyBhqX1slRb/view?usp=drivesdk" TargetMode="External"/><Relationship Id="rId2530" Type="http://schemas.openxmlformats.org/officeDocument/2006/relationships/hyperlink" Target="https://drive.google.com/file/d/1vzD08-B23mMOlS6tE-T9K9wxIbZMeOhI/view?usp=drivesdk" TargetMode="External"/><Relationship Id="rId1200" Type="http://schemas.openxmlformats.org/officeDocument/2006/relationships/hyperlink" Target="https://drive.google.com/file/d/1RkFvXXJio4hdFLCaefuDBnsIZm8jFg2v/view?usp=drivesdk" TargetMode="External"/><Relationship Id="rId1684" Type="http://schemas.openxmlformats.org/officeDocument/2006/relationships/hyperlink" Target="https://drive.google.com/file/d/1cZF2YeyEawRtD2yRlWuLRskfS7LcFtBh/view?usp=drivesdk" TargetMode="External"/><Relationship Id="rId2531" Type="http://schemas.openxmlformats.org/officeDocument/2006/relationships/hyperlink" Target="https://drive.google.com/file/d/1ASE9F89Dtka8MtMw2iaqFL01iBrBmXem/view?usp=drivesdk" TargetMode="External"/><Relationship Id="rId1201" Type="http://schemas.openxmlformats.org/officeDocument/2006/relationships/hyperlink" Target="https://drive.google.com/file/d/175j-XKZDv9yMjasl5U_BEbUVJeDXOIHu/view?usp=drivesdk" TargetMode="External"/><Relationship Id="rId1685" Type="http://schemas.openxmlformats.org/officeDocument/2006/relationships/hyperlink" Target="https://drive.google.com/file/d/1Nz5wTOoEdrj4eyab4m-B2QiVtXukA2LT/view?usp=drivesdk" TargetMode="External"/><Relationship Id="rId2532" Type="http://schemas.openxmlformats.org/officeDocument/2006/relationships/hyperlink" Target="https://drive.google.com/file/d/1Qb-GWcxLCZX-UB7wQEPz9A0DowSp9Iol/view?usp=drivesdk" TargetMode="External"/><Relationship Id="rId1235" Type="http://schemas.openxmlformats.org/officeDocument/2006/relationships/hyperlink" Target="https://drive.google.com/file/d/1g5wPgtQGwYE54lawWrgzykPh3WnW4XYO/view?usp=drivesdk" TargetMode="External"/><Relationship Id="rId2566" Type="http://schemas.openxmlformats.org/officeDocument/2006/relationships/hyperlink" Target="https://drive.google.com/file/d/1xkvfA-iNKip87Be8F8UXQjyMn4qcUDPu/view?usp=drivesdk" TargetMode="External"/><Relationship Id="rId1236" Type="http://schemas.openxmlformats.org/officeDocument/2006/relationships/hyperlink" Target="https://drive.google.com/file/d/1zupNl0qXag6IfpFUN0rZgxwRvfSgAaqN/view?usp=drivesdk" TargetMode="External"/><Relationship Id="rId2567" Type="http://schemas.openxmlformats.org/officeDocument/2006/relationships/hyperlink" Target="https://drive.google.com/file/d/19j3IiaZ1s5vWOr_92GM9kAPcS4UbThpI/view?usp=drivesdk" TargetMode="External"/><Relationship Id="rId1237" Type="http://schemas.openxmlformats.org/officeDocument/2006/relationships/hyperlink" Target="https://drive.google.com/file/d/1_9IYOxJi3XwVsgQUDds3rSYm-bniTIGD/view?usp=drivesdk" TargetMode="External"/><Relationship Id="rId2568" Type="http://schemas.openxmlformats.org/officeDocument/2006/relationships/hyperlink" Target="https://drive.google.com/file/d/1w2KSSqge5Wbx2KOhT9-shFowOk9b8XEC/view?usp=drivesdk" TargetMode="External"/><Relationship Id="rId1238" Type="http://schemas.openxmlformats.org/officeDocument/2006/relationships/hyperlink" Target="https://drive.google.com/file/d/11k87AZnykHhBOsrDKXs9_KCnaQ_EgPNz/view?usp=drivesdk" TargetMode="External"/><Relationship Id="rId2569" Type="http://schemas.openxmlformats.org/officeDocument/2006/relationships/hyperlink" Target="https://drive.google.com/file/d/1C3_8iGQF6bVWA5IRTACajoBT8w990Y2J/view?usp=drivesdk" TargetMode="External"/><Relationship Id="rId1239" Type="http://schemas.openxmlformats.org/officeDocument/2006/relationships/hyperlink" Target="https://drive.google.com/file/d/1kHBdJOtXx5yfs3CAWikRVkJPkfTmu_H7/view?usp=drivesdk" TargetMode="External"/><Relationship Id="rId409" Type="http://schemas.openxmlformats.org/officeDocument/2006/relationships/hyperlink" Target="https://drive.google.com/file/d/1b-Ut4-vB3129IcAlgZBJrwm25kYIQaCs/view?usp=drivesdk" TargetMode="External"/><Relationship Id="rId404" Type="http://schemas.openxmlformats.org/officeDocument/2006/relationships/hyperlink" Target="https://drive.google.com/file/d/11FQlqvRKN6_63TPuxgEKwUMbwtbYSdzi/view?usp=drivesdk" TargetMode="External"/><Relationship Id="rId888" Type="http://schemas.openxmlformats.org/officeDocument/2006/relationships/hyperlink" Target="https://drive.google.com/file/d/14I9lfwS2_skiJx1KVytgGY3MEVQJjRw3/view?usp=drivesdk" TargetMode="External"/><Relationship Id="rId403" Type="http://schemas.openxmlformats.org/officeDocument/2006/relationships/hyperlink" Target="https://drive.google.com/file/d/1LEh63btjQNd-NC61qXUxvjT0AR8EmA00/view?usp=drivesdk" TargetMode="External"/><Relationship Id="rId887" Type="http://schemas.openxmlformats.org/officeDocument/2006/relationships/hyperlink" Target="https://drive.google.com/file/d/15ed9HxuF6MvtyTcCb607fFdBFPk9Bg2_/view?usp=drivesdk" TargetMode="External"/><Relationship Id="rId402" Type="http://schemas.openxmlformats.org/officeDocument/2006/relationships/hyperlink" Target="https://drive.google.com/file/d/1OR4zQ3yZ_UDzhyJYxfB5rbGSshQRTm3W/view?usp=drivesdk" TargetMode="External"/><Relationship Id="rId886" Type="http://schemas.openxmlformats.org/officeDocument/2006/relationships/hyperlink" Target="https://drive.google.com/file/d/1DzP2M9o91sO2apBoEPES9-6bnDNI05jz/view?usp=drivesdk" TargetMode="External"/><Relationship Id="rId401" Type="http://schemas.openxmlformats.org/officeDocument/2006/relationships/hyperlink" Target="https://drive.google.com/file/d/1SvC_u5xxHpzJOjPUTWKSpm9_CddfM8mh/view?usp=drivesdk" TargetMode="External"/><Relationship Id="rId885" Type="http://schemas.openxmlformats.org/officeDocument/2006/relationships/hyperlink" Target="https://drive.google.com/file/d/1lVD6gukjl1pIbfDENfitR4yG-ZF1rI7h/view?usp=drivesdk" TargetMode="External"/><Relationship Id="rId408" Type="http://schemas.openxmlformats.org/officeDocument/2006/relationships/hyperlink" Target="https://drive.google.com/file/d/1qS4CcYSTpZY8bE7jgK40eAI7CnutFKIX/view?usp=drivesdk" TargetMode="External"/><Relationship Id="rId407" Type="http://schemas.openxmlformats.org/officeDocument/2006/relationships/hyperlink" Target="https://drive.google.com/file/d/1ZfJzN6Jw5WKxg1zBHrJln-k8Id12QeKu/view?usp=drivesdk" TargetMode="External"/><Relationship Id="rId406" Type="http://schemas.openxmlformats.org/officeDocument/2006/relationships/hyperlink" Target="https://drive.google.com/file/d/1PUm8voP1pMOLYJG-aKQT1yIyU4m5eSNp/view?usp=drivesdk" TargetMode="External"/><Relationship Id="rId405" Type="http://schemas.openxmlformats.org/officeDocument/2006/relationships/hyperlink" Target="https://drive.google.com/file/d/1lcrI6Wf1AFP7D675mcRsfD37aTxzo_cT/view?usp=drivesdk" TargetMode="External"/><Relationship Id="rId889" Type="http://schemas.openxmlformats.org/officeDocument/2006/relationships/hyperlink" Target="https://drive.google.com/file/d/1MBF2Nishl1XkM5d8az6pAOKcHUsEWt8a/view?usp=drivesdk" TargetMode="External"/><Relationship Id="rId880" Type="http://schemas.openxmlformats.org/officeDocument/2006/relationships/hyperlink" Target="https://drive.google.com/file/d/1I7Gbu3j6xi48M6U_XvIXZtnQ0p7lbEsG/view?usp=drivesdk" TargetMode="External"/><Relationship Id="rId2560" Type="http://schemas.openxmlformats.org/officeDocument/2006/relationships/hyperlink" Target="https://drive.google.com/file/d/1P7A-neEc_RiEtTBz6r-Y-DUOtE_ZWd3m/view?usp=drivesdk" TargetMode="External"/><Relationship Id="rId1230" Type="http://schemas.openxmlformats.org/officeDocument/2006/relationships/hyperlink" Target="https://drive.google.com/file/d/18-1bD-Qmiq6xdpznyiLAANXpjqD3b6k2/view?usp=drivesdk" TargetMode="External"/><Relationship Id="rId2561" Type="http://schemas.openxmlformats.org/officeDocument/2006/relationships/hyperlink" Target="https://drive.google.com/file/d/1HTUINvlSIDzOyZBscjvpte8p7H7uJahZ/view?usp=drivesdk" TargetMode="External"/><Relationship Id="rId400" Type="http://schemas.openxmlformats.org/officeDocument/2006/relationships/hyperlink" Target="https://drive.google.com/file/d/1jvcsMZ5T4hC-f2AjU91WtX4YUKuTgxjL/view?usp=drivesdk" TargetMode="External"/><Relationship Id="rId884" Type="http://schemas.openxmlformats.org/officeDocument/2006/relationships/hyperlink" Target="https://drive.google.com/file/d/1jHAetOH2fmyQL7tXM4m1HBrUou4GGWIF/view?usp=drivesdk" TargetMode="External"/><Relationship Id="rId1231" Type="http://schemas.openxmlformats.org/officeDocument/2006/relationships/hyperlink" Target="https://drive.google.com/file/d/1bgVb1c84oumZQiuEIFCOsIYB7miNekyx/view?usp=drivesdk" TargetMode="External"/><Relationship Id="rId2562" Type="http://schemas.openxmlformats.org/officeDocument/2006/relationships/hyperlink" Target="https://drive.google.com/file/d/166vTeajr71ZryBvI7FRWE5NwYuJOwF5X/view?usp=drivesdk" TargetMode="External"/><Relationship Id="rId883" Type="http://schemas.openxmlformats.org/officeDocument/2006/relationships/hyperlink" Target="https://drive.google.com/file/d/111R3kilyWz4egI9BpXxmnz-3KN_piTmQ/view?usp=drivesdk" TargetMode="External"/><Relationship Id="rId1232" Type="http://schemas.openxmlformats.org/officeDocument/2006/relationships/hyperlink" Target="https://drive.google.com/file/d/1fi8jCe2tmXJokRcIsbjhYBCPdPRcHijy/view?usp=drivesdk" TargetMode="External"/><Relationship Id="rId2563" Type="http://schemas.openxmlformats.org/officeDocument/2006/relationships/hyperlink" Target="https://drive.google.com/file/d/1_HeXppvxsDVRqbLErUXa8jwZSD4q9UYo/view?usp=drivesdk" TargetMode="External"/><Relationship Id="rId882" Type="http://schemas.openxmlformats.org/officeDocument/2006/relationships/hyperlink" Target="https://drive.google.com/file/d/1jz8B0sRm0UC8gLQPoAO2aTneWwPbiyu-/view?usp=drivesdk" TargetMode="External"/><Relationship Id="rId1233" Type="http://schemas.openxmlformats.org/officeDocument/2006/relationships/hyperlink" Target="https://drive.google.com/file/d/1Y2s3aXrtRWlWiEwqB-o0S1taZQxl6xjd/view?usp=drivesdk" TargetMode="External"/><Relationship Id="rId2564" Type="http://schemas.openxmlformats.org/officeDocument/2006/relationships/hyperlink" Target="https://drive.google.com/file/d/17LN3VUSK7gVu0a2D2U8szONlmnEOWZzK/view?usp=drivesdk" TargetMode="External"/><Relationship Id="rId881" Type="http://schemas.openxmlformats.org/officeDocument/2006/relationships/hyperlink" Target="https://drive.google.com/file/d/1alY3QZihjrzX-dejDujVeNAlgXG0Tgzg/view?usp=drivesdk" TargetMode="External"/><Relationship Id="rId1234" Type="http://schemas.openxmlformats.org/officeDocument/2006/relationships/hyperlink" Target="https://drive.google.com/file/d/1ztyguKmiLTqfS_7V7O8ZbKqMXE3d5llh/view?usp=drivesdk" TargetMode="External"/><Relationship Id="rId2565" Type="http://schemas.openxmlformats.org/officeDocument/2006/relationships/hyperlink" Target="https://drive.google.com/file/d/1Z-yYSccV74PsNfZAlOqX0_ESnESid05m/view?usp=drivesdk" TargetMode="External"/><Relationship Id="rId1224" Type="http://schemas.openxmlformats.org/officeDocument/2006/relationships/hyperlink" Target="https://drive.google.com/file/d/1_FiTMN4ZNLrnxpd7wq6nHuXiOR11j9dG/view?usp=drivesdk" TargetMode="External"/><Relationship Id="rId2555" Type="http://schemas.openxmlformats.org/officeDocument/2006/relationships/hyperlink" Target="https://drive.google.com/file/d/1z_4EMMtC70EI4gAXvkZuKGEQsD1_yezB/view?usp=drivesdk" TargetMode="External"/><Relationship Id="rId1225" Type="http://schemas.openxmlformats.org/officeDocument/2006/relationships/hyperlink" Target="https://drive.google.com/file/d/1qFyt_1ky3icdOTT5mgJHMaVudbODnOeu/view?usp=drivesdk" TargetMode="External"/><Relationship Id="rId2556" Type="http://schemas.openxmlformats.org/officeDocument/2006/relationships/hyperlink" Target="https://drive.google.com/file/d/1r5jnyP9BstGXqNa40h1zNnF6dMbgzzBz/view?usp=drivesdk" TargetMode="External"/><Relationship Id="rId1226" Type="http://schemas.openxmlformats.org/officeDocument/2006/relationships/hyperlink" Target="https://drive.google.com/file/d/1g0sRFO2qfL5qjwQJwYHpQQt_kx3Vi30Y/view?usp=drivesdk" TargetMode="External"/><Relationship Id="rId2557" Type="http://schemas.openxmlformats.org/officeDocument/2006/relationships/hyperlink" Target="https://drive.google.com/file/d/1zxyKeuPAp308lgANEbfjkEWtW_VKxN88/view?usp=drivesdk" TargetMode="External"/><Relationship Id="rId1227" Type="http://schemas.openxmlformats.org/officeDocument/2006/relationships/hyperlink" Target="https://drive.google.com/file/d/1TeJJIvN9W4ZdWDM1OPCUW0BytcIVUiP-/view?usp=drivesdk" TargetMode="External"/><Relationship Id="rId2558" Type="http://schemas.openxmlformats.org/officeDocument/2006/relationships/hyperlink" Target="https://drive.google.com/file/d/1LCxR3vhfJmCTJPfvZzT32F1GAcGCIZf5/view?usp=drivesdk" TargetMode="External"/><Relationship Id="rId1228" Type="http://schemas.openxmlformats.org/officeDocument/2006/relationships/hyperlink" Target="https://drive.google.com/file/d/1RaK9qrWuZkbxyep4BIBogocoMxvBLqHF/view?usp=drivesdk" TargetMode="External"/><Relationship Id="rId2559" Type="http://schemas.openxmlformats.org/officeDocument/2006/relationships/hyperlink" Target="https://drive.google.com/file/d/1hnany4L2kHvlf59ttietvDnSiAGyrdFQ/view?usp=drivesdk" TargetMode="External"/><Relationship Id="rId1229" Type="http://schemas.openxmlformats.org/officeDocument/2006/relationships/hyperlink" Target="https://drive.google.com/file/d/1CWIp8pKtRGRQVyPRsCtjI03fnMNlYI17/view?usp=drivesdk" TargetMode="External"/><Relationship Id="rId877" Type="http://schemas.openxmlformats.org/officeDocument/2006/relationships/hyperlink" Target="https://drive.google.com/file/d/1zTZLNfegcpp9-XYyHP5U1LogbsB_zV7u/view?usp=drivesdk" TargetMode="External"/><Relationship Id="rId876" Type="http://schemas.openxmlformats.org/officeDocument/2006/relationships/hyperlink" Target="https://drive.google.com/file/d/1xsJ-EIWPzkCzcdEDuk9pPHsW3RbqMbG-/view?usp=drivesdk" TargetMode="External"/><Relationship Id="rId875" Type="http://schemas.openxmlformats.org/officeDocument/2006/relationships/hyperlink" Target="https://drive.google.com/file/d/1CRZ0P1yh4FsxZz3v6mAwUkcg6slHLnJN/view?usp=drivesdk" TargetMode="External"/><Relationship Id="rId874" Type="http://schemas.openxmlformats.org/officeDocument/2006/relationships/hyperlink" Target="https://drive.google.com/file/d/12mqPjaVOHJB1xYtyGKeNVI9zqItD3msK/view?usp=drivesdk" TargetMode="External"/><Relationship Id="rId879" Type="http://schemas.openxmlformats.org/officeDocument/2006/relationships/hyperlink" Target="https://drive.google.com/file/d/1LN6b1kSTufu7PooCqzW37s9PUsxUxVp3/view?usp=drivesdk" TargetMode="External"/><Relationship Id="rId878" Type="http://schemas.openxmlformats.org/officeDocument/2006/relationships/hyperlink" Target="https://drive.google.com/file/d/17WMu5VvRH4VjsAHiIgUGQlamvLTdnDYc/view?usp=drivesdk" TargetMode="External"/><Relationship Id="rId2550" Type="http://schemas.openxmlformats.org/officeDocument/2006/relationships/hyperlink" Target="https://drive.google.com/file/d/1gYmq86ZgJBOJN9b-E-G1wclm9yHqH7R0/view?usp=drivesdk" TargetMode="External"/><Relationship Id="rId873" Type="http://schemas.openxmlformats.org/officeDocument/2006/relationships/hyperlink" Target="https://drive.google.com/file/d/1Jr9JPjUOR7z8YSQpeG8HuMbGCaaBs_Mc/view?usp=drivesdk" TargetMode="External"/><Relationship Id="rId1220" Type="http://schemas.openxmlformats.org/officeDocument/2006/relationships/hyperlink" Target="https://drive.google.com/file/d/1JEeh0eQGx1vXTyh9Uh3hwzkBU2gybOxW/view?usp=drivesdk" TargetMode="External"/><Relationship Id="rId2551" Type="http://schemas.openxmlformats.org/officeDocument/2006/relationships/hyperlink" Target="https://drive.google.com/file/d/1nTa0CZQPsmt-BZru6zE_Qugek9sVys_B/view?usp=drivesdk" TargetMode="External"/><Relationship Id="rId872" Type="http://schemas.openxmlformats.org/officeDocument/2006/relationships/hyperlink" Target="https://drive.google.com/file/d/17fh1wyDiyIibHfv5Ue59RzCJFqS4YKSj/view?usp=drivesdk" TargetMode="External"/><Relationship Id="rId1221" Type="http://schemas.openxmlformats.org/officeDocument/2006/relationships/hyperlink" Target="https://drive.google.com/file/d/1zPKj9nW1fAwneE6TF6cLf5s0GVflaRhT/view?usp=drivesdk" TargetMode="External"/><Relationship Id="rId2552" Type="http://schemas.openxmlformats.org/officeDocument/2006/relationships/hyperlink" Target="https://drive.google.com/file/d/1uVHIGgoDEi15tn5D_YsYxMKcOK4Gbf7S/view?usp=drivesdk" TargetMode="External"/><Relationship Id="rId871" Type="http://schemas.openxmlformats.org/officeDocument/2006/relationships/hyperlink" Target="https://drive.google.com/file/d/1H2gmFWYqN7eYiLD2SfWtPjs-ZabSnZyB/view?usp=drivesdk" TargetMode="External"/><Relationship Id="rId1222" Type="http://schemas.openxmlformats.org/officeDocument/2006/relationships/hyperlink" Target="https://drive.google.com/file/d/1swrePM8bjvuSpEymCTDdzI095nVfdpvA/view?usp=drivesdk" TargetMode="External"/><Relationship Id="rId2553" Type="http://schemas.openxmlformats.org/officeDocument/2006/relationships/hyperlink" Target="https://drive.google.com/file/d/1elZcaNNbCzg81lu-GYfucjx1Ifb-IE0P/view?usp=drivesdk" TargetMode="External"/><Relationship Id="rId870" Type="http://schemas.openxmlformats.org/officeDocument/2006/relationships/hyperlink" Target="https://drive.google.com/file/d/1hQTH6x8WZVv_Rvza8b86HeqpxOKdY38H/view?usp=drivesdk" TargetMode="External"/><Relationship Id="rId1223" Type="http://schemas.openxmlformats.org/officeDocument/2006/relationships/hyperlink" Target="https://drive.google.com/file/d/1ZpHIepkZn5UxQ7fj6iA86gLDNRF3zAcN/view?usp=drivesdk" TargetMode="External"/><Relationship Id="rId2554" Type="http://schemas.openxmlformats.org/officeDocument/2006/relationships/hyperlink" Target="https://drive.google.com/file/d/1lS86bCJYiZJiuidP7adx9RvqwZ8ypdix/view?usp=drivesdk" TargetMode="External"/><Relationship Id="rId1653" Type="http://schemas.openxmlformats.org/officeDocument/2006/relationships/hyperlink" Target="https://drive.google.com/file/d/1pt9fIGs-se3KwHEXNbUG2s5OUdlFPlJX/view?usp=drivesdk" TargetMode="External"/><Relationship Id="rId2500" Type="http://schemas.openxmlformats.org/officeDocument/2006/relationships/hyperlink" Target="https://drive.google.com/file/d/1F5dPB4rD7RJWQ4mcwX-rETOMoAs3ZzuB/view?usp=drivesdk" TargetMode="External"/><Relationship Id="rId1654" Type="http://schemas.openxmlformats.org/officeDocument/2006/relationships/hyperlink" Target="https://drive.google.com/file/d/18qri-af2a_7lukiyvW1oCBWeXnmm2a5l/view?usp=drivesdk" TargetMode="External"/><Relationship Id="rId2501" Type="http://schemas.openxmlformats.org/officeDocument/2006/relationships/hyperlink" Target="https://drive.google.com/file/d/1r4pkApujM_KR2Hp055ykYng414cf-9co/view?usp=drivesdk" TargetMode="External"/><Relationship Id="rId1655" Type="http://schemas.openxmlformats.org/officeDocument/2006/relationships/hyperlink" Target="https://drive.google.com/file/d/11lqE7F7jY1L5a3GqgnSjU0sGAeNhyUdD/view?usp=drivesdk" TargetMode="External"/><Relationship Id="rId2502" Type="http://schemas.openxmlformats.org/officeDocument/2006/relationships/hyperlink" Target="https://drive.google.com/file/d/1o2Vzx-Wa16KTMrnwwhkSyR4BuV1FVPCE/view?usp=drivesdk" TargetMode="External"/><Relationship Id="rId1656" Type="http://schemas.openxmlformats.org/officeDocument/2006/relationships/hyperlink" Target="https://drive.google.com/file/d/1Y7HCoIPY2tqOGa5u2Ls32OoNS9_voByx/view?usp=drivesdk" TargetMode="External"/><Relationship Id="rId2503" Type="http://schemas.openxmlformats.org/officeDocument/2006/relationships/hyperlink" Target="https://drive.google.com/file/d/1ri_vCjh7_XQhe3XZKcBGuAJVzASQC3KY/view?usp=drivesdk" TargetMode="External"/><Relationship Id="rId1657" Type="http://schemas.openxmlformats.org/officeDocument/2006/relationships/hyperlink" Target="https://drive.google.com/file/d/11ZJ3t_tp0N7fr0Nd8WR9mAHJGtn6m2TZ/view?usp=drivesdk" TargetMode="External"/><Relationship Id="rId2504" Type="http://schemas.openxmlformats.org/officeDocument/2006/relationships/hyperlink" Target="https://drive.google.com/file/d/1KGkV4B2Mi1MVT75aTKDnCKwUzoFTdYBQ/view?usp=drivesdk" TargetMode="External"/><Relationship Id="rId1658" Type="http://schemas.openxmlformats.org/officeDocument/2006/relationships/hyperlink" Target="https://drive.google.com/file/d/1yC3M4ng1qPEJVafn9j0T17RD_vjiwN2u/view?usp=drivesdk" TargetMode="External"/><Relationship Id="rId2505" Type="http://schemas.openxmlformats.org/officeDocument/2006/relationships/hyperlink" Target="https://drive.google.com/file/d/1K8M3t27NMzU1DPRWzZVZXkswwyoiSKUE/view?usp=drivesdk" TargetMode="External"/><Relationship Id="rId1659" Type="http://schemas.openxmlformats.org/officeDocument/2006/relationships/hyperlink" Target="https://drive.google.com/file/d/1gOQ431VzfwrbjCIvvCocMFklGnMDdFlL/view?usp=drivesdk" TargetMode="External"/><Relationship Id="rId2506" Type="http://schemas.openxmlformats.org/officeDocument/2006/relationships/hyperlink" Target="https://drive.google.com/file/d/1nSsQIZGlg3X_Msx02KZ5FA8s9Ed2Oxyj/view?usp=drivesdk" TargetMode="External"/><Relationship Id="rId2507" Type="http://schemas.openxmlformats.org/officeDocument/2006/relationships/hyperlink" Target="https://drive.google.com/file/d/1ejU-hiSoUwjUpCyCi80yMpcqltjbgzQZ/view?usp=drivesdk" TargetMode="External"/><Relationship Id="rId2508" Type="http://schemas.openxmlformats.org/officeDocument/2006/relationships/hyperlink" Target="https://drive.google.com/file/d/1UnA4aKOX_r5_FdV39rUR2qQ0j_-53gyx/view?usp=drivesdk" TargetMode="External"/><Relationship Id="rId829" Type="http://schemas.openxmlformats.org/officeDocument/2006/relationships/hyperlink" Target="https://drive.google.com/file/d/1G_-5XFt4xA5xHzFeYmyjFqvrTNnBvlLC/view?usp=drivesdk" TargetMode="External"/><Relationship Id="rId2509" Type="http://schemas.openxmlformats.org/officeDocument/2006/relationships/hyperlink" Target="https://drive.google.com/file/d/1QfuvGNwFzmBfx7KtzBFYEOwe29IOP32t/view?usp=drivesdk" TargetMode="External"/><Relationship Id="rId828" Type="http://schemas.openxmlformats.org/officeDocument/2006/relationships/hyperlink" Target="https://drive.google.com/file/d/1IeYt875wjnsLO5UUZkFjJOaCHYXGe7SK/view?usp=drivesdk" TargetMode="External"/><Relationship Id="rId827" Type="http://schemas.openxmlformats.org/officeDocument/2006/relationships/hyperlink" Target="https://drive.google.com/file/d/1vCS55wrJcxB40s66aTwFWgLlGjJYDOvh/view?usp=drivesdk" TargetMode="External"/><Relationship Id="rId822" Type="http://schemas.openxmlformats.org/officeDocument/2006/relationships/hyperlink" Target="https://drive.google.com/file/d/1KtdYRy5oSm_T2djOlXPuVXUvm7qw1AXD/view?usp=drivesdk" TargetMode="External"/><Relationship Id="rId821" Type="http://schemas.openxmlformats.org/officeDocument/2006/relationships/hyperlink" Target="https://drive.google.com/file/d/1fr9AQhbyy0cM7wajDNPW9d0AjmRH6UBa/view?usp=drivesdk" TargetMode="External"/><Relationship Id="rId820" Type="http://schemas.openxmlformats.org/officeDocument/2006/relationships/hyperlink" Target="https://drive.google.com/file/d/1HFG6-2m1AkOcDZ3a8b2Vf6Dy1JKVUIX0/view?usp=drivesdk" TargetMode="External"/><Relationship Id="rId826" Type="http://schemas.openxmlformats.org/officeDocument/2006/relationships/hyperlink" Target="https://drive.google.com/file/d/1QmJE2QKjjriSL2LfT5GqYdFa1r5dUOP8/view?usp=drivesdk" TargetMode="External"/><Relationship Id="rId825" Type="http://schemas.openxmlformats.org/officeDocument/2006/relationships/hyperlink" Target="https://drive.google.com/file/d/17fw1VSvW5c52Zi-1WI_Kxn7jWQFtfEmM/view?usp=drivesdk" TargetMode="External"/><Relationship Id="rId824" Type="http://schemas.openxmlformats.org/officeDocument/2006/relationships/hyperlink" Target="https://drive.google.com/file/d/137EQSE87SQPA6RyCRuh1eNfUE28F7i3_/view?usp=drivesdk" TargetMode="External"/><Relationship Id="rId823" Type="http://schemas.openxmlformats.org/officeDocument/2006/relationships/hyperlink" Target="https://drive.google.com/file/d/1j38Jsr_QVzu8Do4CaGP-__K8hy8Ho4wp/view?usp=drivesdk" TargetMode="External"/><Relationship Id="rId1650" Type="http://schemas.openxmlformats.org/officeDocument/2006/relationships/hyperlink" Target="https://drive.google.com/file/d/1IqkYE6KWYHd2HlAcxOSkfYDONSJq-Cpu/view?usp=drivesdk" TargetMode="External"/><Relationship Id="rId1651" Type="http://schemas.openxmlformats.org/officeDocument/2006/relationships/hyperlink" Target="https://drive.google.com/file/d/1QCwOVxR-MNMVLaQT9gCcih1kBFlH1m_w/view?usp=drivesdk" TargetMode="External"/><Relationship Id="rId1652" Type="http://schemas.openxmlformats.org/officeDocument/2006/relationships/hyperlink" Target="https://drive.google.com/file/d/1Ya9OaA6M5_EqmaM6wnBzKtdGA37zf2SE/view?usp=drivesdk" TargetMode="External"/><Relationship Id="rId1642" Type="http://schemas.openxmlformats.org/officeDocument/2006/relationships/hyperlink" Target="https://drive.google.com/file/d/1tN5snd74x5SaAkJlY_O0_aOEijTsH0YG/view?usp=drivesdk" TargetMode="External"/><Relationship Id="rId1643" Type="http://schemas.openxmlformats.org/officeDocument/2006/relationships/hyperlink" Target="https://drive.google.com/file/d/1oy9EAwDiDsjMyi8k28UAe9DzEXSaOkYT/view?usp=drivesdk" TargetMode="External"/><Relationship Id="rId1644" Type="http://schemas.openxmlformats.org/officeDocument/2006/relationships/hyperlink" Target="https://drive.google.com/file/d/18-0MUXiJz-WiSW9DoCFb6B1yz1pBQ5u2/view?usp=drivesdk" TargetMode="External"/><Relationship Id="rId1645" Type="http://schemas.openxmlformats.org/officeDocument/2006/relationships/hyperlink" Target="https://drive.google.com/file/d/1IBM3vQGYWxGFk3wxV7PKUXrefmIagaF2/view?usp=drivesdk" TargetMode="External"/><Relationship Id="rId1646" Type="http://schemas.openxmlformats.org/officeDocument/2006/relationships/hyperlink" Target="https://drive.google.com/file/d/1mzUAjAL_1SaJZlvZmZqDYjofJ1w0T5KL/view?usp=drivesdk" TargetMode="External"/><Relationship Id="rId1647" Type="http://schemas.openxmlformats.org/officeDocument/2006/relationships/hyperlink" Target="https://drive.google.com/file/d/1JtJ1ydDDQPs9S8bTANHqJaPCFgxbbGBW/view?usp=drivesdk" TargetMode="External"/><Relationship Id="rId1648" Type="http://schemas.openxmlformats.org/officeDocument/2006/relationships/hyperlink" Target="https://drive.google.com/file/d/1Rs9VwndPX8oxpvT-afipskH4Poa51ERd/view?usp=drivesdk" TargetMode="External"/><Relationship Id="rId1649" Type="http://schemas.openxmlformats.org/officeDocument/2006/relationships/hyperlink" Target="https://drive.google.com/file/d/1dhs3uq5JZdCtE-L3aI6f84krS2rf02By/view?usp=drivesdk" TargetMode="External"/><Relationship Id="rId819" Type="http://schemas.openxmlformats.org/officeDocument/2006/relationships/hyperlink" Target="https://drive.google.com/file/d/1_aO1mEmWl_cPoPXAL3-SLLA5PcBXklFi/view?usp=drivesdk" TargetMode="External"/><Relationship Id="rId818" Type="http://schemas.openxmlformats.org/officeDocument/2006/relationships/hyperlink" Target="https://drive.google.com/file/d/18425VuKih-G8p0WqTV1bXDzS2TCjDFR4/view?usp=drivesdk" TargetMode="External"/><Relationship Id="rId817" Type="http://schemas.openxmlformats.org/officeDocument/2006/relationships/hyperlink" Target="https://drive.google.com/file/d/1MHy6Cj-90J1rsyYSSCEYpnc4e6TLbrEk/view?usp=drivesdk" TargetMode="External"/><Relationship Id="rId816" Type="http://schemas.openxmlformats.org/officeDocument/2006/relationships/hyperlink" Target="https://drive.google.com/file/d/1Lvw5vLr0gFXuidELwONvbG8uX8C3YEgG/view?usp=drivesdk" TargetMode="External"/><Relationship Id="rId811" Type="http://schemas.openxmlformats.org/officeDocument/2006/relationships/hyperlink" Target="https://drive.google.com/file/d/1hMFGHi4IHAbC8uXzPSvm4Sw4V_fJK95A/view?usp=drivesdk" TargetMode="External"/><Relationship Id="rId810" Type="http://schemas.openxmlformats.org/officeDocument/2006/relationships/hyperlink" Target="https://drive.google.com/file/d/12yroj3vmkh5lxCfqMXAHF4cTj-4C9_ia/view?usp=drivesdk" TargetMode="External"/><Relationship Id="rId815" Type="http://schemas.openxmlformats.org/officeDocument/2006/relationships/hyperlink" Target="https://drive.google.com/file/d/1drW0pSKXxjbguw1iSFJB1gVzMJCC4jq5/view?usp=drivesdk" TargetMode="External"/><Relationship Id="rId814" Type="http://schemas.openxmlformats.org/officeDocument/2006/relationships/hyperlink" Target="https://drive.google.com/file/d/1FpgjOF110XNDOBbmAciCMwlEHET2jnZj/view?usp=drivesdk" TargetMode="External"/><Relationship Id="rId813" Type="http://schemas.openxmlformats.org/officeDocument/2006/relationships/hyperlink" Target="https://drive.google.com/file/d/1WhjC2r8u7qU_dt2HOGa6r8KRFnHXHixj/view?usp=drivesdk" TargetMode="External"/><Relationship Id="rId812" Type="http://schemas.openxmlformats.org/officeDocument/2006/relationships/hyperlink" Target="https://drive.google.com/file/d/1GReQa9l3FlSsdVmzAVPulP1OV-egDaeq/view?usp=drivesdk" TargetMode="External"/><Relationship Id="rId1640" Type="http://schemas.openxmlformats.org/officeDocument/2006/relationships/hyperlink" Target="https://drive.google.com/file/d/1jtyQvh69Xj6bP-oTMKXylBDcEXZhqgSX/view?usp=drivesdk" TargetMode="External"/><Relationship Id="rId1641" Type="http://schemas.openxmlformats.org/officeDocument/2006/relationships/hyperlink" Target="https://drive.google.com/file/d/1N_S6Skl56_QtsF6EaiKMOxjZcH_StdLm/view?usp=drivesdk" TargetMode="External"/><Relationship Id="rId1675" Type="http://schemas.openxmlformats.org/officeDocument/2006/relationships/hyperlink" Target="https://drive.google.com/file/d/13aLqKY8oDjEBipPaP4WlJrcJABlNss2N/view?usp=drivesdk" TargetMode="External"/><Relationship Id="rId2522" Type="http://schemas.openxmlformats.org/officeDocument/2006/relationships/hyperlink" Target="https://drive.google.com/file/d/1r85kqEQN3GJJ0PPxSA1KVclPuZHEDrb8/view?usp=drivesdk" TargetMode="External"/><Relationship Id="rId1676" Type="http://schemas.openxmlformats.org/officeDocument/2006/relationships/hyperlink" Target="https://drive.google.com/file/d/1AFVr_gUzCautDqS32FbXKAarwHmDMEci/view?usp=drivesdk" TargetMode="External"/><Relationship Id="rId2523" Type="http://schemas.openxmlformats.org/officeDocument/2006/relationships/hyperlink" Target="https://drive.google.com/file/d/1miGZo-pcv3QI82b1OnpFJj4s8IbBw7z9/view?usp=drivesdk" TargetMode="External"/><Relationship Id="rId1677" Type="http://schemas.openxmlformats.org/officeDocument/2006/relationships/hyperlink" Target="https://drive.google.com/file/d/1Y9HdO5VArPgQFAjtkaokZhVVWfzCunve/view?usp=drivesdk" TargetMode="External"/><Relationship Id="rId2524" Type="http://schemas.openxmlformats.org/officeDocument/2006/relationships/hyperlink" Target="https://drive.google.com/file/d/1DSuCU_F1W5uOkUvddx2JjmT178Xc9t9m/view?usp=drivesdk" TargetMode="External"/><Relationship Id="rId1678" Type="http://schemas.openxmlformats.org/officeDocument/2006/relationships/hyperlink" Target="https://drive.google.com/file/d/1ZP2HLa0gXG8GGytnh6nq8ApTJzxHdR2C/view?usp=drivesdk" TargetMode="External"/><Relationship Id="rId2525" Type="http://schemas.openxmlformats.org/officeDocument/2006/relationships/hyperlink" Target="https://drive.google.com/file/d/1Bf2psU83SBhqlpvDsFjhatih9dnANSlM/view?usp=drivesdk" TargetMode="External"/><Relationship Id="rId1679" Type="http://schemas.openxmlformats.org/officeDocument/2006/relationships/hyperlink" Target="https://drive.google.com/file/d/1T9hLFpm2KwS4mMcKpCVwJ2XBTITSSW1T/view?usp=drivesdk" TargetMode="External"/><Relationship Id="rId2526" Type="http://schemas.openxmlformats.org/officeDocument/2006/relationships/hyperlink" Target="https://drive.google.com/file/d/1XyoVH1ITzu1q9r-W55X0PGcTrPpdRpt_/view?usp=drivesdk" TargetMode="External"/><Relationship Id="rId2527" Type="http://schemas.openxmlformats.org/officeDocument/2006/relationships/hyperlink" Target="https://drive.google.com/file/d/1yCodJfrXrugZxCIpa8pJYINv1bcEIZ43/view?usp=drivesdk" TargetMode="External"/><Relationship Id="rId2528" Type="http://schemas.openxmlformats.org/officeDocument/2006/relationships/hyperlink" Target="https://drive.google.com/file/d/1aId3q3LxXVWLwU3BhvkEe9swz7Q7RHZl/view?usp=drivesdk" TargetMode="External"/><Relationship Id="rId2529" Type="http://schemas.openxmlformats.org/officeDocument/2006/relationships/hyperlink" Target="https://drive.google.com/file/d/1tpSFFdDc7Qtqignk9X3EJ9PEQ6IrMa_P/view?usp=drivesdk" TargetMode="External"/><Relationship Id="rId849" Type="http://schemas.openxmlformats.org/officeDocument/2006/relationships/hyperlink" Target="https://drive.google.com/file/d/1B2Sj6T-f7xQ_6nkprSXMN_GtvwhAAkqQ/view?usp=drivesdk" TargetMode="External"/><Relationship Id="rId844" Type="http://schemas.openxmlformats.org/officeDocument/2006/relationships/hyperlink" Target="https://drive.google.com/file/d/1JwyQl4KtFXXJFgcgxWjD_2I7olM2Wl4s/view?usp=drivesdk" TargetMode="External"/><Relationship Id="rId843" Type="http://schemas.openxmlformats.org/officeDocument/2006/relationships/hyperlink" Target="https://drive.google.com/file/d/1Wdm5gwB0fnGeKobEGbmoqApSbtmd3Y9N/view?usp=drivesdk" TargetMode="External"/><Relationship Id="rId842" Type="http://schemas.openxmlformats.org/officeDocument/2006/relationships/hyperlink" Target="https://drive.google.com/file/d/12WM-RQ0Y2J7hfMRyZSsJlg-Y5MRQrBt9/view?usp=drivesdk" TargetMode="External"/><Relationship Id="rId841" Type="http://schemas.openxmlformats.org/officeDocument/2006/relationships/hyperlink" Target="https://drive.google.com/file/d/1a76FNj3balqcmVDji0Jkk8WzoAtNukPo/view?usp=drivesdk" TargetMode="External"/><Relationship Id="rId848" Type="http://schemas.openxmlformats.org/officeDocument/2006/relationships/hyperlink" Target="https://drive.google.com/file/d/15JkJCu4H84VTFAnBQpDuA-93G1Y616tM/view?usp=drivesdk" TargetMode="External"/><Relationship Id="rId847" Type="http://schemas.openxmlformats.org/officeDocument/2006/relationships/hyperlink" Target="https://drive.google.com/file/d/1LaNslHG36-sIelKMhb-jtY-uAYUJZjpp/view?usp=drivesdk" TargetMode="External"/><Relationship Id="rId846" Type="http://schemas.openxmlformats.org/officeDocument/2006/relationships/hyperlink" Target="https://drive.google.com/file/d/1MRUlyGqvOC9N3MsOUz6hKe1ZhHCGoDFV/view?usp=drivesdk" TargetMode="External"/><Relationship Id="rId845" Type="http://schemas.openxmlformats.org/officeDocument/2006/relationships/hyperlink" Target="https://drive.google.com/file/d/1OlJvpBcxAletudJen06rYIeX46hFDvFo/view?usp=drivesdk" TargetMode="External"/><Relationship Id="rId1670" Type="http://schemas.openxmlformats.org/officeDocument/2006/relationships/hyperlink" Target="https://drive.google.com/file/d/16k7yZVJP1-amFMrzsgy2NvRhbZDisrmR/view?usp=drivesdk" TargetMode="External"/><Relationship Id="rId840" Type="http://schemas.openxmlformats.org/officeDocument/2006/relationships/hyperlink" Target="https://drive.google.com/file/d/1w7cNHEUzZeUp59OW1e4DGbJkStUsSl9s/view?usp=drivesdk" TargetMode="External"/><Relationship Id="rId1671" Type="http://schemas.openxmlformats.org/officeDocument/2006/relationships/hyperlink" Target="https://drive.google.com/file/d/1_6U6zyRSrg0Z6topERv---hn8ayOKWgZ/view?usp=drivesdk" TargetMode="External"/><Relationship Id="rId1672" Type="http://schemas.openxmlformats.org/officeDocument/2006/relationships/hyperlink" Target="https://drive.google.com/file/d/1sXVlTs42SCM_5d1Ei08z3Kb375L2UuTh/view?usp=drivesdk" TargetMode="External"/><Relationship Id="rId1673" Type="http://schemas.openxmlformats.org/officeDocument/2006/relationships/hyperlink" Target="https://drive.google.com/file/d/1loPz5_m3mp8EXIA3DiqssM8L4ymr6Fe7/view?usp=drivesdk" TargetMode="External"/><Relationship Id="rId2520" Type="http://schemas.openxmlformats.org/officeDocument/2006/relationships/hyperlink" Target="https://drive.google.com/file/d/1oWywxQ0MSZ6u_0xVKiC7q9aMWeVSYhB0/view?usp=drivesdk" TargetMode="External"/><Relationship Id="rId1674" Type="http://schemas.openxmlformats.org/officeDocument/2006/relationships/hyperlink" Target="https://drive.google.com/file/d/1MlFofmD3HyP4Lmn9Inc0RLvV30uJpOH8/view?usp=drivesdk" TargetMode="External"/><Relationship Id="rId2521" Type="http://schemas.openxmlformats.org/officeDocument/2006/relationships/hyperlink" Target="https://drive.google.com/file/d/1EP-gplcSXtjDL7EWVT5AJEj50Ua1949o/view?usp=drivesdk" TargetMode="External"/><Relationship Id="rId1664" Type="http://schemas.openxmlformats.org/officeDocument/2006/relationships/hyperlink" Target="https://drive.google.com/file/d/1Fw0yQ6uCmwmrZcGzMvGOzHDtZUTqfCVf/view?usp=drivesdk" TargetMode="External"/><Relationship Id="rId2511" Type="http://schemas.openxmlformats.org/officeDocument/2006/relationships/hyperlink" Target="https://drive.google.com/file/d/1sO3-bitdMXHnqn_bcBd-Pxq-WSN690Kx/view?usp=drivesdk" TargetMode="External"/><Relationship Id="rId1665" Type="http://schemas.openxmlformats.org/officeDocument/2006/relationships/hyperlink" Target="https://drive.google.com/file/d/1jdyjUolvTEXimlZk89RwzE-L0R8Ofi4B/view?usp=drivesdk" TargetMode="External"/><Relationship Id="rId2512" Type="http://schemas.openxmlformats.org/officeDocument/2006/relationships/hyperlink" Target="https://drive.google.com/file/d/1L_eJ3DVEnVST3W6FXh4F_L9BQeLiAJu_/view?usp=drivesdk" TargetMode="External"/><Relationship Id="rId1666" Type="http://schemas.openxmlformats.org/officeDocument/2006/relationships/hyperlink" Target="https://drive.google.com/file/d/1mJBiNElJ47HQfbk0McZ0Ie-8OLcgjHOD/view?usp=drivesdk" TargetMode="External"/><Relationship Id="rId2513" Type="http://schemas.openxmlformats.org/officeDocument/2006/relationships/hyperlink" Target="https://drive.google.com/file/d/1mdf-BmcnY-oVjFSPyx_P_ed1uJSQBYgN/view?usp=drivesdk" TargetMode="External"/><Relationship Id="rId1667" Type="http://schemas.openxmlformats.org/officeDocument/2006/relationships/hyperlink" Target="https://drive.google.com/file/d/1rTJPBy3_VFiGw2AJL-wjxKAtTlGF3xBd/view?usp=drivesdk" TargetMode="External"/><Relationship Id="rId2514" Type="http://schemas.openxmlformats.org/officeDocument/2006/relationships/hyperlink" Target="https://drive.google.com/file/d/1-uWTAE1AYEGjMQd_AAbFHpNA-Z7iVH1C/view?usp=drivesdk" TargetMode="External"/><Relationship Id="rId1668" Type="http://schemas.openxmlformats.org/officeDocument/2006/relationships/hyperlink" Target="https://drive.google.com/file/d/1VEWZamrYEVt-mxdqKnh8Sp6gj84Sx_vw/view?usp=drivesdk" TargetMode="External"/><Relationship Id="rId2515" Type="http://schemas.openxmlformats.org/officeDocument/2006/relationships/hyperlink" Target="https://drive.google.com/file/d/1rEsY6VnH9G--AVj52ZJzzBUTbfbXYJNz/view?usp=drivesdk" TargetMode="External"/><Relationship Id="rId1669" Type="http://schemas.openxmlformats.org/officeDocument/2006/relationships/hyperlink" Target="https://drive.google.com/file/d/1jfn82Yj53h08LHs0pgcVzQzYnOif0xIr/view?usp=drivesdk" TargetMode="External"/><Relationship Id="rId2516" Type="http://schemas.openxmlformats.org/officeDocument/2006/relationships/hyperlink" Target="https://drive.google.com/file/d/1Au6H3KK0Xf161qDUK29QcJHbP_LjthMz/view?usp=drivesdk" TargetMode="External"/><Relationship Id="rId2517" Type="http://schemas.openxmlformats.org/officeDocument/2006/relationships/hyperlink" Target="https://drive.google.com/file/d/1fdWrYDt6-_RGcFKwIuA5jfNPo9OqyKtB/view?usp=drivesdk" TargetMode="External"/><Relationship Id="rId2518" Type="http://schemas.openxmlformats.org/officeDocument/2006/relationships/hyperlink" Target="https://drive.google.com/file/d/1zY6uAl3zY12PvDd52v4-DD1X4CAx8sCU/view?usp=drivesdk" TargetMode="External"/><Relationship Id="rId2519" Type="http://schemas.openxmlformats.org/officeDocument/2006/relationships/hyperlink" Target="https://drive.google.com/file/d/1xwlNpLjVlpBU9zQW3PuXlLaRABmyAnP7/view?usp=drivesdk" TargetMode="External"/><Relationship Id="rId839" Type="http://schemas.openxmlformats.org/officeDocument/2006/relationships/hyperlink" Target="https://drive.google.com/file/d/1gGFwuzgwGQ7QToDJxQOCs2eCkCKXIthz/view?usp=drivesdk" TargetMode="External"/><Relationship Id="rId838" Type="http://schemas.openxmlformats.org/officeDocument/2006/relationships/hyperlink" Target="https://drive.google.com/file/d/1-JviD0hGqgTLIBYOdvhb7sID3SyUn5cL/view?usp=drivesdk" TargetMode="External"/><Relationship Id="rId833" Type="http://schemas.openxmlformats.org/officeDocument/2006/relationships/hyperlink" Target="https://drive.google.com/file/d/1I5xERuYHNSVl_CKv1WRM5G0wEQvlbv8C/view?usp=drivesdk" TargetMode="External"/><Relationship Id="rId832" Type="http://schemas.openxmlformats.org/officeDocument/2006/relationships/hyperlink" Target="https://drive.google.com/file/d/1GM84cqIOJo5sLUiSY1P8GxT65SWYAfPl/view?usp=drivesdk" TargetMode="External"/><Relationship Id="rId831" Type="http://schemas.openxmlformats.org/officeDocument/2006/relationships/hyperlink" Target="https://drive.google.com/file/d/165bPnJHsqG9YaiyaCY7rcDXdVjz8Ox97/view?usp=drivesdk" TargetMode="External"/><Relationship Id="rId830" Type="http://schemas.openxmlformats.org/officeDocument/2006/relationships/hyperlink" Target="https://drive.google.com/file/d/1CnHyyAAlheyPq1DdsXpqHreFFFLb5luA/view?usp=drivesdk" TargetMode="External"/><Relationship Id="rId837" Type="http://schemas.openxmlformats.org/officeDocument/2006/relationships/hyperlink" Target="https://drive.google.com/file/d/1NUe7UoNpDTt0vFGrbd2qmWQyfHfw8JHJ/view?usp=drivesdk" TargetMode="External"/><Relationship Id="rId836" Type="http://schemas.openxmlformats.org/officeDocument/2006/relationships/hyperlink" Target="https://drive.google.com/file/d/1YxfSrQHArKGSAz-6Ynujpt5pzVr83B81/view?usp=drivesdk" TargetMode="External"/><Relationship Id="rId835" Type="http://schemas.openxmlformats.org/officeDocument/2006/relationships/hyperlink" Target="https://drive.google.com/file/d/1LXS6I2a6A3VMxjXcc8tjEkQ960exeQwb/view?usp=drivesdk" TargetMode="External"/><Relationship Id="rId834" Type="http://schemas.openxmlformats.org/officeDocument/2006/relationships/hyperlink" Target="https://drive.google.com/file/d/1MgChGlj7vwEJqaRlT4wbV6dh49JbP4ls/view?usp=drivesdk" TargetMode="External"/><Relationship Id="rId1660" Type="http://schemas.openxmlformats.org/officeDocument/2006/relationships/hyperlink" Target="https://drive.google.com/file/d/1KEq0WGNlEQjOhqCv8c7fPuHNguYRUG6y/view?usp=drivesdk" TargetMode="External"/><Relationship Id="rId1661" Type="http://schemas.openxmlformats.org/officeDocument/2006/relationships/hyperlink" Target="https://drive.google.com/file/d/1jVRu16V52xWDcK4JuXw69pkXR6-zEV3l/view?usp=drivesdk" TargetMode="External"/><Relationship Id="rId1662" Type="http://schemas.openxmlformats.org/officeDocument/2006/relationships/hyperlink" Target="https://drive.google.com/file/d/1fOJZeHX6hGzIocZvhM6Kf_c5xkkpuQLt/view?usp=drivesdk" TargetMode="External"/><Relationship Id="rId1663" Type="http://schemas.openxmlformats.org/officeDocument/2006/relationships/hyperlink" Target="https://drive.google.com/file/d/1OyF7Ewh9ACh8waw01oB0w5fJrB-K9npj/view?usp=drivesdk" TargetMode="External"/><Relationship Id="rId2510" Type="http://schemas.openxmlformats.org/officeDocument/2006/relationships/hyperlink" Target="https://drive.google.com/file/d/1oIRm2ajLBNbvctBQJyBqs0CstpXEqZd5/view?usp=drivesdk" TargetMode="External"/><Relationship Id="rId2148" Type="http://schemas.openxmlformats.org/officeDocument/2006/relationships/hyperlink" Target="https://drive.google.com/file/d/1WbADlOAUqNCuu_SbIJ6E1mkhpNzq30dF/view?usp=drivesdk" TargetMode="External"/><Relationship Id="rId2149" Type="http://schemas.openxmlformats.org/officeDocument/2006/relationships/hyperlink" Target="https://drive.google.com/file/d/1mkYaG-AI-sHEdGCaiogvLUJf7B4YcRwC/view?usp=drivesdk" TargetMode="External"/><Relationship Id="rId469" Type="http://schemas.openxmlformats.org/officeDocument/2006/relationships/hyperlink" Target="https://drive.google.com/file/d/1FqAqwGd9NQpkQspp6O8OrlW-IcQj4-W8/view?usp=drivesdk" TargetMode="External"/><Relationship Id="rId468" Type="http://schemas.openxmlformats.org/officeDocument/2006/relationships/hyperlink" Target="https://drive.google.com/file/d/1ifD_COR4kZMxtOTXPIPqk88-hbJlahui/view?usp=drivesdk" TargetMode="External"/><Relationship Id="rId467" Type="http://schemas.openxmlformats.org/officeDocument/2006/relationships/hyperlink" Target="https://drive.google.com/file/d/1bMa6sAxowWdyAGmmTzEvkL4Gbml3Cve6/view?usp=drivesdk" TargetMode="External"/><Relationship Id="rId1290" Type="http://schemas.openxmlformats.org/officeDocument/2006/relationships/hyperlink" Target="https://drive.google.com/file/d/1ICex4dUXjZIgT_0pmk5foC_rgaurc0F2/view?usp=drivesdk" TargetMode="External"/><Relationship Id="rId1291" Type="http://schemas.openxmlformats.org/officeDocument/2006/relationships/hyperlink" Target="https://drive.google.com/file/d/1kMsJXf1b5plTVLCO5jR5TjrI1r4HZK64/view?usp=drivesdk" TargetMode="External"/><Relationship Id="rId1292" Type="http://schemas.openxmlformats.org/officeDocument/2006/relationships/hyperlink" Target="https://drive.google.com/file/d/1PP0J9NcCN8M9nA2JyqDden4arQ_F26nX/view?usp=drivesdk" TargetMode="External"/><Relationship Id="rId462" Type="http://schemas.openxmlformats.org/officeDocument/2006/relationships/hyperlink" Target="https://drive.google.com/file/d/1heQS5ZbEwzsT_Z5SYraG4kadsL6N4emJ/view?usp=drivesdk" TargetMode="External"/><Relationship Id="rId1293" Type="http://schemas.openxmlformats.org/officeDocument/2006/relationships/hyperlink" Target="https://drive.google.com/file/d/1jpGcHngxZLTtiw8UZUOW5zm0TwuKRifs/view?usp=drivesdk" TargetMode="External"/><Relationship Id="rId2140" Type="http://schemas.openxmlformats.org/officeDocument/2006/relationships/hyperlink" Target="https://drive.google.com/file/d/14zPREAyRciPGhlDmOebx69LksRaHZRso/view?usp=drivesdk" TargetMode="External"/><Relationship Id="rId461" Type="http://schemas.openxmlformats.org/officeDocument/2006/relationships/hyperlink" Target="https://drive.google.com/file/d/1c8_bfHuODhwtopucZoNngKhtF-KgAtKc/view?usp=drivesdk" TargetMode="External"/><Relationship Id="rId1294" Type="http://schemas.openxmlformats.org/officeDocument/2006/relationships/hyperlink" Target="https://drive.google.com/file/d/1HrKw3oen-kh69dU2ZLmXYcxIU6nJTYTF/view?usp=drivesdk" TargetMode="External"/><Relationship Id="rId2141" Type="http://schemas.openxmlformats.org/officeDocument/2006/relationships/hyperlink" Target="https://drive.google.com/file/d/16HTtnZ1JrQYcarzvJVsG-2e8PBQCXn0u/view?usp=drivesdk" TargetMode="External"/><Relationship Id="rId460" Type="http://schemas.openxmlformats.org/officeDocument/2006/relationships/hyperlink" Target="https://drive.google.com/file/d/1FBI4Y97vWr30wQA25tBgUcQoYRpi5slv/view?usp=drivesdk" TargetMode="External"/><Relationship Id="rId1295" Type="http://schemas.openxmlformats.org/officeDocument/2006/relationships/hyperlink" Target="https://drive.google.com/file/d/10-XZ0lzSW09QNFBE7JBB0eXzqpSWQzMT/view?usp=drivesdk" TargetMode="External"/><Relationship Id="rId2142" Type="http://schemas.openxmlformats.org/officeDocument/2006/relationships/hyperlink" Target="https://drive.google.com/file/d/1rw3lqBxmjUitcQWrq1sZ6jixipIJ6bK8/view?usp=drivesdk" TargetMode="External"/><Relationship Id="rId1296" Type="http://schemas.openxmlformats.org/officeDocument/2006/relationships/hyperlink" Target="https://drive.google.com/file/d/17KWcz7Au-knj5ZmDhynY2JvWT_VvXkrB/view?usp=drivesdk" TargetMode="External"/><Relationship Id="rId2143" Type="http://schemas.openxmlformats.org/officeDocument/2006/relationships/hyperlink" Target="https://drive.google.com/file/d/1MPO7Vyl5-nCeTZsu5J3KpxmMgngWPbUp/view?usp=drivesdk" TargetMode="External"/><Relationship Id="rId466" Type="http://schemas.openxmlformats.org/officeDocument/2006/relationships/hyperlink" Target="https://drive.google.com/file/d/1nz3Y-1J9hMb7EPxZjg6HNG78NPLYfh4Y/view?usp=drivesdk" TargetMode="External"/><Relationship Id="rId1297" Type="http://schemas.openxmlformats.org/officeDocument/2006/relationships/hyperlink" Target="https://drive.google.com/file/d/1PrxxNyHmIvlD5yvbuRNsTR6ei71XE9xF/view?usp=drivesdk" TargetMode="External"/><Relationship Id="rId2144" Type="http://schemas.openxmlformats.org/officeDocument/2006/relationships/hyperlink" Target="https://drive.google.com/file/d/1zbNf9IuELpdq0j27cvvG0zDAyWn9NMhB/view?usp=drivesdk" TargetMode="External"/><Relationship Id="rId465" Type="http://schemas.openxmlformats.org/officeDocument/2006/relationships/hyperlink" Target="https://drive.google.com/file/d/18zMTtfXGgjsG1kz0wb_6Cby6UliCP7M4/view?usp=drivesdk" TargetMode="External"/><Relationship Id="rId1298" Type="http://schemas.openxmlformats.org/officeDocument/2006/relationships/hyperlink" Target="https://drive.google.com/file/d/199w0zTTcnnq2BrZ48Rsvbr8ToG-I0KVs/view?usp=drivesdk" TargetMode="External"/><Relationship Id="rId2145" Type="http://schemas.openxmlformats.org/officeDocument/2006/relationships/hyperlink" Target="https://drive.google.com/file/d/1pwUScFJrKvlHkmj7nvmZjWSLy68BYk-O/view?usp=drivesdk" TargetMode="External"/><Relationship Id="rId464" Type="http://schemas.openxmlformats.org/officeDocument/2006/relationships/hyperlink" Target="https://drive.google.com/file/d/1cDSLJ9ujGKni_fm6e8t4V4MjkxwKccj5/view?usp=drivesdk" TargetMode="External"/><Relationship Id="rId1299" Type="http://schemas.openxmlformats.org/officeDocument/2006/relationships/hyperlink" Target="https://drive.google.com/file/d/1HKowsm25Lp8sGOBr8O1cHgQM5FlLw4k_/view?usp=drivesdk" TargetMode="External"/><Relationship Id="rId2146" Type="http://schemas.openxmlformats.org/officeDocument/2006/relationships/hyperlink" Target="https://drive.google.com/file/d/1Zfy_ECDkhb4ZgOkRGd1elLPj0EgSoH-h/view?usp=drivesdk" TargetMode="External"/><Relationship Id="rId463" Type="http://schemas.openxmlformats.org/officeDocument/2006/relationships/hyperlink" Target="https://drive.google.com/file/d/1X2iZxmfOM5i-uGbS1xYlJDACBVtvIBXL/view?usp=drivesdk" TargetMode="External"/><Relationship Id="rId2147" Type="http://schemas.openxmlformats.org/officeDocument/2006/relationships/hyperlink" Target="https://drive.google.com/file/d/1guuv46Wj-xDiyz2m4Xck5FK5NA_jIEC4/view?usp=drivesdk" TargetMode="External"/><Relationship Id="rId2137" Type="http://schemas.openxmlformats.org/officeDocument/2006/relationships/hyperlink" Target="https://drive.google.com/file/d/1mDtcgQEqwonc8s3raqFQVOvW-I0b3uZi/view?usp=drivesdk" TargetMode="External"/><Relationship Id="rId2138" Type="http://schemas.openxmlformats.org/officeDocument/2006/relationships/hyperlink" Target="https://drive.google.com/file/d/1LgTUOAsfgAXnQwGN60fRC5BLAKt33Nrz/view?usp=drivesdk" TargetMode="External"/><Relationship Id="rId2139" Type="http://schemas.openxmlformats.org/officeDocument/2006/relationships/hyperlink" Target="https://drive.google.com/file/d/1OEENFM3mwIKHctisVYIkKOHEstB69LkS/view?usp=drivesdk" TargetMode="External"/><Relationship Id="rId459" Type="http://schemas.openxmlformats.org/officeDocument/2006/relationships/hyperlink" Target="https://drive.google.com/file/d/1qZ_vDfPet3pGvqpixSMtq4XkIMkK-x9P/view?usp=drivesdk" TargetMode="External"/><Relationship Id="rId458" Type="http://schemas.openxmlformats.org/officeDocument/2006/relationships/hyperlink" Target="https://drive.google.com/file/d/1rOOn9flXeSkMEa7rDmoCtTxWKy26DEYP/view?usp=drivesdk" TargetMode="External"/><Relationship Id="rId457" Type="http://schemas.openxmlformats.org/officeDocument/2006/relationships/hyperlink" Target="https://drive.google.com/file/d/14WZ8XP8H1F0UYsvQBTNmIs4HAWzkUIXn/view?usp=drivesdk" TargetMode="External"/><Relationship Id="rId456" Type="http://schemas.openxmlformats.org/officeDocument/2006/relationships/hyperlink" Target="https://drive.google.com/file/d/1rNjeFOTbG5pSemmru-5oiEWl2lbQPMk5/view?usp=drivesdk" TargetMode="External"/><Relationship Id="rId1280" Type="http://schemas.openxmlformats.org/officeDocument/2006/relationships/hyperlink" Target="https://drive.google.com/file/d/1XPbVHEcZPk35nlXHikzucu_XOqVSxsfx/view?usp=drivesdk" TargetMode="External"/><Relationship Id="rId1281" Type="http://schemas.openxmlformats.org/officeDocument/2006/relationships/hyperlink" Target="https://drive.google.com/file/d/1ECBLEZKmInXwvcO-iwfRUAy5pGN_3gE9/view?usp=drivesdk" TargetMode="External"/><Relationship Id="rId451" Type="http://schemas.openxmlformats.org/officeDocument/2006/relationships/hyperlink" Target="https://drive.google.com/file/d/1emLjEmGquqDH47z9VBaTcYzmSvatvwVt/view?usp=drivesdk" TargetMode="External"/><Relationship Id="rId1282" Type="http://schemas.openxmlformats.org/officeDocument/2006/relationships/hyperlink" Target="https://drive.google.com/file/d/1n1fXOcAI72tuqdJ8dhvr4ZexP7wMSVSi/view?usp=drivesdk" TargetMode="External"/><Relationship Id="rId450" Type="http://schemas.openxmlformats.org/officeDocument/2006/relationships/hyperlink" Target="https://drive.google.com/file/d/1ZjivMB7VAfFD6l7ulnhBFx-KbRPOCYeE/view?usp=drivesdk" TargetMode="External"/><Relationship Id="rId1283" Type="http://schemas.openxmlformats.org/officeDocument/2006/relationships/hyperlink" Target="https://drive.google.com/file/d/1NV0avYHZRhflEuw0hLK9oI7Cptmmt4mv/view?usp=drivesdk" TargetMode="External"/><Relationship Id="rId2130" Type="http://schemas.openxmlformats.org/officeDocument/2006/relationships/hyperlink" Target="https://drive.google.com/file/d/1YNRHYe6rKHHr72osD2eqlwF0Q-17RuRS/view?usp=drivesdk" TargetMode="External"/><Relationship Id="rId1284" Type="http://schemas.openxmlformats.org/officeDocument/2006/relationships/hyperlink" Target="https://drive.google.com/file/d/1q-VYdO3kgKijhTYtr6L0L2m8tTqj1cUN/view?usp=drivesdk" TargetMode="External"/><Relationship Id="rId2131" Type="http://schemas.openxmlformats.org/officeDocument/2006/relationships/hyperlink" Target="https://drive.google.com/file/d/1Q7vg19I_jsFqj2P4ZrjbTvCp-GhQAi8L/view?usp=drivesdk" TargetMode="External"/><Relationship Id="rId1285" Type="http://schemas.openxmlformats.org/officeDocument/2006/relationships/hyperlink" Target="https://drive.google.com/file/d/16_eqPlQpurD_ifg47L0QR2BUT3p4HDHO/view?usp=drivesdk" TargetMode="External"/><Relationship Id="rId2132" Type="http://schemas.openxmlformats.org/officeDocument/2006/relationships/hyperlink" Target="https://drive.google.com/file/d/1d9RSL6JVOpb7g_dfhRJpW8mLieyOMtIh/view?usp=drivesdk" TargetMode="External"/><Relationship Id="rId455" Type="http://schemas.openxmlformats.org/officeDocument/2006/relationships/hyperlink" Target="https://drive.google.com/file/d/1yyVXIFpxn0QmbSG8dW1lSP11jp1tOvMd/view?usp=drivesdk" TargetMode="External"/><Relationship Id="rId1286" Type="http://schemas.openxmlformats.org/officeDocument/2006/relationships/hyperlink" Target="https://drive.google.com/file/d/1Umm_S0Q_-y5Iw6kZVtCV4kQ16s6YDVES/view?usp=drivesdk" TargetMode="External"/><Relationship Id="rId2133" Type="http://schemas.openxmlformats.org/officeDocument/2006/relationships/hyperlink" Target="https://drive.google.com/file/d/1UgQ4v4UDprBVXUpRRYSDZVtH-kTb8ykO/view?usp=drivesdk" TargetMode="External"/><Relationship Id="rId454" Type="http://schemas.openxmlformats.org/officeDocument/2006/relationships/hyperlink" Target="https://drive.google.com/file/d/1epfkrH4aSqGbpaHHOU269UmrAwX5FfPC/view?usp=drivesdk" TargetMode="External"/><Relationship Id="rId1287" Type="http://schemas.openxmlformats.org/officeDocument/2006/relationships/hyperlink" Target="https://drive.google.com/file/d/1Mk9Joh3CRkOBBiXL56gU86N6-0KR5-v0/view?usp=drivesdk" TargetMode="External"/><Relationship Id="rId2134" Type="http://schemas.openxmlformats.org/officeDocument/2006/relationships/hyperlink" Target="https://drive.google.com/file/d/1CXc296VYeNJmRR0gbXBIuwbep8xX_z0G/view?usp=drivesdk" TargetMode="External"/><Relationship Id="rId453" Type="http://schemas.openxmlformats.org/officeDocument/2006/relationships/hyperlink" Target="https://drive.google.com/file/d/1koHKFbNuRVKl9fPvBwQwQYCQOaTJhHFI/view?usp=drivesdk" TargetMode="External"/><Relationship Id="rId1288" Type="http://schemas.openxmlformats.org/officeDocument/2006/relationships/hyperlink" Target="https://drive.google.com/file/d/1appsrMgbPShqbq134b3q69tuwXotPIhO/view?usp=drivesdk" TargetMode="External"/><Relationship Id="rId2135" Type="http://schemas.openxmlformats.org/officeDocument/2006/relationships/hyperlink" Target="https://drive.google.com/file/d/1G-ikVMGHM4HCGQx30e67U4L1vFDTKNle/view?usp=drivesdk" TargetMode="External"/><Relationship Id="rId452" Type="http://schemas.openxmlformats.org/officeDocument/2006/relationships/hyperlink" Target="https://drive.google.com/file/d/1EknGWbo3vRDycNS6QMmhMTcyQ1tfMDrE/view?usp=drivesdk" TargetMode="External"/><Relationship Id="rId1289" Type="http://schemas.openxmlformats.org/officeDocument/2006/relationships/hyperlink" Target="https://drive.google.com/file/d/1UkBLMUkQZZm_n7SLq6rLEu39JjmyrKDM/view?usp=drivesdk" TargetMode="External"/><Relationship Id="rId2136" Type="http://schemas.openxmlformats.org/officeDocument/2006/relationships/hyperlink" Target="https://drive.google.com/file/d/1IuubDyvP99RDHns2yXMsL4rFJvRwUySe/view?usp=drivesdk" TargetMode="External"/><Relationship Id="rId491" Type="http://schemas.openxmlformats.org/officeDocument/2006/relationships/hyperlink" Target="https://drive.google.com/file/d/1O6qi07en53oPLd5fDAFgrCRdBYVCtvLv/view?usp=drivesdk" TargetMode="External"/><Relationship Id="rId490" Type="http://schemas.openxmlformats.org/officeDocument/2006/relationships/hyperlink" Target="https://drive.google.com/file/d/1Oi1_8LWsXtx7aJnYt6_DVIQTuhDG-sUh/view?usp=drivesdk" TargetMode="External"/><Relationship Id="rId489" Type="http://schemas.openxmlformats.org/officeDocument/2006/relationships/hyperlink" Target="https://drive.google.com/file/d/19IhLmim2-yQ5dHqOvY-O5Rj_21PTTND0/view?usp=drivesdk" TargetMode="External"/><Relationship Id="rId2160" Type="http://schemas.openxmlformats.org/officeDocument/2006/relationships/hyperlink" Target="https://drive.google.com/file/d/1r9DNImf4yBkrGD0pmt90w9IObxU3GSSo/view?usp=drivesdk" TargetMode="External"/><Relationship Id="rId2161" Type="http://schemas.openxmlformats.org/officeDocument/2006/relationships/hyperlink" Target="https://drive.google.com/file/d/1pqGLwuzloosuUMep9duV0X9z5GPWpr6b/view?usp=drivesdk" TargetMode="External"/><Relationship Id="rId484" Type="http://schemas.openxmlformats.org/officeDocument/2006/relationships/hyperlink" Target="https://drive.google.com/file/d/1-bJm_19clW7-aErK9GZJwDc6bEd2fkMw/view?usp=drivesdk" TargetMode="External"/><Relationship Id="rId2162" Type="http://schemas.openxmlformats.org/officeDocument/2006/relationships/hyperlink" Target="https://drive.google.com/file/d/1mBPpqXSzmcLPozhD6fE2eoTRAyREzIy2/view?usp=drivesdk" TargetMode="External"/><Relationship Id="rId483" Type="http://schemas.openxmlformats.org/officeDocument/2006/relationships/hyperlink" Target="https://drive.google.com/file/d/1GV45XFdTmzd9O1TDbtTPnONFmqYEHyPy/view?usp=drivesdk" TargetMode="External"/><Relationship Id="rId2163" Type="http://schemas.openxmlformats.org/officeDocument/2006/relationships/hyperlink" Target="https://drive.google.com/file/d/1FAgPbXNX2dmRWPOzzI4LV80ZQ1qyh8wp/view?usp=drivesdk" TargetMode="External"/><Relationship Id="rId482" Type="http://schemas.openxmlformats.org/officeDocument/2006/relationships/hyperlink" Target="https://drive.google.com/file/d/12BSxFvDwzf_3s0tJJMDi5asfxY5Cgif4/view?usp=drivesdk" TargetMode="External"/><Relationship Id="rId2164" Type="http://schemas.openxmlformats.org/officeDocument/2006/relationships/hyperlink" Target="https://drive.google.com/file/d/1Vxfwe80fXIlGGpp710ckQz2j3Gsikua8/view?usp=drivesdk" TargetMode="External"/><Relationship Id="rId481" Type="http://schemas.openxmlformats.org/officeDocument/2006/relationships/hyperlink" Target="https://drive.google.com/file/d/12jj7dwpy7XSr0qQvqzCnxGCm3hr-l9CR/view?usp=drivesdk" TargetMode="External"/><Relationship Id="rId2165" Type="http://schemas.openxmlformats.org/officeDocument/2006/relationships/hyperlink" Target="https://drive.google.com/file/d/1V3xItnoS5KA55AmHa-yO_VShFWZLgBlV/view?usp=drivesdk" TargetMode="External"/><Relationship Id="rId488" Type="http://schemas.openxmlformats.org/officeDocument/2006/relationships/hyperlink" Target="https://drive.google.com/file/d/1cqbDaxhJ_xPlChBmfmm2HSzig-Wc8oGJ/view?usp=drivesdk" TargetMode="External"/><Relationship Id="rId2166" Type="http://schemas.openxmlformats.org/officeDocument/2006/relationships/hyperlink" Target="https://drive.google.com/file/d/1_Ah-dtXNCaazaWyW3lyDpBlo3iWtj4nB/view?usp=drivesdk" TargetMode="External"/><Relationship Id="rId487" Type="http://schemas.openxmlformats.org/officeDocument/2006/relationships/hyperlink" Target="https://drive.google.com/file/d/1O7eYEWiC2acE9Ef1aleV6sVfeZClIdzs/view?usp=drivesdk" TargetMode="External"/><Relationship Id="rId2167" Type="http://schemas.openxmlformats.org/officeDocument/2006/relationships/hyperlink" Target="https://drive.google.com/file/d/14m7tuL1TlXLBC4vNpIZA95kGBcDxn2t0/view?usp=drivesdk" TargetMode="External"/><Relationship Id="rId486" Type="http://schemas.openxmlformats.org/officeDocument/2006/relationships/hyperlink" Target="https://drive.google.com/file/d/1HRVE7BFr56l79yHaO_c2p-OzFXaZMi19/view?usp=drivesdk" TargetMode="External"/><Relationship Id="rId2168" Type="http://schemas.openxmlformats.org/officeDocument/2006/relationships/hyperlink" Target="https://drive.google.com/file/d/16xTbqRpndw2ucfl2b9IzW9oOWyNe4ccF/view?usp=drivesdk" TargetMode="External"/><Relationship Id="rId485" Type="http://schemas.openxmlformats.org/officeDocument/2006/relationships/hyperlink" Target="https://drive.google.com/file/d/1V5FPkyCTCo_idvFHUCU669vHqsTwT0Dc/view?usp=drivesdk" TargetMode="External"/><Relationship Id="rId2169" Type="http://schemas.openxmlformats.org/officeDocument/2006/relationships/hyperlink" Target="https://drive.google.com/file/d/1cMVgW_iOGjxDxaoGYodcQuKQfqGX37qo/view?usp=drivesdk" TargetMode="External"/><Relationship Id="rId2159" Type="http://schemas.openxmlformats.org/officeDocument/2006/relationships/hyperlink" Target="https://drive.google.com/file/d/1a8gQGn4XSIh2bOkTUH9iMfa__xGnAjxY/view?usp=drivesdk" TargetMode="External"/><Relationship Id="rId480" Type="http://schemas.openxmlformats.org/officeDocument/2006/relationships/hyperlink" Target="https://drive.google.com/file/d/1p5Fwb60Tfq9k8BRn7X6k2GDRDZaZg1kY/view?usp=drivesdk" TargetMode="External"/><Relationship Id="rId479" Type="http://schemas.openxmlformats.org/officeDocument/2006/relationships/hyperlink" Target="https://drive.google.com/file/d/1JRdFMkrBt3J3q16R-TGCylzUave3zw6i/view?usp=drivesdk" TargetMode="External"/><Relationship Id="rId478" Type="http://schemas.openxmlformats.org/officeDocument/2006/relationships/hyperlink" Target="https://drive.google.com/file/d/1TFP9u2fDm9bPA5aAIHCrtPSw1Vrt3hLX/view?usp=drivesdk" TargetMode="External"/><Relationship Id="rId2150" Type="http://schemas.openxmlformats.org/officeDocument/2006/relationships/hyperlink" Target="https://drive.google.com/file/d/1l4gzC9mngyeOpOpBPq00lkjeVFVREs-M/view?usp=drivesdk" TargetMode="External"/><Relationship Id="rId473" Type="http://schemas.openxmlformats.org/officeDocument/2006/relationships/hyperlink" Target="https://drive.google.com/file/d/1hoiw9HGsQddFpaDkYPRj8wMuD-0u7vGI/view?usp=drivesdk" TargetMode="External"/><Relationship Id="rId2151" Type="http://schemas.openxmlformats.org/officeDocument/2006/relationships/hyperlink" Target="https://drive.google.com/file/d/1uYVVFHvmxEN4cnl3yUm8bcOBCZOQ0g8g/view?usp=drivesdk" TargetMode="External"/><Relationship Id="rId472" Type="http://schemas.openxmlformats.org/officeDocument/2006/relationships/hyperlink" Target="https://drive.google.com/file/d/1tyHI8SXau3JB4XAb2r342VS5jRx9aDZQ/view?usp=drivesdk" TargetMode="External"/><Relationship Id="rId2152" Type="http://schemas.openxmlformats.org/officeDocument/2006/relationships/hyperlink" Target="https://drive.google.com/file/d/1E8BvJRHv4VdkeDdeKCFaOqQluvT-wD4E/view?usp=drivesdk" TargetMode="External"/><Relationship Id="rId471" Type="http://schemas.openxmlformats.org/officeDocument/2006/relationships/hyperlink" Target="https://drive.google.com/file/d/1dvdg8Pl-2IiuRfH3t2f93BL9oVIlIVVG/view?usp=drivesdk" TargetMode="External"/><Relationship Id="rId2153" Type="http://schemas.openxmlformats.org/officeDocument/2006/relationships/hyperlink" Target="https://drive.google.com/file/d/1SHi0pfuNu_4ADGMRuYcxWBtJtbdJH3xe/view?usp=drivesdk" TargetMode="External"/><Relationship Id="rId470" Type="http://schemas.openxmlformats.org/officeDocument/2006/relationships/hyperlink" Target="https://drive.google.com/file/d/1Xpa0E9U5cp9FP32lRfHG7zfVVWJtUzrs/view?usp=drivesdk" TargetMode="External"/><Relationship Id="rId2154" Type="http://schemas.openxmlformats.org/officeDocument/2006/relationships/hyperlink" Target="https://drive.google.com/file/d/1yecT_kMRg_n05APFYPxT3G5SAIxfT_zq/view?usp=drivesdk" TargetMode="External"/><Relationship Id="rId477" Type="http://schemas.openxmlformats.org/officeDocument/2006/relationships/hyperlink" Target="https://drive.google.com/file/d/1FMdkFXwoEcNyyFGeMvPwRWbyQkuUtQIj/view?usp=drivesdk" TargetMode="External"/><Relationship Id="rId2155" Type="http://schemas.openxmlformats.org/officeDocument/2006/relationships/hyperlink" Target="https://drive.google.com/file/d/1yBS6vBC4oUzRA9EvaJf4OP1OGlYbFBmK/view?usp=drivesdk" TargetMode="External"/><Relationship Id="rId476" Type="http://schemas.openxmlformats.org/officeDocument/2006/relationships/hyperlink" Target="https://drive.google.com/file/d/1ovXwGxvSmZQjEyPRs0OCfPG5clAfh_8P/view?usp=drivesdk" TargetMode="External"/><Relationship Id="rId2156" Type="http://schemas.openxmlformats.org/officeDocument/2006/relationships/hyperlink" Target="https://drive.google.com/file/d/1KnGybb5ZO28S9zgs4t2VTIGV9qbxjCMk/view?usp=drivesdk" TargetMode="External"/><Relationship Id="rId475" Type="http://schemas.openxmlformats.org/officeDocument/2006/relationships/hyperlink" Target="https://drive.google.com/file/d/1kH-kHYiVN_6dlvZ7QKhARpa-a7yN08Q0/view?usp=drivesdk" TargetMode="External"/><Relationship Id="rId2157" Type="http://schemas.openxmlformats.org/officeDocument/2006/relationships/hyperlink" Target="https://drive.google.com/file/d/15ZdPgyjR3WFcPXtHK1rI2cCKFq6Php9D/view?usp=drivesdk" TargetMode="External"/><Relationship Id="rId474" Type="http://schemas.openxmlformats.org/officeDocument/2006/relationships/hyperlink" Target="https://drive.google.com/file/d/1D1zIbHnoVx9Yik6cBmD-QjfMfWIXcafZ/view?usp=drivesdk" TargetMode="External"/><Relationship Id="rId2158" Type="http://schemas.openxmlformats.org/officeDocument/2006/relationships/hyperlink" Target="https://drive.google.com/file/d/1l0Q6nvbbVFdglKcPPJhn7pAIg831Xzr5/view?usp=drivesdk" TargetMode="External"/><Relationship Id="rId1257" Type="http://schemas.openxmlformats.org/officeDocument/2006/relationships/hyperlink" Target="https://drive.google.com/file/d/1b6AnRfkJmTL9mbjeInK_mXiMbsZIkU0T/view?usp=drivesdk" TargetMode="External"/><Relationship Id="rId2104" Type="http://schemas.openxmlformats.org/officeDocument/2006/relationships/hyperlink" Target="https://drive.google.com/file/d/18bJ-ks-mnxsbMJiVfPZzEEcmOcV24GJj/view?usp=drivesdk" TargetMode="External"/><Relationship Id="rId1258" Type="http://schemas.openxmlformats.org/officeDocument/2006/relationships/hyperlink" Target="https://drive.google.com/file/d/1yJC_f2kI3KvYYbHVU5Wn3ylW64_pzwT7/view?usp=drivesdk" TargetMode="External"/><Relationship Id="rId2105" Type="http://schemas.openxmlformats.org/officeDocument/2006/relationships/hyperlink" Target="https://drive.google.com/file/d/16kMrlqn9vdGNCpAnJT5tdYPUetyKYbuG/view?usp=drivesdk" TargetMode="External"/><Relationship Id="rId1259" Type="http://schemas.openxmlformats.org/officeDocument/2006/relationships/hyperlink" Target="https://drive.google.com/file/d/1uVM7nuTFVMCRjYsKcjBF0fdGS51DsY2W/view?usp=drivesdk" TargetMode="External"/><Relationship Id="rId2106" Type="http://schemas.openxmlformats.org/officeDocument/2006/relationships/hyperlink" Target="https://drive.google.com/file/d/1m32bYOIHjL-WPav0V8832UXavcV0rnKd/view?usp=drivesdk" TargetMode="External"/><Relationship Id="rId2107" Type="http://schemas.openxmlformats.org/officeDocument/2006/relationships/hyperlink" Target="https://drive.google.com/file/d/1I1lcQIwGgn1onzU2R9Rvyw4U41LHnbic/view?usp=drivesdk" TargetMode="External"/><Relationship Id="rId2108" Type="http://schemas.openxmlformats.org/officeDocument/2006/relationships/hyperlink" Target="https://drive.google.com/file/d/1mXxlmYwj2RTTHDPTXqaTdBvXn6oKdihW/view?usp=drivesdk" TargetMode="External"/><Relationship Id="rId2109" Type="http://schemas.openxmlformats.org/officeDocument/2006/relationships/hyperlink" Target="https://drive.google.com/file/d/1m058GKsB5ivbQCH-ckfSCxtXTPxoL8PS/view?usp=drivesdk" TargetMode="External"/><Relationship Id="rId426" Type="http://schemas.openxmlformats.org/officeDocument/2006/relationships/hyperlink" Target="https://drive.google.com/file/d/1NpZI-K_U7NyJcgIAmluz4Pp3xwtjNNTz/view?usp=drivesdk" TargetMode="External"/><Relationship Id="rId425" Type="http://schemas.openxmlformats.org/officeDocument/2006/relationships/hyperlink" Target="https://drive.google.com/file/d/1iesujYSoZj9jOvK2cprEXud2v4JFJeP7/view?usp=drivesdk" TargetMode="External"/><Relationship Id="rId424" Type="http://schemas.openxmlformats.org/officeDocument/2006/relationships/hyperlink" Target="https://drive.google.com/file/d/1kEpv_NEeSZEa1SXqCUS1gK4jgmEBQql2/view?usp=drivesdk" TargetMode="External"/><Relationship Id="rId423" Type="http://schemas.openxmlformats.org/officeDocument/2006/relationships/hyperlink" Target="https://drive.google.com/file/d/1l5OAoCUuX2Pt-IhfFAjw-16CWWp0NDPt/view?usp=drivesdk" TargetMode="External"/><Relationship Id="rId429" Type="http://schemas.openxmlformats.org/officeDocument/2006/relationships/hyperlink" Target="https://drive.google.com/file/d/1EoOFZOLfaLs4vmusItWc5LFwiFwPQSIJ/view?usp=drivesdk" TargetMode="External"/><Relationship Id="rId428" Type="http://schemas.openxmlformats.org/officeDocument/2006/relationships/hyperlink" Target="https://drive.google.com/file/d/1enFWIvT20ESCEPlUq4K-1deTEaQlCkaY/view?usp=drivesdk" TargetMode="External"/><Relationship Id="rId427" Type="http://schemas.openxmlformats.org/officeDocument/2006/relationships/hyperlink" Target="https://drive.google.com/file/d/1lPqP633R6gglVf4ve4n9kjNUfX2L6VQw/view?usp=drivesdk" TargetMode="External"/><Relationship Id="rId2580" Type="http://schemas.openxmlformats.org/officeDocument/2006/relationships/drawing" Target="../drawings/drawing1.xml"/><Relationship Id="rId1250" Type="http://schemas.openxmlformats.org/officeDocument/2006/relationships/hyperlink" Target="https://drive.google.com/file/d/1x-j-G_OmgWz8e8rQix4K21PkOirOvZkj/view?usp=drivesdk" TargetMode="External"/><Relationship Id="rId1251" Type="http://schemas.openxmlformats.org/officeDocument/2006/relationships/hyperlink" Target="https://drive.google.com/file/d/18xDSInsXG1YCV0fx-Um3_JJUuft1Hhjs/view?usp=drivesdk" TargetMode="External"/><Relationship Id="rId1252" Type="http://schemas.openxmlformats.org/officeDocument/2006/relationships/hyperlink" Target="https://drive.google.com/file/d/1sx4D5S1m7hA6LmfLpUSKMteVr6kPAhy9/view?usp=drivesdk" TargetMode="External"/><Relationship Id="rId422" Type="http://schemas.openxmlformats.org/officeDocument/2006/relationships/hyperlink" Target="https://drive.google.com/file/d/1cAClWaPx1XZxGm9pKZtreyniCb2KTlQy/view?usp=drivesdk" TargetMode="External"/><Relationship Id="rId1253" Type="http://schemas.openxmlformats.org/officeDocument/2006/relationships/hyperlink" Target="https://drive.google.com/file/d/1GuptChYxmOqiZ1JTx8B4fqt18zqUzHF1/view?usp=drivesdk" TargetMode="External"/><Relationship Id="rId2100" Type="http://schemas.openxmlformats.org/officeDocument/2006/relationships/hyperlink" Target="https://drive.google.com/file/d/1Pcxpb1XU9iJMleAoSAxc6nH-mUkp3EHJ/view?usp=drivesdk" TargetMode="External"/><Relationship Id="rId421" Type="http://schemas.openxmlformats.org/officeDocument/2006/relationships/hyperlink" Target="https://drive.google.com/file/d/15n9X7S0jxmwR-0OVUG_PH6v7W91Aaql6/view?usp=drivesdk" TargetMode="External"/><Relationship Id="rId1254" Type="http://schemas.openxmlformats.org/officeDocument/2006/relationships/hyperlink" Target="https://drive.google.com/file/d/170gXn-XyX9wVEO0KxuZBWZ_erk5S0hDA/view?usp=drivesdk" TargetMode="External"/><Relationship Id="rId2101" Type="http://schemas.openxmlformats.org/officeDocument/2006/relationships/hyperlink" Target="https://drive.google.com/file/d/1TzPIQpAd2MBhhk__frukZPSNZE-lhx5C/view?usp=drivesdk" TargetMode="External"/><Relationship Id="rId420" Type="http://schemas.openxmlformats.org/officeDocument/2006/relationships/hyperlink" Target="https://drive.google.com/file/d/1XjgLtnWTuBhMZFm5OohM1VzijLF_k7Em/view?usp=drivesdk" TargetMode="External"/><Relationship Id="rId1255" Type="http://schemas.openxmlformats.org/officeDocument/2006/relationships/hyperlink" Target="https://drive.google.com/file/d/1lAY3Jredqk18UNQtsrAJ6HhsVZMUubhQ/view?usp=drivesdk" TargetMode="External"/><Relationship Id="rId2102" Type="http://schemas.openxmlformats.org/officeDocument/2006/relationships/hyperlink" Target="https://drive.google.com/file/d/1MzqSIRDnyF-r4C8tqcoMCuh1infrhIxb/view?usp=drivesdk" TargetMode="External"/><Relationship Id="rId1256" Type="http://schemas.openxmlformats.org/officeDocument/2006/relationships/hyperlink" Target="https://drive.google.com/file/d/1tomE1rxjYzTua2LljIb0IWuGUa58lTVY/view?usp=drivesdk" TargetMode="External"/><Relationship Id="rId2103" Type="http://schemas.openxmlformats.org/officeDocument/2006/relationships/hyperlink" Target="https://drive.google.com/file/d/1wvXCGgJhSg4xhVNm6bu_9kNIg03E4DhQ/view?usp=drivesdk" TargetMode="External"/><Relationship Id="rId1246" Type="http://schemas.openxmlformats.org/officeDocument/2006/relationships/hyperlink" Target="https://drive.google.com/file/d/1T4wcLwedPD60a6jk3x1tHar6aSuu1B4F/view?usp=drivesdk" TargetMode="External"/><Relationship Id="rId2577" Type="http://schemas.openxmlformats.org/officeDocument/2006/relationships/hyperlink" Target="https://drive.google.com/file/d/1TH6pjFs3-N1NkbwY42xINjV3IeJ01s2u/view?usp=drivesdk" TargetMode="External"/><Relationship Id="rId1247" Type="http://schemas.openxmlformats.org/officeDocument/2006/relationships/hyperlink" Target="https://drive.google.com/file/d/17jRJck_oCqJaEKKfCHoJpsatiHvixj3a/view?usp=drivesdk" TargetMode="External"/><Relationship Id="rId2578" Type="http://schemas.openxmlformats.org/officeDocument/2006/relationships/hyperlink" Target="https://drive.google.com/file/d/1HwVZoguQZ94egr8OvUJhp5P1X4MuaHpJ/view?usp=drivesdk" TargetMode="External"/><Relationship Id="rId1248" Type="http://schemas.openxmlformats.org/officeDocument/2006/relationships/hyperlink" Target="https://drive.google.com/file/d/1Kv4ZkmAue2IJo-KUKcar88975U3Z3liq/view?usp=drivesdk" TargetMode="External"/><Relationship Id="rId2579" Type="http://schemas.openxmlformats.org/officeDocument/2006/relationships/hyperlink" Target="https://drive.google.com/file/d/1ZVhQYC54VjfOS81hPwKoxlFQ3uIu3uKJ/view?usp=drivesdk" TargetMode="External"/><Relationship Id="rId1249" Type="http://schemas.openxmlformats.org/officeDocument/2006/relationships/hyperlink" Target="https://drive.google.com/file/d/1Yxs8hKfwaejA-tScDPVsp4dXAgKum5lA/view?usp=drivesdk" TargetMode="External"/><Relationship Id="rId415" Type="http://schemas.openxmlformats.org/officeDocument/2006/relationships/hyperlink" Target="https://drive.google.com/file/d/1OtZSDJSZEzoBXf9d_0TtPJm8X5OdvfE6/view?usp=drivesdk" TargetMode="External"/><Relationship Id="rId899" Type="http://schemas.openxmlformats.org/officeDocument/2006/relationships/hyperlink" Target="https://drive.google.com/file/d/1fda0Vqed1hJNSRNwPzq8VSIulhTSJpAe/view?usp=drivesdk" TargetMode="External"/><Relationship Id="rId414" Type="http://schemas.openxmlformats.org/officeDocument/2006/relationships/hyperlink" Target="https://drive.google.com/file/d/1YOMfVlzFawWjqr_OC55V6l3Nz7ltnjEE/view?usp=drivesdk" TargetMode="External"/><Relationship Id="rId898" Type="http://schemas.openxmlformats.org/officeDocument/2006/relationships/hyperlink" Target="https://drive.google.com/file/d/1IHaNg7a5Lp-w7Aq7dcAycb8IXKY-LkIC/view?usp=drivesdk" TargetMode="External"/><Relationship Id="rId413" Type="http://schemas.openxmlformats.org/officeDocument/2006/relationships/hyperlink" Target="https://drive.google.com/file/d/1yj0nc6p8Tk8E9QsI0q6MM7mm0ZRfd10B/view?usp=drivesdk" TargetMode="External"/><Relationship Id="rId897" Type="http://schemas.openxmlformats.org/officeDocument/2006/relationships/hyperlink" Target="https://drive.google.com/file/d/17XM648_EpePnpHPzqMvYPUejpZh_0cWZ/view?usp=drivesdk" TargetMode="External"/><Relationship Id="rId412" Type="http://schemas.openxmlformats.org/officeDocument/2006/relationships/hyperlink" Target="https://drive.google.com/file/d/1iQGe5bgGlx0a_iytTKAkqfs8b5QC6gzU/view?usp=drivesdk" TargetMode="External"/><Relationship Id="rId896" Type="http://schemas.openxmlformats.org/officeDocument/2006/relationships/hyperlink" Target="https://drive.google.com/file/d/1QdgyeipJGiUTgxudr3xN8-V-2eN2JkcW/view?usp=drivesdk" TargetMode="External"/><Relationship Id="rId419" Type="http://schemas.openxmlformats.org/officeDocument/2006/relationships/hyperlink" Target="https://drive.google.com/file/d/1TZPax06PEMihzgtJSZf7Yv9rYz9vsUt6/view?usp=drivesdk" TargetMode="External"/><Relationship Id="rId418" Type="http://schemas.openxmlformats.org/officeDocument/2006/relationships/hyperlink" Target="https://drive.google.com/file/d/1KzNekbV-UthPTlmzkKKgprQpddFZkilh/view?usp=drivesdk" TargetMode="External"/><Relationship Id="rId417" Type="http://schemas.openxmlformats.org/officeDocument/2006/relationships/hyperlink" Target="https://drive.google.com/file/d/1hWYOSxDF6dvYhca4VCgBxzL5JQO1iK5u/view?usp=drivesdk" TargetMode="External"/><Relationship Id="rId416" Type="http://schemas.openxmlformats.org/officeDocument/2006/relationships/hyperlink" Target="https://drive.google.com/file/d/169LGbcXm9E428bj64yCRAhBFW3z3Glzg/view?usp=drivesdk" TargetMode="External"/><Relationship Id="rId891" Type="http://schemas.openxmlformats.org/officeDocument/2006/relationships/hyperlink" Target="https://drive.google.com/file/d/19YqipDyeXFab5vWmGw7x3aKm1henDLSL/view?usp=drivesdk" TargetMode="External"/><Relationship Id="rId890" Type="http://schemas.openxmlformats.org/officeDocument/2006/relationships/hyperlink" Target="https://drive.google.com/file/d/1yMCMwlhc1lMUCXZPlpN5kQezKnaeZvcC/view?usp=drivesdk" TargetMode="External"/><Relationship Id="rId2570" Type="http://schemas.openxmlformats.org/officeDocument/2006/relationships/hyperlink" Target="https://drive.google.com/file/d/13aBZu8kWaFoqTId68CLZvcb2G_C6d4Jj/view?usp=drivesdk" TargetMode="External"/><Relationship Id="rId1240" Type="http://schemas.openxmlformats.org/officeDocument/2006/relationships/hyperlink" Target="https://drive.google.com/file/d/1K7qG08DyMSYrhx-5Ft5ATcf6kdVsgCR6/view?usp=drivesdk" TargetMode="External"/><Relationship Id="rId2571" Type="http://schemas.openxmlformats.org/officeDocument/2006/relationships/hyperlink" Target="https://drive.google.com/file/d/1i2bJuth_MT9J4gjQWgONLVA6Ffy6x2Km/view?usp=drivesdk" TargetMode="External"/><Relationship Id="rId1241" Type="http://schemas.openxmlformats.org/officeDocument/2006/relationships/hyperlink" Target="https://drive.google.com/file/d/1MAULrQMWyGrDX31dfvsRpuLDkQkPh9ap/view?usp=drivesdk" TargetMode="External"/><Relationship Id="rId2572" Type="http://schemas.openxmlformats.org/officeDocument/2006/relationships/hyperlink" Target="https://drive.google.com/file/d/1vFOy_Ghaz5nvMON_zxBoMERus85a87LC/view?usp=drivesdk" TargetMode="External"/><Relationship Id="rId411" Type="http://schemas.openxmlformats.org/officeDocument/2006/relationships/hyperlink" Target="https://drive.google.com/file/d/1nrtc_AaI3aorFQemYuUcUAvSqzlED82W/view?usp=drivesdk" TargetMode="External"/><Relationship Id="rId895" Type="http://schemas.openxmlformats.org/officeDocument/2006/relationships/hyperlink" Target="https://drive.google.com/file/d/1hkNNYzoPQbzKOc8-3mdyU4uh4iSBkeLY/view?usp=drivesdk" TargetMode="External"/><Relationship Id="rId1242" Type="http://schemas.openxmlformats.org/officeDocument/2006/relationships/hyperlink" Target="https://drive.google.com/file/d/1gFhMrXCsxbR2hBK13-dVP4uPWR-Koady/view?usp=drivesdk" TargetMode="External"/><Relationship Id="rId2573" Type="http://schemas.openxmlformats.org/officeDocument/2006/relationships/hyperlink" Target="https://drive.google.com/file/d/1LXVCZpFOelUv5KwmbG-p7sAOZMJQI159/view?usp=drivesdk" TargetMode="External"/><Relationship Id="rId410" Type="http://schemas.openxmlformats.org/officeDocument/2006/relationships/hyperlink" Target="https://drive.google.com/file/d/1f0URok101-gvkWNA-K-Lbpj6oGoqfTXI/view?usp=drivesdk" TargetMode="External"/><Relationship Id="rId894" Type="http://schemas.openxmlformats.org/officeDocument/2006/relationships/hyperlink" Target="https://drive.google.com/file/d/1iqLhbSQx-XpeAemgcuUmGb4Nmhx_sBxC/view?usp=drivesdk" TargetMode="External"/><Relationship Id="rId1243" Type="http://schemas.openxmlformats.org/officeDocument/2006/relationships/hyperlink" Target="https://drive.google.com/file/d/1VV3CNxj0vkrhg-fVbGkqXkWTEAoXH9iB/view?usp=drivesdk" TargetMode="External"/><Relationship Id="rId2574" Type="http://schemas.openxmlformats.org/officeDocument/2006/relationships/hyperlink" Target="https://drive.google.com/file/d/1T7rnKYH0TtklMm5OA_Dff5mtv-Iw7fdj/view?usp=drivesdk" TargetMode="External"/><Relationship Id="rId893" Type="http://schemas.openxmlformats.org/officeDocument/2006/relationships/hyperlink" Target="https://drive.google.com/file/d/1vV6auHqjUw7Uuvnvc3NXVxX9sMiYU7xg/view?usp=drivesdk" TargetMode="External"/><Relationship Id="rId1244" Type="http://schemas.openxmlformats.org/officeDocument/2006/relationships/hyperlink" Target="https://drive.google.com/file/d/12tOtp_RTkST6PhWMYX3LPbtc1Bz3KV9d/view?usp=drivesdk" TargetMode="External"/><Relationship Id="rId2575" Type="http://schemas.openxmlformats.org/officeDocument/2006/relationships/hyperlink" Target="https://drive.google.com/file/d/1Q2f1Q7qGFtdT67u1QWHu9iUwAN1EeeGo/view?usp=drivesdk" TargetMode="External"/><Relationship Id="rId892" Type="http://schemas.openxmlformats.org/officeDocument/2006/relationships/hyperlink" Target="https://drive.google.com/file/d/11QaKE00eXl7BLEnCcy5DpxIlXIaXH2SS/view?usp=drivesdk" TargetMode="External"/><Relationship Id="rId1245" Type="http://schemas.openxmlformats.org/officeDocument/2006/relationships/hyperlink" Target="https://drive.google.com/file/d/12C0cAU0BRl1EVOl55M-MlWJe3otYZjZQ/view?usp=drivesdk" TargetMode="External"/><Relationship Id="rId2576" Type="http://schemas.openxmlformats.org/officeDocument/2006/relationships/hyperlink" Target="https://drive.google.com/file/d/1xDx4dl5qBHo5Xgq_ILU5u1J5g084-FKC/view?usp=drivesdk" TargetMode="External"/><Relationship Id="rId1279" Type="http://schemas.openxmlformats.org/officeDocument/2006/relationships/hyperlink" Target="https://drive.google.com/file/d/1FmwL6c_ME2tTjsfrarw5o-iKbw63c0_T/view?usp=drivesdk" TargetMode="External"/><Relationship Id="rId2126" Type="http://schemas.openxmlformats.org/officeDocument/2006/relationships/hyperlink" Target="https://drive.google.com/file/d/1KZfbzU69v6ztNTC2-F0VYLiQbS81rIeD/view?usp=drivesdk" TargetMode="External"/><Relationship Id="rId2127" Type="http://schemas.openxmlformats.org/officeDocument/2006/relationships/hyperlink" Target="https://drive.google.com/file/d/1nBKPaig0BPIZkWI4GnOdaa5iMWqY9b6S/view?usp=drivesdk" TargetMode="External"/><Relationship Id="rId2128" Type="http://schemas.openxmlformats.org/officeDocument/2006/relationships/hyperlink" Target="https://drive.google.com/file/d/1vdzX3oJ2KgnEGG7jUhso-lwUi9AjuKzt/view?usp=drivesdk" TargetMode="External"/><Relationship Id="rId2129" Type="http://schemas.openxmlformats.org/officeDocument/2006/relationships/hyperlink" Target="https://drive.google.com/file/d/1jH03dC6rF7PI6gYx9Lb8DCs7A_XuFqdb/view?usp=drivesdk" TargetMode="External"/><Relationship Id="rId448" Type="http://schemas.openxmlformats.org/officeDocument/2006/relationships/hyperlink" Target="https://drive.google.com/file/d/18hGAoc3H9OWvYwcYqfdk_jnbH6_WD5Ss/view?usp=drivesdk" TargetMode="External"/><Relationship Id="rId447" Type="http://schemas.openxmlformats.org/officeDocument/2006/relationships/hyperlink" Target="https://drive.google.com/file/d/1csXKwdScNXTabdibfD8JQD2XR9ULPG_i/view?usp=drivesdk" TargetMode="External"/><Relationship Id="rId446" Type="http://schemas.openxmlformats.org/officeDocument/2006/relationships/hyperlink" Target="https://drive.google.com/file/d/1mtC_qIoSqOoXAQS_AvPH0LSx8efvhcnH/view?usp=drivesdk" TargetMode="External"/><Relationship Id="rId445" Type="http://schemas.openxmlformats.org/officeDocument/2006/relationships/hyperlink" Target="https://drive.google.com/file/d/1Nj9af8EahFyXcMPq0bwQQs_RmN89G4T7/view?usp=drivesdk" TargetMode="External"/><Relationship Id="rId449" Type="http://schemas.openxmlformats.org/officeDocument/2006/relationships/hyperlink" Target="https://drive.google.com/file/d/1iGzhKSAzyoJ8sghcU4WRT0QWW0FxghHo/view?usp=drivesdk" TargetMode="External"/><Relationship Id="rId1270" Type="http://schemas.openxmlformats.org/officeDocument/2006/relationships/hyperlink" Target="https://drive.google.com/file/d/1dy9ZLRf40uann8LM0843adz6-FPenTas/view?usp=drivesdk" TargetMode="External"/><Relationship Id="rId440" Type="http://schemas.openxmlformats.org/officeDocument/2006/relationships/hyperlink" Target="https://drive.google.com/file/d/1wmlZkgkZmFbE4nWRKut47gTleP6hYOj9/view?usp=drivesdk" TargetMode="External"/><Relationship Id="rId1271" Type="http://schemas.openxmlformats.org/officeDocument/2006/relationships/hyperlink" Target="https://drive.google.com/file/d/1eQHqDFR8Y4DiS6z5Iqno5ljEmsCUYu_U/view?usp=drivesdk" TargetMode="External"/><Relationship Id="rId1272" Type="http://schemas.openxmlformats.org/officeDocument/2006/relationships/hyperlink" Target="https://drive.google.com/file/d/1RrOn4wW4-ZoVvfAZNWQZTYxCFKJvO3I2/view?usp=drivesdk" TargetMode="External"/><Relationship Id="rId1273" Type="http://schemas.openxmlformats.org/officeDocument/2006/relationships/hyperlink" Target="https://drive.google.com/file/d/1z7LPDoeH_yNt3pRWD9Gzq8xqzQsq_pmw/view?usp=drivesdk" TargetMode="External"/><Relationship Id="rId2120" Type="http://schemas.openxmlformats.org/officeDocument/2006/relationships/hyperlink" Target="https://drive.google.com/file/d/1l9mp0aIpNh7R16a2C4LrGNqH2MCLRmtH/view?usp=drivesdk" TargetMode="External"/><Relationship Id="rId1274" Type="http://schemas.openxmlformats.org/officeDocument/2006/relationships/hyperlink" Target="https://drive.google.com/file/d/1xAUSrTtyfA85FEiCsxyPgktZi-K8nn00/view?usp=drivesdk" TargetMode="External"/><Relationship Id="rId2121" Type="http://schemas.openxmlformats.org/officeDocument/2006/relationships/hyperlink" Target="https://drive.google.com/file/d/1HLIK_kxVHhxlGxqX0JPSe46BPVa_3u0a/view?usp=drivesdk" TargetMode="External"/><Relationship Id="rId444" Type="http://schemas.openxmlformats.org/officeDocument/2006/relationships/hyperlink" Target="https://drive.google.com/file/d/18T1ZzhapMtj8ONX2sjQydNgX7_Jc2e1V/view?usp=drivesdk" TargetMode="External"/><Relationship Id="rId1275" Type="http://schemas.openxmlformats.org/officeDocument/2006/relationships/hyperlink" Target="https://drive.google.com/file/d/1B8d8t-1fJ0GZE8Bldb-jxyvY5hAud7wL/view?usp=drivesdk" TargetMode="External"/><Relationship Id="rId2122" Type="http://schemas.openxmlformats.org/officeDocument/2006/relationships/hyperlink" Target="https://drive.google.com/file/d/1kahXUje2E2eKVWyENDX77F0B2EV37Mu3/view?usp=drivesdk" TargetMode="External"/><Relationship Id="rId443" Type="http://schemas.openxmlformats.org/officeDocument/2006/relationships/hyperlink" Target="https://drive.google.com/file/d/1YSsnTTVjHU8ZzhJu86UTOPuB1FlqXNUd/view?usp=drivesdk" TargetMode="External"/><Relationship Id="rId1276" Type="http://schemas.openxmlformats.org/officeDocument/2006/relationships/hyperlink" Target="https://drive.google.com/file/d/1Qu1-X4vYg0MtnWDzFU5Nbp3bYEFgWV4A/view?usp=drivesdk" TargetMode="External"/><Relationship Id="rId2123" Type="http://schemas.openxmlformats.org/officeDocument/2006/relationships/hyperlink" Target="https://drive.google.com/file/d/1SjWCiqblki-ulaLJ4Lw1Qqh-uQQ03KQ3/view?usp=drivesdk" TargetMode="External"/><Relationship Id="rId442" Type="http://schemas.openxmlformats.org/officeDocument/2006/relationships/hyperlink" Target="https://drive.google.com/file/d/1luDEF8N2CrvPywDfcGGKtbwe1_bAGWrO/view?usp=drivesdk" TargetMode="External"/><Relationship Id="rId1277" Type="http://schemas.openxmlformats.org/officeDocument/2006/relationships/hyperlink" Target="https://drive.google.com/file/d/1ppZmSNIa4Xzv3utOs69xj7UnxQ_56Ykm/view?usp=drivesdk" TargetMode="External"/><Relationship Id="rId2124" Type="http://schemas.openxmlformats.org/officeDocument/2006/relationships/hyperlink" Target="https://drive.google.com/file/d/1h4uHL2Ali4a1eXMo-0KA6CkaIA2CdCUt/view?usp=drivesdk" TargetMode="External"/><Relationship Id="rId441" Type="http://schemas.openxmlformats.org/officeDocument/2006/relationships/hyperlink" Target="https://drive.google.com/file/d/1u4W2YYp6aZsmppxaUT1vmgSW--BXfzD8/view?usp=drivesdk" TargetMode="External"/><Relationship Id="rId1278" Type="http://schemas.openxmlformats.org/officeDocument/2006/relationships/hyperlink" Target="https://drive.google.com/file/d/1gvx-xXal6IL2gl0ae3rZKa8ljdP_OSMa/view?usp=drivesdk" TargetMode="External"/><Relationship Id="rId2125" Type="http://schemas.openxmlformats.org/officeDocument/2006/relationships/hyperlink" Target="https://drive.google.com/file/d/1kyASs-dLdvd7WT-PAwnxXYra_YMRcHvW/view?usp=drivesdk" TargetMode="External"/><Relationship Id="rId1268" Type="http://schemas.openxmlformats.org/officeDocument/2006/relationships/hyperlink" Target="https://drive.google.com/file/d/13DQr34qW5ScHkWsCDbZ3V5o-aZdq51Zd/view?usp=drivesdk" TargetMode="External"/><Relationship Id="rId2115" Type="http://schemas.openxmlformats.org/officeDocument/2006/relationships/hyperlink" Target="https://drive.google.com/file/d/14qtVfi9pGf-zZGTmjFu4K_4a2G_Wmsll/view?usp=drivesdk" TargetMode="External"/><Relationship Id="rId1269" Type="http://schemas.openxmlformats.org/officeDocument/2006/relationships/hyperlink" Target="https://drive.google.com/file/d/1q6rW1jxAUT1qnZ1rs9zuR5sUDMLUzqE5/view?usp=drivesdk" TargetMode="External"/><Relationship Id="rId2116" Type="http://schemas.openxmlformats.org/officeDocument/2006/relationships/hyperlink" Target="https://drive.google.com/file/d/1L2p3bcQdOPMT2YBHl1DSERMUGeDhUu6g/view?usp=drivesdk" TargetMode="External"/><Relationship Id="rId2117" Type="http://schemas.openxmlformats.org/officeDocument/2006/relationships/hyperlink" Target="https://drive.google.com/file/d/13lURrzL4cvRnXy1jkljffCUvkuT8mWX_/view?usp=drivesdk" TargetMode="External"/><Relationship Id="rId2118" Type="http://schemas.openxmlformats.org/officeDocument/2006/relationships/hyperlink" Target="https://drive.google.com/file/d/1FCUPmecvdPRIbEhfjD5mMn2YLw-PNFPs/view?usp=drivesdk" TargetMode="External"/><Relationship Id="rId2119" Type="http://schemas.openxmlformats.org/officeDocument/2006/relationships/hyperlink" Target="https://drive.google.com/file/d/1QX92tDQVLz6J5c0P8sFUKlsdVm-OuQNI/view?usp=drivesdk" TargetMode="External"/><Relationship Id="rId437" Type="http://schemas.openxmlformats.org/officeDocument/2006/relationships/hyperlink" Target="https://drive.google.com/file/d/15GNZbLY2BwF1fejHyfJp8YRNVHgGD_tG/view?usp=drivesdk" TargetMode="External"/><Relationship Id="rId436" Type="http://schemas.openxmlformats.org/officeDocument/2006/relationships/hyperlink" Target="https://drive.google.com/file/d/1Am4aoh6lTqx6h0Li2cCuJOMdOVRscwk1/view?usp=drivesdk" TargetMode="External"/><Relationship Id="rId435" Type="http://schemas.openxmlformats.org/officeDocument/2006/relationships/hyperlink" Target="https://drive.google.com/file/d/1w8KmCgKnF8C9apJ1-lMEwR6p3yMSXw9J/view?usp=drivesdk" TargetMode="External"/><Relationship Id="rId434" Type="http://schemas.openxmlformats.org/officeDocument/2006/relationships/hyperlink" Target="https://drive.google.com/file/d/1s9u1ZTctd9dHGQK7WpRa93AmFhzP8Fm1/view?usp=drivesdk" TargetMode="External"/><Relationship Id="rId439" Type="http://schemas.openxmlformats.org/officeDocument/2006/relationships/hyperlink" Target="https://drive.google.com/file/d/1MJ5jdtxl9EDy7MZKF0Glwdl9pVTYTFf4/view?usp=drivesdk" TargetMode="External"/><Relationship Id="rId438" Type="http://schemas.openxmlformats.org/officeDocument/2006/relationships/hyperlink" Target="https://drive.google.com/file/d/16eOrO7_b2GkSZRa8Cn53trBg-3wc1XFT/view?usp=drivesdk" TargetMode="External"/><Relationship Id="rId1260" Type="http://schemas.openxmlformats.org/officeDocument/2006/relationships/hyperlink" Target="https://drive.google.com/file/d/1Oxh04sAmX5ZPb1NYU3gNf6nm03vMuBXk/view?usp=drivesdk" TargetMode="External"/><Relationship Id="rId1261" Type="http://schemas.openxmlformats.org/officeDocument/2006/relationships/hyperlink" Target="https://drive.google.com/file/d/15yF2_X96taffFjyEyEXtxPWyW1MmVIjw/view?usp=drivesdk" TargetMode="External"/><Relationship Id="rId1262" Type="http://schemas.openxmlformats.org/officeDocument/2006/relationships/hyperlink" Target="https://drive.google.com/file/d/1qlinf4AY_4GdBODMP5hVA7czFmewYok-/view?usp=drivesdk" TargetMode="External"/><Relationship Id="rId1263" Type="http://schemas.openxmlformats.org/officeDocument/2006/relationships/hyperlink" Target="https://drive.google.com/file/d/13bQT5RzmvSgGCo1HIrQh-tesB9UkUpqR/view?usp=drivesdk" TargetMode="External"/><Relationship Id="rId2110" Type="http://schemas.openxmlformats.org/officeDocument/2006/relationships/hyperlink" Target="https://drive.google.com/file/d/1YuGbl0MZ_sJ4y6BB-jPZkI622GTpxPdT/view?usp=drivesdk" TargetMode="External"/><Relationship Id="rId433" Type="http://schemas.openxmlformats.org/officeDocument/2006/relationships/hyperlink" Target="https://drive.google.com/file/d/15-t71V_X_UVUcRVNyPTYb6krXrBNZNV4/view?usp=drivesdk" TargetMode="External"/><Relationship Id="rId1264" Type="http://schemas.openxmlformats.org/officeDocument/2006/relationships/hyperlink" Target="https://drive.google.com/file/d/1egSPn7ICI_MIo1lIsvdOTXmsx4DolSh_/view?usp=drivesdk" TargetMode="External"/><Relationship Id="rId2111" Type="http://schemas.openxmlformats.org/officeDocument/2006/relationships/hyperlink" Target="https://drive.google.com/file/d/1CyFWs4IKHZqPKTgE0NR2RtsV_Z2zBf2Y/view?usp=drivesdk" TargetMode="External"/><Relationship Id="rId432" Type="http://schemas.openxmlformats.org/officeDocument/2006/relationships/hyperlink" Target="https://drive.google.com/file/d/1fZQ5sd6EibSgNTRmt3jUocf8_N87k-w8/view?usp=drivesdk" TargetMode="External"/><Relationship Id="rId1265" Type="http://schemas.openxmlformats.org/officeDocument/2006/relationships/hyperlink" Target="https://drive.google.com/file/d/1oQcvA8uTKeqHZQa06uWu4lIE_v8u1ohZ/view?usp=drivesdk" TargetMode="External"/><Relationship Id="rId2112" Type="http://schemas.openxmlformats.org/officeDocument/2006/relationships/hyperlink" Target="https://drive.google.com/file/d/1dZl4pJcqBV1bMYfOdx82C-8l4Ym9_Jfk/view?usp=drivesdk" TargetMode="External"/><Relationship Id="rId431" Type="http://schemas.openxmlformats.org/officeDocument/2006/relationships/hyperlink" Target="https://drive.google.com/file/d/1DEuT784OlPAuilY-39GO239ihqJPhqMQ/view?usp=drivesdk" TargetMode="External"/><Relationship Id="rId1266" Type="http://schemas.openxmlformats.org/officeDocument/2006/relationships/hyperlink" Target="https://drive.google.com/file/d/1t26nuoQ0v43bAm6nDMuDqBYjhw3HRuY1/view?usp=drivesdk" TargetMode="External"/><Relationship Id="rId2113" Type="http://schemas.openxmlformats.org/officeDocument/2006/relationships/hyperlink" Target="https://drive.google.com/file/d/16FZUhTlPl5la7u8hM-FOKTkZE60b6FOO/view?usp=drivesdk" TargetMode="External"/><Relationship Id="rId430" Type="http://schemas.openxmlformats.org/officeDocument/2006/relationships/hyperlink" Target="https://drive.google.com/file/d/1VUL1FeMA9IjXLErxZR_1cjinQENMRGRi/view?usp=drivesdk" TargetMode="External"/><Relationship Id="rId1267" Type="http://schemas.openxmlformats.org/officeDocument/2006/relationships/hyperlink" Target="https://drive.google.com/file/d/1-MytlVyxskXbT9LfbUcByIg7bw7p5gFF/view?usp=drivesdk" TargetMode="External"/><Relationship Id="rId2114" Type="http://schemas.openxmlformats.org/officeDocument/2006/relationships/hyperlink" Target="https://drive.google.com/file/d/1TBOFRjHD1NtrY4Nsa1WUzXpTzhaIdnhb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3.88"/>
    <col customWidth="1" min="2" max="2" width="35.0"/>
    <col customWidth="1" min="4" max="4" width="71.38"/>
    <col customWidth="1" min="8" max="8" width="24.0"/>
    <col customWidth="1" min="12" max="12" width="20.0"/>
    <col customWidth="1" min="15" max="15" width="42.5"/>
    <col customWidth="1" min="16" max="18" width="20.0"/>
    <col customWidth="1" min="19" max="19" width="30.13"/>
    <col customWidth="1" min="20" max="20" width="4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tr">
        <f>IFERROR(__xludf.DUMMYFUNCTION("INDEX(SPLIT(A1, ""/""), 2)"),"#REF!")</f>
        <v>#REF!</v>
      </c>
    </row>
    <row r="2">
      <c r="A2" s="1" t="s">
        <v>19</v>
      </c>
      <c r="B2" s="1" t="s">
        <v>20</v>
      </c>
      <c r="C2" s="1" t="s">
        <v>21</v>
      </c>
      <c r="D2" s="4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tr">
        <f t="shared" ref="I2:I2580" si="1">LEFT(H2, FIND("/", H2)-1)</f>
        <v>x</v>
      </c>
      <c r="J2" s="5"/>
      <c r="K2" s="1" t="str">
        <f t="shared" ref="K2:K2580" si="2">MID(H2, FIND("/", H2)+1, FIND("/", H2, FIND("/", H2)+1)-FIND("/", H2)-1)</f>
        <v>7</v>
      </c>
      <c r="L2" s="5"/>
      <c r="M2" s="2" t="str">
        <f t="shared" ref="M2:M2580" si="3">RIGHT(H2, LEN(H2)-FIND("/", H2, FIND("/", H2)+1))</f>
        <v>1399</v>
      </c>
      <c r="N2" s="5"/>
      <c r="O2" s="2">
        <v>1.0</v>
      </c>
      <c r="P2" s="5"/>
      <c r="Q2" s="5"/>
      <c r="R2" s="6" t="s">
        <v>27</v>
      </c>
      <c r="S2" s="5"/>
      <c r="T2" s="1" t="str">
        <f>IFERROR(__xludf.DUMMYFUNCTION("INDEX(SPLIT(A2, ""/""), 2)"),"انجمن‌های علمی و نشریات وابسته به دانشکده‌ها")</f>
        <v>انجمن‌های علمی و نشریات وابسته به دانشکده‌ها</v>
      </c>
      <c r="U2" s="1" t="str">
        <f>IFERROR(__xludf.DUMMYFUNCTION("INDEX(SPLIT(A2, ""/""), 3)"),"دانشکده شیمی")</f>
        <v>دانشکده شیمی</v>
      </c>
      <c r="V2" s="1" t="str">
        <f>IFERROR(__xludf.DUMMYFUNCTION("INDEX(SPLIT(A2, ""/""), 4)"),"آنتروپی")</f>
        <v>آنتروپی</v>
      </c>
    </row>
    <row r="3">
      <c r="A3" s="1" t="s">
        <v>19</v>
      </c>
      <c r="B3" s="1" t="s">
        <v>28</v>
      </c>
      <c r="C3" s="1" t="s">
        <v>21</v>
      </c>
      <c r="D3" s="4" t="s">
        <v>29</v>
      </c>
      <c r="E3" s="1" t="s">
        <v>23</v>
      </c>
      <c r="F3" s="1" t="s">
        <v>24</v>
      </c>
      <c r="G3" s="1" t="s">
        <v>25</v>
      </c>
      <c r="H3" s="1" t="s">
        <v>26</v>
      </c>
      <c r="I3" s="1" t="str">
        <f t="shared" si="1"/>
        <v>x</v>
      </c>
      <c r="J3" s="5"/>
      <c r="K3" s="1" t="str">
        <f t="shared" si="2"/>
        <v>7</v>
      </c>
      <c r="L3" s="5"/>
      <c r="M3" s="2" t="str">
        <f t="shared" si="3"/>
        <v>1399</v>
      </c>
      <c r="N3" s="5"/>
      <c r="O3" s="2">
        <v>2.0</v>
      </c>
      <c r="P3" s="5"/>
      <c r="Q3" s="5"/>
      <c r="R3" s="6" t="s">
        <v>27</v>
      </c>
      <c r="S3" s="5"/>
      <c r="T3" s="1" t="str">
        <f>IFERROR(__xludf.DUMMYFUNCTION("INDEX(SPLIT(A3, ""/""), 2)"),"انجمن‌های علمی و نشریات وابسته به دانشکده‌ها")</f>
        <v>انجمن‌های علمی و نشریات وابسته به دانشکده‌ها</v>
      </c>
      <c r="U3" s="1" t="str">
        <f>IFERROR(__xludf.DUMMYFUNCTION("INDEX(SPLIT(A3, ""/""), 3)"),"دانشکده شیمی")</f>
        <v>دانشکده شیمی</v>
      </c>
      <c r="V3" s="1" t="str">
        <f>IFERROR(__xludf.DUMMYFUNCTION("INDEX(SPLIT(A3, ""/""), 4)"),"آنتروپی")</f>
        <v>آنتروپی</v>
      </c>
    </row>
    <row r="4">
      <c r="A4" s="1" t="s">
        <v>19</v>
      </c>
      <c r="B4" s="1" t="s">
        <v>30</v>
      </c>
      <c r="C4" s="1" t="s">
        <v>21</v>
      </c>
      <c r="D4" s="4" t="s">
        <v>31</v>
      </c>
      <c r="E4" s="1" t="s">
        <v>23</v>
      </c>
      <c r="F4" s="1" t="s">
        <v>24</v>
      </c>
      <c r="G4" s="1" t="s">
        <v>25</v>
      </c>
      <c r="H4" s="1" t="s">
        <v>32</v>
      </c>
      <c r="I4" s="1" t="str">
        <f t="shared" si="1"/>
        <v>x</v>
      </c>
      <c r="J4" s="5"/>
      <c r="K4" s="1" t="str">
        <f t="shared" si="2"/>
        <v>8</v>
      </c>
      <c r="L4" s="5"/>
      <c r="M4" s="2" t="str">
        <f t="shared" si="3"/>
        <v>1399</v>
      </c>
      <c r="N4" s="5"/>
      <c r="O4" s="2">
        <v>3.0</v>
      </c>
      <c r="P4" s="5"/>
      <c r="Q4" s="5"/>
      <c r="R4" s="6" t="s">
        <v>33</v>
      </c>
      <c r="S4" s="5"/>
      <c r="T4" s="1" t="str">
        <f>IFERROR(__xludf.DUMMYFUNCTION("INDEX(SPLIT(A4, ""/""), 2)"),"انجمن‌های علمی و نشریات وابسته به دانشکده‌ها")</f>
        <v>انجمن‌های علمی و نشریات وابسته به دانشکده‌ها</v>
      </c>
      <c r="U4" s="1" t="str">
        <f>IFERROR(__xludf.DUMMYFUNCTION("INDEX(SPLIT(A4, ""/""), 3)"),"دانشکده شیمی")</f>
        <v>دانشکده شیمی</v>
      </c>
      <c r="V4" s="1" t="str">
        <f>IFERROR(__xludf.DUMMYFUNCTION("INDEX(SPLIT(A4, ""/""), 4)"),"آنتروپی")</f>
        <v>آنتروپی</v>
      </c>
    </row>
    <row r="5">
      <c r="A5" s="1" t="s">
        <v>19</v>
      </c>
      <c r="B5" s="1" t="s">
        <v>34</v>
      </c>
      <c r="C5" s="1" t="s">
        <v>21</v>
      </c>
      <c r="D5" s="4" t="s">
        <v>35</v>
      </c>
      <c r="E5" s="1" t="s">
        <v>23</v>
      </c>
      <c r="F5" s="1" t="s">
        <v>24</v>
      </c>
      <c r="G5" s="1" t="s">
        <v>25</v>
      </c>
      <c r="H5" s="1" t="s">
        <v>32</v>
      </c>
      <c r="I5" s="1" t="str">
        <f t="shared" si="1"/>
        <v>x</v>
      </c>
      <c r="J5" s="5"/>
      <c r="K5" s="1" t="str">
        <f t="shared" si="2"/>
        <v>8</v>
      </c>
      <c r="L5" s="5"/>
      <c r="M5" s="2" t="str">
        <f t="shared" si="3"/>
        <v>1399</v>
      </c>
      <c r="N5" s="5"/>
      <c r="O5" s="2">
        <v>4.0</v>
      </c>
      <c r="P5" s="5"/>
      <c r="Q5" s="5"/>
      <c r="R5" s="6" t="s">
        <v>33</v>
      </c>
      <c r="S5" s="5"/>
      <c r="T5" s="1" t="str">
        <f>IFERROR(__xludf.DUMMYFUNCTION("INDEX(SPLIT(A5, ""/""), 2)"),"انجمن‌های علمی و نشریات وابسته به دانشکده‌ها")</f>
        <v>انجمن‌های علمی و نشریات وابسته به دانشکده‌ها</v>
      </c>
      <c r="U5" s="1" t="str">
        <f>IFERROR(__xludf.DUMMYFUNCTION("INDEX(SPLIT(A5, ""/""), 3)"),"دانشکده شیمی")</f>
        <v>دانشکده شیمی</v>
      </c>
      <c r="V5" s="1" t="str">
        <f>IFERROR(__xludf.DUMMYFUNCTION("INDEX(SPLIT(A5, ""/""), 4)"),"آنتروپی")</f>
        <v>آنتروپی</v>
      </c>
    </row>
    <row r="6">
      <c r="A6" s="1" t="s">
        <v>19</v>
      </c>
      <c r="B6" s="1" t="s">
        <v>36</v>
      </c>
      <c r="C6" s="1" t="s">
        <v>21</v>
      </c>
      <c r="D6" s="4" t="s">
        <v>37</v>
      </c>
      <c r="E6" s="1" t="s">
        <v>23</v>
      </c>
      <c r="F6" s="1" t="s">
        <v>24</v>
      </c>
      <c r="G6" s="1" t="s">
        <v>25</v>
      </c>
      <c r="H6" s="1" t="s">
        <v>38</v>
      </c>
      <c r="I6" s="1" t="str">
        <f t="shared" si="1"/>
        <v>x</v>
      </c>
      <c r="J6" s="5"/>
      <c r="K6" s="1" t="str">
        <f t="shared" si="2"/>
        <v>9</v>
      </c>
      <c r="L6" s="5"/>
      <c r="M6" s="2" t="str">
        <f t="shared" si="3"/>
        <v>1399</v>
      </c>
      <c r="N6" s="5"/>
      <c r="O6" s="2">
        <v>5.0</v>
      </c>
      <c r="P6" s="5"/>
      <c r="Q6" s="5"/>
      <c r="R6" s="6" t="s">
        <v>39</v>
      </c>
      <c r="S6" s="5"/>
      <c r="T6" s="1" t="str">
        <f>IFERROR(__xludf.DUMMYFUNCTION("INDEX(SPLIT(A6, ""/""), 2)"),"انجمن‌های علمی و نشریات وابسته به دانشکده‌ها")</f>
        <v>انجمن‌های علمی و نشریات وابسته به دانشکده‌ها</v>
      </c>
      <c r="U6" s="1" t="str">
        <f>IFERROR(__xludf.DUMMYFUNCTION("INDEX(SPLIT(A6, ""/""), 3)"),"دانشکده شیمی")</f>
        <v>دانشکده شیمی</v>
      </c>
      <c r="V6" s="1" t="str">
        <f>IFERROR(__xludf.DUMMYFUNCTION("INDEX(SPLIT(A6, ""/""), 4)"),"آنتروپی")</f>
        <v>آنتروپی</v>
      </c>
    </row>
    <row r="7">
      <c r="A7" s="1" t="s">
        <v>19</v>
      </c>
      <c r="B7" s="1" t="s">
        <v>40</v>
      </c>
      <c r="C7" s="1" t="s">
        <v>21</v>
      </c>
      <c r="D7" s="4" t="s">
        <v>41</v>
      </c>
      <c r="E7" s="1" t="s">
        <v>23</v>
      </c>
      <c r="F7" s="1" t="s">
        <v>24</v>
      </c>
      <c r="G7" s="1" t="s">
        <v>25</v>
      </c>
      <c r="H7" s="1" t="s">
        <v>38</v>
      </c>
      <c r="I7" s="1" t="str">
        <f t="shared" si="1"/>
        <v>x</v>
      </c>
      <c r="J7" s="5"/>
      <c r="K7" s="1" t="str">
        <f t="shared" si="2"/>
        <v>9</v>
      </c>
      <c r="L7" s="5"/>
      <c r="M7" s="2" t="str">
        <f t="shared" si="3"/>
        <v>1399</v>
      </c>
      <c r="N7" s="5"/>
      <c r="O7" s="2">
        <v>6.0</v>
      </c>
      <c r="P7" s="5"/>
      <c r="Q7" s="5"/>
      <c r="R7" s="6" t="s">
        <v>39</v>
      </c>
      <c r="S7" s="5"/>
      <c r="T7" s="1" t="str">
        <f>IFERROR(__xludf.DUMMYFUNCTION("INDEX(SPLIT(A7, ""/""), 2)"),"انجمن‌های علمی و نشریات وابسته به دانشکده‌ها")</f>
        <v>انجمن‌های علمی و نشریات وابسته به دانشکده‌ها</v>
      </c>
      <c r="U7" s="1" t="str">
        <f>IFERROR(__xludf.DUMMYFUNCTION("INDEX(SPLIT(A7, ""/""), 3)"),"دانشکده شیمی")</f>
        <v>دانشکده شیمی</v>
      </c>
      <c r="V7" s="1" t="str">
        <f>IFERROR(__xludf.DUMMYFUNCTION("INDEX(SPLIT(A7, ""/""), 4)"),"آنتروپی")</f>
        <v>آنتروپی</v>
      </c>
    </row>
    <row r="8">
      <c r="A8" s="1" t="s">
        <v>19</v>
      </c>
      <c r="B8" s="1" t="s">
        <v>42</v>
      </c>
      <c r="C8" s="1" t="s">
        <v>21</v>
      </c>
      <c r="D8" s="4" t="s">
        <v>43</v>
      </c>
      <c r="E8" s="1" t="s">
        <v>23</v>
      </c>
      <c r="F8" s="1" t="s">
        <v>24</v>
      </c>
      <c r="G8" s="1" t="s">
        <v>25</v>
      </c>
      <c r="H8" s="1" t="s">
        <v>44</v>
      </c>
      <c r="I8" s="1" t="str">
        <f t="shared" si="1"/>
        <v>x</v>
      </c>
      <c r="J8" s="5"/>
      <c r="K8" s="1" t="str">
        <f t="shared" si="2"/>
        <v>10</v>
      </c>
      <c r="L8" s="5"/>
      <c r="M8" s="2" t="str">
        <f t="shared" si="3"/>
        <v>1399</v>
      </c>
      <c r="N8" s="5"/>
      <c r="O8" s="2">
        <v>7.0</v>
      </c>
      <c r="P8" s="5"/>
      <c r="Q8" s="5"/>
      <c r="R8" s="6" t="s">
        <v>45</v>
      </c>
      <c r="S8" s="5"/>
      <c r="T8" s="1" t="str">
        <f>IFERROR(__xludf.DUMMYFUNCTION("INDEX(SPLIT(A8, ""/""), 2)"),"انجمن‌های علمی و نشریات وابسته به دانشکده‌ها")</f>
        <v>انجمن‌های علمی و نشریات وابسته به دانشکده‌ها</v>
      </c>
      <c r="U8" s="1" t="str">
        <f>IFERROR(__xludf.DUMMYFUNCTION("INDEX(SPLIT(A8, ""/""), 3)"),"دانشکده شیمی")</f>
        <v>دانشکده شیمی</v>
      </c>
      <c r="V8" s="1" t="str">
        <f>IFERROR(__xludf.DUMMYFUNCTION("INDEX(SPLIT(A8, ""/""), 4)"),"آنتروپی")</f>
        <v>آنتروپی</v>
      </c>
    </row>
    <row r="9">
      <c r="A9" s="1" t="s">
        <v>19</v>
      </c>
      <c r="B9" s="1" t="s">
        <v>46</v>
      </c>
      <c r="C9" s="1" t="s">
        <v>21</v>
      </c>
      <c r="D9" s="4" t="s">
        <v>47</v>
      </c>
      <c r="E9" s="1" t="s">
        <v>23</v>
      </c>
      <c r="F9" s="1" t="s">
        <v>24</v>
      </c>
      <c r="G9" s="1" t="s">
        <v>25</v>
      </c>
      <c r="H9" s="1" t="s">
        <v>48</v>
      </c>
      <c r="I9" s="1" t="str">
        <f t="shared" si="1"/>
        <v>x</v>
      </c>
      <c r="J9" s="5"/>
      <c r="K9" s="1" t="str">
        <f t="shared" si="2"/>
        <v>12</v>
      </c>
      <c r="L9" s="5"/>
      <c r="M9" s="2" t="str">
        <f t="shared" si="3"/>
        <v>1399</v>
      </c>
      <c r="N9" s="5"/>
      <c r="O9" s="2">
        <v>8.0</v>
      </c>
      <c r="P9" s="5"/>
      <c r="Q9" s="5"/>
      <c r="R9" s="6" t="s">
        <v>49</v>
      </c>
      <c r="S9" s="5"/>
      <c r="T9" s="1" t="str">
        <f>IFERROR(__xludf.DUMMYFUNCTION("INDEX(SPLIT(A9, ""/""), 2)"),"انجمن‌های علمی و نشریات وابسته به دانشکده‌ها")</f>
        <v>انجمن‌های علمی و نشریات وابسته به دانشکده‌ها</v>
      </c>
      <c r="U9" s="1" t="str">
        <f>IFERROR(__xludf.DUMMYFUNCTION("INDEX(SPLIT(A9, ""/""), 3)"),"دانشکده شیمی")</f>
        <v>دانشکده شیمی</v>
      </c>
      <c r="V9" s="1" t="str">
        <f>IFERROR(__xludf.DUMMYFUNCTION("INDEX(SPLIT(A9, ""/""), 4)"),"آنتروپی")</f>
        <v>آنتروپی</v>
      </c>
    </row>
    <row r="10">
      <c r="A10" s="1" t="s">
        <v>19</v>
      </c>
      <c r="B10" s="1" t="s">
        <v>50</v>
      </c>
      <c r="C10" s="1" t="s">
        <v>21</v>
      </c>
      <c r="D10" s="4" t="s">
        <v>51</v>
      </c>
      <c r="E10" s="1" t="s">
        <v>23</v>
      </c>
      <c r="F10" s="1" t="s">
        <v>24</v>
      </c>
      <c r="G10" s="1" t="s">
        <v>25</v>
      </c>
      <c r="H10" s="1" t="s">
        <v>52</v>
      </c>
      <c r="I10" s="1" t="str">
        <f t="shared" si="1"/>
        <v>x</v>
      </c>
      <c r="J10" s="5"/>
      <c r="K10" s="1" t="str">
        <f t="shared" si="2"/>
        <v>1</v>
      </c>
      <c r="L10" s="5"/>
      <c r="M10" s="2" t="str">
        <f t="shared" si="3"/>
        <v>1400</v>
      </c>
      <c r="N10" s="5"/>
      <c r="O10" s="2" t="s">
        <v>53</v>
      </c>
      <c r="P10" s="5"/>
      <c r="Q10" s="5"/>
      <c r="R10" s="6" t="s">
        <v>54</v>
      </c>
      <c r="S10" s="1" t="s">
        <v>55</v>
      </c>
      <c r="T10" s="1" t="str">
        <f>IFERROR(__xludf.DUMMYFUNCTION("INDEX(SPLIT(A10, ""/""), 2)"),"انجمن‌های علمی و نشریات وابسته به دانشکده‌ها")</f>
        <v>انجمن‌های علمی و نشریات وابسته به دانشکده‌ها</v>
      </c>
      <c r="U10" s="1" t="str">
        <f>IFERROR(__xludf.DUMMYFUNCTION("INDEX(SPLIT(A10, ""/""), 3)"),"دانشکده شیمی")</f>
        <v>دانشکده شیمی</v>
      </c>
      <c r="V10" s="1" t="str">
        <f>IFERROR(__xludf.DUMMYFUNCTION("INDEX(SPLIT(A10, ""/""), 4)"),"آنتروپی")</f>
        <v>آنتروپی</v>
      </c>
    </row>
    <row r="11">
      <c r="A11" s="1" t="s">
        <v>19</v>
      </c>
      <c r="B11" s="1" t="s">
        <v>56</v>
      </c>
      <c r="C11" s="1" t="s">
        <v>21</v>
      </c>
      <c r="D11" s="4" t="s">
        <v>57</v>
      </c>
      <c r="E11" s="1" t="s">
        <v>23</v>
      </c>
      <c r="F11" s="1" t="s">
        <v>24</v>
      </c>
      <c r="G11" s="1" t="s">
        <v>25</v>
      </c>
      <c r="H11" s="1" t="s">
        <v>52</v>
      </c>
      <c r="I11" s="1" t="str">
        <f t="shared" si="1"/>
        <v>x</v>
      </c>
      <c r="J11" s="5"/>
      <c r="K11" s="1" t="str">
        <f t="shared" si="2"/>
        <v>1</v>
      </c>
      <c r="L11" s="5"/>
      <c r="M11" s="2" t="str">
        <f t="shared" si="3"/>
        <v>1400</v>
      </c>
      <c r="N11" s="5"/>
      <c r="O11" s="2">
        <v>9.0</v>
      </c>
      <c r="P11" s="5"/>
      <c r="Q11" s="5"/>
      <c r="R11" s="6" t="s">
        <v>54</v>
      </c>
      <c r="S11" s="5"/>
      <c r="T11" s="1" t="str">
        <f>IFERROR(__xludf.DUMMYFUNCTION("INDEX(SPLIT(A11, ""/""), 2)"),"انجمن‌های علمی و نشریات وابسته به دانشکده‌ها")</f>
        <v>انجمن‌های علمی و نشریات وابسته به دانشکده‌ها</v>
      </c>
      <c r="U11" s="1" t="str">
        <f>IFERROR(__xludf.DUMMYFUNCTION("INDEX(SPLIT(A11, ""/""), 3)"),"دانشکده شیمی")</f>
        <v>دانشکده شیمی</v>
      </c>
      <c r="V11" s="1" t="str">
        <f>IFERROR(__xludf.DUMMYFUNCTION("INDEX(SPLIT(A11, ""/""), 4)"),"آنتروپی")</f>
        <v>آنتروپی</v>
      </c>
    </row>
    <row r="12">
      <c r="A12" s="1" t="s">
        <v>19</v>
      </c>
      <c r="B12" s="1" t="s">
        <v>58</v>
      </c>
      <c r="C12" s="1" t="s">
        <v>21</v>
      </c>
      <c r="D12" s="4" t="s">
        <v>59</v>
      </c>
      <c r="E12" s="1" t="s">
        <v>23</v>
      </c>
      <c r="F12" s="1" t="s">
        <v>24</v>
      </c>
      <c r="G12" s="1" t="s">
        <v>25</v>
      </c>
      <c r="H12" s="1" t="s">
        <v>60</v>
      </c>
      <c r="I12" s="1" t="str">
        <f t="shared" si="1"/>
        <v>x</v>
      </c>
      <c r="J12" s="5"/>
      <c r="K12" s="1" t="str">
        <f t="shared" si="2"/>
        <v>2</v>
      </c>
      <c r="L12" s="5"/>
      <c r="M12" s="2" t="str">
        <f t="shared" si="3"/>
        <v>1400</v>
      </c>
      <c r="N12" s="5"/>
      <c r="O12" s="2">
        <v>10.0</v>
      </c>
      <c r="P12" s="5"/>
      <c r="Q12" s="5"/>
      <c r="R12" s="6" t="s">
        <v>61</v>
      </c>
      <c r="S12" s="5"/>
      <c r="T12" s="1" t="str">
        <f>IFERROR(__xludf.DUMMYFUNCTION("INDEX(SPLIT(A12, ""/""), 2)"),"انجمن‌های علمی و نشریات وابسته به دانشکده‌ها")</f>
        <v>انجمن‌های علمی و نشریات وابسته به دانشکده‌ها</v>
      </c>
      <c r="U12" s="1" t="str">
        <f>IFERROR(__xludf.DUMMYFUNCTION("INDEX(SPLIT(A12, ""/""), 3)"),"دانشکده شیمی")</f>
        <v>دانشکده شیمی</v>
      </c>
      <c r="V12" s="1" t="str">
        <f>IFERROR(__xludf.DUMMYFUNCTION("INDEX(SPLIT(A12, ""/""), 4)"),"آنتروپی")</f>
        <v>آنتروپی</v>
      </c>
    </row>
    <row r="13">
      <c r="A13" s="1" t="s">
        <v>19</v>
      </c>
      <c r="B13" s="1" t="s">
        <v>62</v>
      </c>
      <c r="C13" s="1" t="s">
        <v>21</v>
      </c>
      <c r="D13" s="4" t="s">
        <v>63</v>
      </c>
      <c r="E13" s="1" t="s">
        <v>23</v>
      </c>
      <c r="F13" s="1" t="s">
        <v>24</v>
      </c>
      <c r="G13" s="1" t="s">
        <v>25</v>
      </c>
      <c r="H13" s="1" t="s">
        <v>60</v>
      </c>
      <c r="I13" s="1" t="str">
        <f t="shared" si="1"/>
        <v>x</v>
      </c>
      <c r="J13" s="5"/>
      <c r="K13" s="1" t="str">
        <f t="shared" si="2"/>
        <v>2</v>
      </c>
      <c r="L13" s="5"/>
      <c r="M13" s="2" t="str">
        <f t="shared" si="3"/>
        <v>1400</v>
      </c>
      <c r="N13" s="5"/>
      <c r="O13" s="2">
        <v>11.0</v>
      </c>
      <c r="P13" s="5"/>
      <c r="Q13" s="5"/>
      <c r="R13" s="6" t="s">
        <v>61</v>
      </c>
      <c r="S13" s="5"/>
      <c r="T13" s="1" t="str">
        <f>IFERROR(__xludf.DUMMYFUNCTION("INDEX(SPLIT(A13, ""/""), 2)"),"انجمن‌های علمی و نشریات وابسته به دانشکده‌ها")</f>
        <v>انجمن‌های علمی و نشریات وابسته به دانشکده‌ها</v>
      </c>
      <c r="U13" s="1" t="str">
        <f>IFERROR(__xludf.DUMMYFUNCTION("INDEX(SPLIT(A13, ""/""), 3)"),"دانشکده شیمی")</f>
        <v>دانشکده شیمی</v>
      </c>
      <c r="V13" s="1" t="str">
        <f>IFERROR(__xludf.DUMMYFUNCTION("INDEX(SPLIT(A13, ""/""), 4)"),"آنتروپی")</f>
        <v>آنتروپی</v>
      </c>
    </row>
    <row r="14">
      <c r="A14" s="1" t="s">
        <v>19</v>
      </c>
      <c r="B14" s="1" t="s">
        <v>64</v>
      </c>
      <c r="C14" s="1" t="s">
        <v>21</v>
      </c>
      <c r="D14" s="4" t="s">
        <v>65</v>
      </c>
      <c r="E14" s="1" t="s">
        <v>23</v>
      </c>
      <c r="F14" s="1" t="s">
        <v>24</v>
      </c>
      <c r="G14" s="1" t="s">
        <v>25</v>
      </c>
      <c r="H14" s="1" t="s">
        <v>66</v>
      </c>
      <c r="I14" s="1" t="str">
        <f t="shared" si="1"/>
        <v>x</v>
      </c>
      <c r="J14" s="5"/>
      <c r="K14" s="1" t="str">
        <f t="shared" si="2"/>
        <v>3</v>
      </c>
      <c r="L14" s="5"/>
      <c r="M14" s="2" t="str">
        <f t="shared" si="3"/>
        <v>1400</v>
      </c>
      <c r="N14" s="5"/>
      <c r="O14" s="2">
        <v>12.0</v>
      </c>
      <c r="P14" s="5"/>
      <c r="Q14" s="5"/>
      <c r="R14" s="6" t="s">
        <v>67</v>
      </c>
      <c r="S14" s="5"/>
      <c r="T14" s="1" t="str">
        <f>IFERROR(__xludf.DUMMYFUNCTION("INDEX(SPLIT(A14, ""/""), 2)"),"انجمن‌های علمی و نشریات وابسته به دانشکده‌ها")</f>
        <v>انجمن‌های علمی و نشریات وابسته به دانشکده‌ها</v>
      </c>
      <c r="U14" s="1" t="str">
        <f>IFERROR(__xludf.DUMMYFUNCTION("INDEX(SPLIT(A14, ""/""), 3)"),"دانشکده شیمی")</f>
        <v>دانشکده شیمی</v>
      </c>
      <c r="V14" s="1" t="str">
        <f>IFERROR(__xludf.DUMMYFUNCTION("INDEX(SPLIT(A14, ""/""), 4)"),"آنتروپی")</f>
        <v>آنتروپی</v>
      </c>
    </row>
    <row r="15">
      <c r="A15" s="1" t="s">
        <v>68</v>
      </c>
      <c r="B15" s="1" t="s">
        <v>69</v>
      </c>
      <c r="C15" s="1" t="s">
        <v>21</v>
      </c>
      <c r="D15" s="4" t="s">
        <v>70</v>
      </c>
      <c r="E15" s="1" t="s">
        <v>71</v>
      </c>
      <c r="F15" s="1" t="s">
        <v>72</v>
      </c>
      <c r="G15" s="1" t="s">
        <v>73</v>
      </c>
      <c r="H15" s="1" t="s">
        <v>74</v>
      </c>
      <c r="I15" s="1" t="str">
        <f t="shared" si="1"/>
        <v>x</v>
      </c>
      <c r="J15" s="5"/>
      <c r="K15" s="1" t="str">
        <f t="shared" si="2"/>
        <v>4</v>
      </c>
      <c r="L15" s="5"/>
      <c r="M15" s="2" t="str">
        <f t="shared" si="3"/>
        <v>1384</v>
      </c>
      <c r="N15" s="5"/>
      <c r="O15" s="2">
        <v>1.0</v>
      </c>
      <c r="P15" s="5"/>
      <c r="Q15" s="5"/>
      <c r="R15" s="6" t="s">
        <v>75</v>
      </c>
      <c r="S15" s="5"/>
      <c r="T15" s="1" t="str">
        <f>IFERROR(__xludf.DUMMYFUNCTION("INDEX(SPLIT(A15, ""/""), 2)"),"انجمن‌های علمی و نشریات وابسته به دانشکده‌ها")</f>
        <v>انجمن‌های علمی و نشریات وابسته به دانشکده‌ها</v>
      </c>
      <c r="U15" s="1" t="str">
        <f>IFERROR(__xludf.DUMMYFUNCTION("INDEX(SPLIT(A15, ""/""), 3)"),"دانشکده مهندسی کامپیوتر")</f>
        <v>دانشکده مهندسی کامپیوتر</v>
      </c>
      <c r="V15" s="1" t="str">
        <f>IFERROR(__xludf.DUMMYFUNCTION("INDEX(SPLIT(A15, ""/""), 4)"),"ارغوان")</f>
        <v>ارغوان</v>
      </c>
    </row>
    <row r="16">
      <c r="A16" s="1" t="s">
        <v>68</v>
      </c>
      <c r="B16" s="1" t="s">
        <v>76</v>
      </c>
      <c r="C16" s="1" t="s">
        <v>21</v>
      </c>
      <c r="D16" s="4" t="s">
        <v>77</v>
      </c>
      <c r="E16" s="1" t="s">
        <v>71</v>
      </c>
      <c r="F16" s="1" t="s">
        <v>72</v>
      </c>
      <c r="G16" s="1" t="s">
        <v>73</v>
      </c>
      <c r="H16" s="1" t="s">
        <v>78</v>
      </c>
      <c r="I16" s="1" t="str">
        <f t="shared" si="1"/>
        <v>x</v>
      </c>
      <c r="J16" s="5"/>
      <c r="K16" s="1" t="str">
        <f t="shared" si="2"/>
        <v>9</v>
      </c>
      <c r="L16" s="5"/>
      <c r="M16" s="2" t="str">
        <f t="shared" si="3"/>
        <v>1384</v>
      </c>
      <c r="N16" s="5"/>
      <c r="O16" s="2">
        <v>2.0</v>
      </c>
      <c r="P16" s="5"/>
      <c r="Q16" s="5"/>
      <c r="R16" s="6" t="s">
        <v>79</v>
      </c>
      <c r="S16" s="5"/>
      <c r="T16" s="1" t="str">
        <f>IFERROR(__xludf.DUMMYFUNCTION("INDEX(SPLIT(A16, ""/""), 2)"),"انجمن‌های علمی و نشریات وابسته به دانشکده‌ها")</f>
        <v>انجمن‌های علمی و نشریات وابسته به دانشکده‌ها</v>
      </c>
      <c r="U16" s="1" t="str">
        <f>IFERROR(__xludf.DUMMYFUNCTION("INDEX(SPLIT(A16, ""/""), 3)"),"دانشکده مهندسی کامپیوتر")</f>
        <v>دانشکده مهندسی کامپیوتر</v>
      </c>
      <c r="V16" s="1" t="str">
        <f>IFERROR(__xludf.DUMMYFUNCTION("INDEX(SPLIT(A16, ""/""), 4)"),"ارغوان")</f>
        <v>ارغوان</v>
      </c>
    </row>
    <row r="17">
      <c r="A17" s="1" t="s">
        <v>68</v>
      </c>
      <c r="B17" s="1" t="s">
        <v>80</v>
      </c>
      <c r="C17" s="1" t="s">
        <v>21</v>
      </c>
      <c r="D17" s="4" t="s">
        <v>81</v>
      </c>
      <c r="E17" s="1" t="s">
        <v>71</v>
      </c>
      <c r="F17" s="1" t="s">
        <v>72</v>
      </c>
      <c r="G17" s="1" t="s">
        <v>73</v>
      </c>
      <c r="H17" s="1" t="s">
        <v>82</v>
      </c>
      <c r="I17" s="1" t="str">
        <f t="shared" si="1"/>
        <v>x</v>
      </c>
      <c r="J17" s="5"/>
      <c r="K17" s="1" t="str">
        <f t="shared" si="2"/>
        <v>2</v>
      </c>
      <c r="L17" s="5"/>
      <c r="M17" s="2" t="str">
        <f t="shared" si="3"/>
        <v>1385</v>
      </c>
      <c r="N17" s="5"/>
      <c r="O17" s="2">
        <v>3.0</v>
      </c>
      <c r="P17" s="5"/>
      <c r="Q17" s="5"/>
      <c r="R17" s="6" t="s">
        <v>83</v>
      </c>
      <c r="S17" s="5"/>
      <c r="T17" s="1" t="str">
        <f>IFERROR(__xludf.DUMMYFUNCTION("INDEX(SPLIT(A17, ""/""), 2)"),"انجمن‌های علمی و نشریات وابسته به دانشکده‌ها")</f>
        <v>انجمن‌های علمی و نشریات وابسته به دانشکده‌ها</v>
      </c>
      <c r="U17" s="1" t="str">
        <f>IFERROR(__xludf.DUMMYFUNCTION("INDEX(SPLIT(A17, ""/""), 3)"),"دانشکده مهندسی کامپیوتر")</f>
        <v>دانشکده مهندسی کامپیوتر</v>
      </c>
      <c r="V17" s="1" t="str">
        <f>IFERROR(__xludf.DUMMYFUNCTION("INDEX(SPLIT(A17, ""/""), 4)"),"ارغوان")</f>
        <v>ارغوان</v>
      </c>
    </row>
    <row r="18">
      <c r="A18" s="1" t="s">
        <v>68</v>
      </c>
      <c r="B18" s="1" t="s">
        <v>84</v>
      </c>
      <c r="C18" s="1" t="s">
        <v>21</v>
      </c>
      <c r="D18" s="4" t="s">
        <v>85</v>
      </c>
      <c r="E18" s="1" t="s">
        <v>71</v>
      </c>
      <c r="F18" s="1" t="s">
        <v>72</v>
      </c>
      <c r="G18" s="1" t="s">
        <v>73</v>
      </c>
      <c r="H18" s="1" t="s">
        <v>86</v>
      </c>
      <c r="I18" s="1" t="str">
        <f t="shared" si="1"/>
        <v>x</v>
      </c>
      <c r="J18" s="5"/>
      <c r="K18" s="1" t="str">
        <f t="shared" si="2"/>
        <v>11</v>
      </c>
      <c r="L18" s="5"/>
      <c r="M18" s="2" t="str">
        <f t="shared" si="3"/>
        <v>1385</v>
      </c>
      <c r="N18" s="5"/>
      <c r="O18" s="2">
        <v>4.0</v>
      </c>
      <c r="P18" s="5"/>
      <c r="Q18" s="5"/>
      <c r="R18" s="6" t="s">
        <v>87</v>
      </c>
      <c r="S18" s="5"/>
      <c r="T18" s="1" t="str">
        <f>IFERROR(__xludf.DUMMYFUNCTION("INDEX(SPLIT(A18, ""/""), 2)"),"انجمن‌های علمی و نشریات وابسته به دانشکده‌ها")</f>
        <v>انجمن‌های علمی و نشریات وابسته به دانشکده‌ها</v>
      </c>
      <c r="U18" s="1" t="str">
        <f>IFERROR(__xludf.DUMMYFUNCTION("INDEX(SPLIT(A18, ""/""), 3)"),"دانشکده مهندسی کامپیوتر")</f>
        <v>دانشکده مهندسی کامپیوتر</v>
      </c>
      <c r="V18" s="1" t="str">
        <f>IFERROR(__xludf.DUMMYFUNCTION("INDEX(SPLIT(A18, ""/""), 4)"),"ارغوان")</f>
        <v>ارغوان</v>
      </c>
    </row>
    <row r="19">
      <c r="A19" s="1" t="s">
        <v>68</v>
      </c>
      <c r="B19" s="1" t="s">
        <v>88</v>
      </c>
      <c r="C19" s="1" t="s">
        <v>21</v>
      </c>
      <c r="D19" s="4" t="s">
        <v>89</v>
      </c>
      <c r="E19" s="1" t="s">
        <v>71</v>
      </c>
      <c r="F19" s="1" t="s">
        <v>72</v>
      </c>
      <c r="G19" s="1" t="s">
        <v>90</v>
      </c>
      <c r="H19" s="1" t="s">
        <v>91</v>
      </c>
      <c r="I19" s="1" t="str">
        <f t="shared" si="1"/>
        <v>x</v>
      </c>
      <c r="J19" s="5"/>
      <c r="K19" s="1" t="str">
        <f t="shared" si="2"/>
        <v>12</v>
      </c>
      <c r="L19" s="5"/>
      <c r="M19" s="2" t="str">
        <f t="shared" si="3"/>
        <v>1386</v>
      </c>
      <c r="N19" s="5"/>
      <c r="O19" s="2">
        <v>5.0</v>
      </c>
      <c r="P19" s="5"/>
      <c r="Q19" s="5"/>
      <c r="R19" s="6" t="s">
        <v>92</v>
      </c>
      <c r="S19" s="5"/>
      <c r="T19" s="1" t="str">
        <f>IFERROR(__xludf.DUMMYFUNCTION("INDEX(SPLIT(A19, ""/""), 2)"),"انجمن‌های علمی و نشریات وابسته به دانشکده‌ها")</f>
        <v>انجمن‌های علمی و نشریات وابسته به دانشکده‌ها</v>
      </c>
      <c r="U19" s="1" t="str">
        <f>IFERROR(__xludf.DUMMYFUNCTION("INDEX(SPLIT(A19, ""/""), 3)"),"دانشکده مهندسی کامپیوتر")</f>
        <v>دانشکده مهندسی کامپیوتر</v>
      </c>
      <c r="V19" s="1" t="str">
        <f>IFERROR(__xludf.DUMMYFUNCTION("INDEX(SPLIT(A19, ""/""), 4)"),"ارغوان")</f>
        <v>ارغوان</v>
      </c>
    </row>
    <row r="20">
      <c r="A20" s="1" t="s">
        <v>68</v>
      </c>
      <c r="B20" s="1" t="s">
        <v>93</v>
      </c>
      <c r="C20" s="1" t="s">
        <v>21</v>
      </c>
      <c r="D20" s="4" t="s">
        <v>94</v>
      </c>
      <c r="E20" s="1" t="s">
        <v>71</v>
      </c>
      <c r="F20" s="1" t="s">
        <v>95</v>
      </c>
      <c r="G20" s="1" t="s">
        <v>96</v>
      </c>
      <c r="H20" s="1" t="s">
        <v>97</v>
      </c>
      <c r="I20" s="1" t="str">
        <f t="shared" si="1"/>
        <v>x</v>
      </c>
      <c r="J20" s="5"/>
      <c r="K20" s="1" t="str">
        <f t="shared" si="2"/>
        <v>3</v>
      </c>
      <c r="L20" s="5"/>
      <c r="M20" s="2" t="str">
        <f t="shared" si="3"/>
        <v>1389</v>
      </c>
      <c r="N20" s="5"/>
      <c r="O20" s="2">
        <v>6.0</v>
      </c>
      <c r="P20" s="7" t="s">
        <v>98</v>
      </c>
      <c r="Q20" s="1" t="s">
        <v>99</v>
      </c>
      <c r="R20" s="6" t="s">
        <v>100</v>
      </c>
      <c r="S20" s="1"/>
      <c r="T20" s="1" t="str">
        <f>IFERROR(__xludf.DUMMYFUNCTION("INDEX(SPLIT(A20, ""/""), 2)"),"انجمن‌های علمی و نشریات وابسته به دانشکده‌ها")</f>
        <v>انجمن‌های علمی و نشریات وابسته به دانشکده‌ها</v>
      </c>
      <c r="U20" s="1" t="str">
        <f>IFERROR(__xludf.DUMMYFUNCTION("INDEX(SPLIT(A20, ""/""), 3)"),"دانشکده مهندسی کامپیوتر")</f>
        <v>دانشکده مهندسی کامپیوتر</v>
      </c>
      <c r="V20" s="1" t="str">
        <f>IFERROR(__xludf.DUMMYFUNCTION("INDEX(SPLIT(A20, ""/""), 4)"),"ارغوان")</f>
        <v>ارغوان</v>
      </c>
    </row>
    <row r="21">
      <c r="A21" s="1" t="s">
        <v>101</v>
      </c>
      <c r="B21" s="1" t="s">
        <v>102</v>
      </c>
      <c r="C21" s="1" t="s">
        <v>21</v>
      </c>
      <c r="D21" s="4" t="s">
        <v>103</v>
      </c>
      <c r="E21" s="1" t="s">
        <v>104</v>
      </c>
      <c r="F21" s="1" t="s">
        <v>105</v>
      </c>
      <c r="G21" s="1" t="s">
        <v>106</v>
      </c>
      <c r="H21" s="1" t="s">
        <v>107</v>
      </c>
      <c r="I21" s="1" t="str">
        <f t="shared" si="1"/>
        <v>x</v>
      </c>
      <c r="J21" s="5"/>
      <c r="K21" s="1" t="str">
        <f t="shared" si="2"/>
        <v>x</v>
      </c>
      <c r="L21" s="1">
        <v>4.0</v>
      </c>
      <c r="M21" s="2" t="str">
        <f t="shared" si="3"/>
        <v>1398</v>
      </c>
      <c r="N21" s="5"/>
      <c r="O21" s="2">
        <v>1.0</v>
      </c>
      <c r="P21" s="5"/>
      <c r="Q21" s="5"/>
      <c r="R21" s="8" t="s">
        <v>108</v>
      </c>
      <c r="S21" s="5"/>
      <c r="T21" s="1" t="str">
        <f>IFERROR(__xludf.DUMMYFUNCTION("INDEX(SPLIT(A21, ""/""), 2)"),"انجمن‌های علمی و نشریات وابسته به دانشکده‌ها")</f>
        <v>انجمن‌های علمی و نشریات وابسته به دانشکده‌ها</v>
      </c>
      <c r="U21" s="1" t="str">
        <f>IFERROR(__xludf.DUMMYFUNCTION("INDEX(SPLIT(A21, ""/""), 3)"),"دانشکده مدیریت و اقتصاد")</f>
        <v>دانشکده مدیریت و اقتصاد</v>
      </c>
      <c r="V21" s="1" t="str">
        <f>IFERROR(__xludf.DUMMYFUNCTION("INDEX(SPLIT(A21, ""/""), 4)"),"اقتصاد شریف")</f>
        <v>اقتصاد شریف</v>
      </c>
    </row>
    <row r="22">
      <c r="A22" s="1" t="s">
        <v>109</v>
      </c>
      <c r="B22" s="1" t="s">
        <v>110</v>
      </c>
      <c r="C22" s="1" t="s">
        <v>21</v>
      </c>
      <c r="D22" s="4" t="s">
        <v>111</v>
      </c>
      <c r="E22" s="1" t="s">
        <v>112</v>
      </c>
      <c r="F22" s="1" t="s">
        <v>113</v>
      </c>
      <c r="G22" s="1" t="s">
        <v>114</v>
      </c>
      <c r="H22" s="1" t="s">
        <v>115</v>
      </c>
      <c r="I22" s="1" t="str">
        <f t="shared" si="1"/>
        <v>x</v>
      </c>
      <c r="J22" s="5"/>
      <c r="K22" s="1" t="str">
        <f t="shared" si="2"/>
        <v>x</v>
      </c>
      <c r="L22" s="1">
        <v>1.0</v>
      </c>
      <c r="M22" s="2" t="str">
        <f t="shared" si="3"/>
        <v>1399</v>
      </c>
      <c r="N22" s="5"/>
      <c r="O22" s="2">
        <v>1.0</v>
      </c>
      <c r="P22" s="1"/>
      <c r="Q22" s="1"/>
      <c r="R22" s="8" t="s">
        <v>116</v>
      </c>
      <c r="S22" s="5"/>
      <c r="T22" s="1" t="str">
        <f>IFERROR(__xludf.DUMMYFUNCTION("INDEX(SPLIT(A22, ""/""), 2)"),"انجمن‌های علمی و نشریات وابسته به دانشکده‌ها")</f>
        <v>انجمن‌های علمی و نشریات وابسته به دانشکده‌ها</v>
      </c>
      <c r="U22" s="1" t="str">
        <f>IFERROR(__xludf.DUMMYFUNCTION("INDEX(SPLIT(A22, ""/""), 3)"),"دانشکده شیمی")</f>
        <v>دانشکده شیمی</v>
      </c>
      <c r="V22" s="1" t="str">
        <f>IFERROR(__xludf.DUMMYFUNCTION("INDEX(SPLIT(A22, ""/""), 4)"),"اکسیر")</f>
        <v>اکسیر</v>
      </c>
    </row>
    <row r="23">
      <c r="A23" s="1" t="s">
        <v>109</v>
      </c>
      <c r="B23" s="1" t="s">
        <v>117</v>
      </c>
      <c r="C23" s="1" t="s">
        <v>21</v>
      </c>
      <c r="D23" s="4" t="s">
        <v>118</v>
      </c>
      <c r="E23" s="1" t="s">
        <v>112</v>
      </c>
      <c r="F23" s="1" t="s">
        <v>113</v>
      </c>
      <c r="G23" s="1" t="s">
        <v>113</v>
      </c>
      <c r="H23" s="1" t="s">
        <v>119</v>
      </c>
      <c r="I23" s="1" t="str">
        <f t="shared" si="1"/>
        <v>x</v>
      </c>
      <c r="J23" s="5"/>
      <c r="K23" s="1" t="str">
        <f t="shared" si="2"/>
        <v>4</v>
      </c>
      <c r="L23" s="5"/>
      <c r="M23" s="2" t="str">
        <f t="shared" si="3"/>
        <v>1399</v>
      </c>
      <c r="N23" s="5"/>
      <c r="O23" s="2">
        <v>2.0</v>
      </c>
      <c r="P23" s="5"/>
      <c r="Q23" s="5"/>
      <c r="R23" s="6" t="s">
        <v>120</v>
      </c>
      <c r="S23" s="5"/>
      <c r="T23" s="1" t="str">
        <f>IFERROR(__xludf.DUMMYFUNCTION("INDEX(SPLIT(A23, ""/""), 2)"),"انجمن‌های علمی و نشریات وابسته به دانشکده‌ها")</f>
        <v>انجمن‌های علمی و نشریات وابسته به دانشکده‌ها</v>
      </c>
      <c r="U23" s="1" t="str">
        <f>IFERROR(__xludf.DUMMYFUNCTION("INDEX(SPLIT(A23, ""/""), 3)"),"دانشکده شیمی")</f>
        <v>دانشکده شیمی</v>
      </c>
      <c r="V23" s="1" t="str">
        <f>IFERROR(__xludf.DUMMYFUNCTION("INDEX(SPLIT(A23, ""/""), 4)"),"اکسیر")</f>
        <v>اکسیر</v>
      </c>
    </row>
    <row r="24">
      <c r="A24" s="1" t="s">
        <v>109</v>
      </c>
      <c r="B24" s="1" t="s">
        <v>121</v>
      </c>
      <c r="C24" s="1" t="s">
        <v>21</v>
      </c>
      <c r="D24" s="4" t="s">
        <v>122</v>
      </c>
      <c r="E24" s="1" t="s">
        <v>112</v>
      </c>
      <c r="F24" s="1" t="s">
        <v>113</v>
      </c>
      <c r="G24" s="1" t="s">
        <v>123</v>
      </c>
      <c r="H24" s="1" t="s">
        <v>26</v>
      </c>
      <c r="I24" s="1" t="str">
        <f t="shared" si="1"/>
        <v>x</v>
      </c>
      <c r="J24" s="5"/>
      <c r="K24" s="1" t="str">
        <f t="shared" si="2"/>
        <v>7</v>
      </c>
      <c r="L24" s="5"/>
      <c r="M24" s="2" t="str">
        <f t="shared" si="3"/>
        <v>1399</v>
      </c>
      <c r="N24" s="5"/>
      <c r="O24" s="2">
        <v>3.0</v>
      </c>
      <c r="P24" s="5"/>
      <c r="Q24" s="5"/>
      <c r="R24" s="6" t="s">
        <v>27</v>
      </c>
      <c r="S24" s="5"/>
      <c r="T24" s="1" t="str">
        <f>IFERROR(__xludf.DUMMYFUNCTION("INDEX(SPLIT(A24, ""/""), 2)"),"انجمن‌های علمی و نشریات وابسته به دانشکده‌ها")</f>
        <v>انجمن‌های علمی و نشریات وابسته به دانشکده‌ها</v>
      </c>
      <c r="U24" s="1" t="str">
        <f>IFERROR(__xludf.DUMMYFUNCTION("INDEX(SPLIT(A24, ""/""), 3)"),"دانشکده شیمی")</f>
        <v>دانشکده شیمی</v>
      </c>
      <c r="V24" s="1" t="str">
        <f>IFERROR(__xludf.DUMMYFUNCTION("INDEX(SPLIT(A24, ""/""), 4)"),"اکسیر")</f>
        <v>اکسیر</v>
      </c>
    </row>
    <row r="25">
      <c r="A25" s="1" t="s">
        <v>109</v>
      </c>
      <c r="B25" s="1" t="s">
        <v>124</v>
      </c>
      <c r="C25" s="1" t="s">
        <v>21</v>
      </c>
      <c r="D25" s="4" t="s">
        <v>125</v>
      </c>
      <c r="E25" s="1" t="s">
        <v>112</v>
      </c>
      <c r="F25" s="1" t="s">
        <v>126</v>
      </c>
      <c r="G25" s="1" t="s">
        <v>123</v>
      </c>
      <c r="H25" s="1" t="s">
        <v>32</v>
      </c>
      <c r="I25" s="1" t="str">
        <f t="shared" si="1"/>
        <v>x</v>
      </c>
      <c r="J25" s="5"/>
      <c r="K25" s="1" t="str">
        <f t="shared" si="2"/>
        <v>8</v>
      </c>
      <c r="L25" s="5"/>
      <c r="M25" s="2" t="str">
        <f t="shared" si="3"/>
        <v>1399</v>
      </c>
      <c r="N25" s="5"/>
      <c r="O25" s="2">
        <v>4.0</v>
      </c>
      <c r="P25" s="5"/>
      <c r="Q25" s="5"/>
      <c r="R25" s="6" t="s">
        <v>33</v>
      </c>
      <c r="S25" s="5"/>
      <c r="T25" s="1" t="str">
        <f>IFERROR(__xludf.DUMMYFUNCTION("INDEX(SPLIT(A25, ""/""), 2)"),"انجمن‌های علمی و نشریات وابسته به دانشکده‌ها")</f>
        <v>انجمن‌های علمی و نشریات وابسته به دانشکده‌ها</v>
      </c>
      <c r="U25" s="1" t="str">
        <f>IFERROR(__xludf.DUMMYFUNCTION("INDEX(SPLIT(A25, ""/""), 3)"),"دانشکده شیمی")</f>
        <v>دانشکده شیمی</v>
      </c>
      <c r="V25" s="1" t="str">
        <f>IFERROR(__xludf.DUMMYFUNCTION("INDEX(SPLIT(A25, ""/""), 4)"),"اکسیر")</f>
        <v>اکسیر</v>
      </c>
    </row>
    <row r="26">
      <c r="A26" s="1" t="s">
        <v>109</v>
      </c>
      <c r="B26" s="1" t="s">
        <v>127</v>
      </c>
      <c r="C26" s="1" t="s">
        <v>21</v>
      </c>
      <c r="D26" s="4" t="s">
        <v>128</v>
      </c>
      <c r="E26" s="1" t="s">
        <v>112</v>
      </c>
      <c r="F26" s="1" t="s">
        <v>126</v>
      </c>
      <c r="G26" s="1" t="s">
        <v>123</v>
      </c>
      <c r="H26" s="1" t="s">
        <v>129</v>
      </c>
      <c r="I26" s="1" t="str">
        <f t="shared" si="1"/>
        <v>x</v>
      </c>
      <c r="J26" s="5"/>
      <c r="K26" s="1" t="str">
        <f t="shared" si="2"/>
        <v>11</v>
      </c>
      <c r="L26" s="5"/>
      <c r="M26" s="2" t="str">
        <f t="shared" si="3"/>
        <v>1399</v>
      </c>
      <c r="N26" s="5"/>
      <c r="O26" s="2">
        <v>5.0</v>
      </c>
      <c r="P26" s="5"/>
      <c r="Q26" s="5"/>
      <c r="R26" s="6" t="s">
        <v>130</v>
      </c>
      <c r="S26" s="5"/>
      <c r="T26" s="1" t="str">
        <f>IFERROR(__xludf.DUMMYFUNCTION("INDEX(SPLIT(A26, ""/""), 2)"),"انجمن‌های علمی و نشریات وابسته به دانشکده‌ها")</f>
        <v>انجمن‌های علمی و نشریات وابسته به دانشکده‌ها</v>
      </c>
      <c r="U26" s="1" t="str">
        <f>IFERROR(__xludf.DUMMYFUNCTION("INDEX(SPLIT(A26, ""/""), 3)"),"دانشکده شیمی")</f>
        <v>دانشکده شیمی</v>
      </c>
      <c r="V26" s="1" t="str">
        <f>IFERROR(__xludf.DUMMYFUNCTION("INDEX(SPLIT(A26, ""/""), 4)"),"اکسیر")</f>
        <v>اکسیر</v>
      </c>
    </row>
    <row r="27">
      <c r="A27" s="1" t="s">
        <v>109</v>
      </c>
      <c r="B27" s="1" t="s">
        <v>131</v>
      </c>
      <c r="C27" s="1" t="s">
        <v>21</v>
      </c>
      <c r="D27" s="4" t="s">
        <v>132</v>
      </c>
      <c r="E27" s="1" t="s">
        <v>112</v>
      </c>
      <c r="F27" s="1" t="s">
        <v>126</v>
      </c>
      <c r="G27" s="1" t="s">
        <v>123</v>
      </c>
      <c r="H27" s="1" t="s">
        <v>133</v>
      </c>
      <c r="I27" s="1" t="str">
        <f t="shared" si="1"/>
        <v>x</v>
      </c>
      <c r="J27" s="5"/>
      <c r="K27" s="1" t="str">
        <f t="shared" si="2"/>
        <v>5</v>
      </c>
      <c r="L27" s="5"/>
      <c r="M27" s="2" t="str">
        <f t="shared" si="3"/>
        <v>1400</v>
      </c>
      <c r="N27" s="5"/>
      <c r="O27" s="2">
        <v>6.0</v>
      </c>
      <c r="P27" s="5"/>
      <c r="Q27" s="5"/>
      <c r="R27" s="6" t="s">
        <v>134</v>
      </c>
      <c r="S27" s="5"/>
      <c r="T27" s="1" t="str">
        <f>IFERROR(__xludf.DUMMYFUNCTION("INDEX(SPLIT(A27, ""/""), 2)"),"انجمن‌های علمی و نشریات وابسته به دانشکده‌ها")</f>
        <v>انجمن‌های علمی و نشریات وابسته به دانشکده‌ها</v>
      </c>
      <c r="U27" s="1" t="str">
        <f>IFERROR(__xludf.DUMMYFUNCTION("INDEX(SPLIT(A27, ""/""), 3)"),"دانشکده شیمی")</f>
        <v>دانشکده شیمی</v>
      </c>
      <c r="V27" s="1" t="str">
        <f>IFERROR(__xludf.DUMMYFUNCTION("INDEX(SPLIT(A27, ""/""), 4)"),"اکسیر")</f>
        <v>اکسیر</v>
      </c>
    </row>
    <row r="28">
      <c r="A28" s="1" t="s">
        <v>109</v>
      </c>
      <c r="B28" s="1" t="s">
        <v>135</v>
      </c>
      <c r="C28" s="1" t="s">
        <v>21</v>
      </c>
      <c r="D28" s="4" t="s">
        <v>136</v>
      </c>
      <c r="E28" s="1" t="s">
        <v>112</v>
      </c>
      <c r="F28" s="1" t="s">
        <v>126</v>
      </c>
      <c r="G28" s="1" t="s">
        <v>137</v>
      </c>
      <c r="H28" s="1" t="s">
        <v>138</v>
      </c>
      <c r="I28" s="1" t="str">
        <f t="shared" si="1"/>
        <v>x</v>
      </c>
      <c r="J28" s="5"/>
      <c r="K28" s="1" t="str">
        <f t="shared" si="2"/>
        <v>8</v>
      </c>
      <c r="L28" s="5"/>
      <c r="M28" s="2" t="str">
        <f t="shared" si="3"/>
        <v>1400</v>
      </c>
      <c r="N28" s="5"/>
      <c r="O28" s="2">
        <v>7.0</v>
      </c>
      <c r="P28" s="5"/>
      <c r="Q28" s="5"/>
      <c r="R28" s="6" t="s">
        <v>139</v>
      </c>
      <c r="S28" s="5"/>
      <c r="T28" s="1" t="str">
        <f>IFERROR(__xludf.DUMMYFUNCTION("INDEX(SPLIT(A28, ""/""), 2)"),"انجمن‌های علمی و نشریات وابسته به دانشکده‌ها")</f>
        <v>انجمن‌های علمی و نشریات وابسته به دانشکده‌ها</v>
      </c>
      <c r="U28" s="1" t="str">
        <f>IFERROR(__xludf.DUMMYFUNCTION("INDEX(SPLIT(A28, ""/""), 3)"),"دانشکده شیمی")</f>
        <v>دانشکده شیمی</v>
      </c>
      <c r="V28" s="1" t="str">
        <f>IFERROR(__xludf.DUMMYFUNCTION("INDEX(SPLIT(A28, ""/""), 4)"),"اکسیر")</f>
        <v>اکسیر</v>
      </c>
    </row>
    <row r="29">
      <c r="A29" s="1" t="s">
        <v>109</v>
      </c>
      <c r="B29" s="1" t="s">
        <v>140</v>
      </c>
      <c r="C29" s="1" t="s">
        <v>21</v>
      </c>
      <c r="D29" s="4" t="s">
        <v>141</v>
      </c>
      <c r="E29" s="1" t="s">
        <v>112</v>
      </c>
      <c r="F29" s="1" t="s">
        <v>126</v>
      </c>
      <c r="G29" s="1" t="s">
        <v>137</v>
      </c>
      <c r="H29" s="1" t="s">
        <v>142</v>
      </c>
      <c r="I29" s="1" t="str">
        <f t="shared" si="1"/>
        <v>x</v>
      </c>
      <c r="J29" s="5"/>
      <c r="K29" s="1" t="str">
        <f t="shared" si="2"/>
        <v>12</v>
      </c>
      <c r="L29" s="5"/>
      <c r="M29" s="2" t="str">
        <f t="shared" si="3"/>
        <v>1400</v>
      </c>
      <c r="N29" s="5"/>
      <c r="O29" s="2">
        <v>8.0</v>
      </c>
      <c r="P29" s="5"/>
      <c r="Q29" s="5"/>
      <c r="R29" s="6" t="s">
        <v>143</v>
      </c>
      <c r="S29" s="5"/>
      <c r="T29" s="1" t="str">
        <f>IFERROR(__xludf.DUMMYFUNCTION("INDEX(SPLIT(A29, ""/""), 2)"),"انجمن‌های علمی و نشریات وابسته به دانشکده‌ها")</f>
        <v>انجمن‌های علمی و نشریات وابسته به دانشکده‌ها</v>
      </c>
      <c r="U29" s="1" t="str">
        <f>IFERROR(__xludf.DUMMYFUNCTION("INDEX(SPLIT(A29, ""/""), 3)"),"دانشکده شیمی")</f>
        <v>دانشکده شیمی</v>
      </c>
      <c r="V29" s="1" t="str">
        <f>IFERROR(__xludf.DUMMYFUNCTION("INDEX(SPLIT(A29, ""/""), 4)"),"اکسیر")</f>
        <v>اکسیر</v>
      </c>
    </row>
    <row r="30">
      <c r="A30" s="1" t="s">
        <v>109</v>
      </c>
      <c r="B30" s="1" t="s">
        <v>144</v>
      </c>
      <c r="C30" s="1" t="s">
        <v>21</v>
      </c>
      <c r="D30" s="4" t="s">
        <v>145</v>
      </c>
      <c r="E30" s="1" t="s">
        <v>112</v>
      </c>
      <c r="F30" s="1" t="s">
        <v>126</v>
      </c>
      <c r="G30" s="1" t="s">
        <v>137</v>
      </c>
      <c r="H30" s="1" t="s">
        <v>146</v>
      </c>
      <c r="I30" s="1" t="str">
        <f t="shared" si="1"/>
        <v>x</v>
      </c>
      <c r="J30" s="5"/>
      <c r="K30" s="1" t="str">
        <f t="shared" si="2"/>
        <v>5</v>
      </c>
      <c r="L30" s="5"/>
      <c r="M30" s="2" t="str">
        <f t="shared" si="3"/>
        <v>1401</v>
      </c>
      <c r="N30" s="5"/>
      <c r="O30" s="2">
        <v>9.0</v>
      </c>
      <c r="P30" s="5"/>
      <c r="Q30" s="5"/>
      <c r="R30" s="6" t="s">
        <v>147</v>
      </c>
      <c r="S30" s="5"/>
      <c r="T30" s="1" t="str">
        <f>IFERROR(__xludf.DUMMYFUNCTION("INDEX(SPLIT(A30, ""/""), 2)"),"انجمن‌های علمی و نشریات وابسته به دانشکده‌ها")</f>
        <v>انجمن‌های علمی و نشریات وابسته به دانشکده‌ها</v>
      </c>
      <c r="U30" s="1" t="str">
        <f>IFERROR(__xludf.DUMMYFUNCTION("INDEX(SPLIT(A30, ""/""), 3)"),"دانشکده شیمی")</f>
        <v>دانشکده شیمی</v>
      </c>
      <c r="V30" s="1" t="str">
        <f>IFERROR(__xludf.DUMMYFUNCTION("INDEX(SPLIT(A30, ""/""), 4)"),"اکسیر")</f>
        <v>اکسیر</v>
      </c>
    </row>
    <row r="31">
      <c r="A31" s="1" t="s">
        <v>109</v>
      </c>
      <c r="B31" s="1" t="s">
        <v>148</v>
      </c>
      <c r="C31" s="1" t="s">
        <v>21</v>
      </c>
      <c r="D31" s="4" t="s">
        <v>149</v>
      </c>
      <c r="E31" s="1" t="s">
        <v>112</v>
      </c>
      <c r="F31" s="1" t="s">
        <v>150</v>
      </c>
      <c r="G31" s="1" t="s">
        <v>150</v>
      </c>
      <c r="H31" s="1" t="s">
        <v>151</v>
      </c>
      <c r="I31" s="1" t="str">
        <f t="shared" si="1"/>
        <v>x</v>
      </c>
      <c r="J31" s="5"/>
      <c r="K31" s="1" t="str">
        <f t="shared" si="2"/>
        <v>8</v>
      </c>
      <c r="L31" s="5"/>
      <c r="M31" s="2" t="str">
        <f t="shared" si="3"/>
        <v>1401</v>
      </c>
      <c r="N31" s="5"/>
      <c r="O31" s="2">
        <v>10.0</v>
      </c>
      <c r="P31" s="5"/>
      <c r="Q31" s="5"/>
      <c r="R31" s="6" t="s">
        <v>152</v>
      </c>
      <c r="S31" s="5"/>
      <c r="T31" s="1" t="str">
        <f>IFERROR(__xludf.DUMMYFUNCTION("INDEX(SPLIT(A31, ""/""), 2)"),"انجمن‌های علمی و نشریات وابسته به دانشکده‌ها")</f>
        <v>انجمن‌های علمی و نشریات وابسته به دانشکده‌ها</v>
      </c>
      <c r="U31" s="1" t="str">
        <f>IFERROR(__xludf.DUMMYFUNCTION("INDEX(SPLIT(A31, ""/""), 3)"),"دانشکده شیمی")</f>
        <v>دانشکده شیمی</v>
      </c>
      <c r="V31" s="1" t="str">
        <f>IFERROR(__xludf.DUMMYFUNCTION("INDEX(SPLIT(A31, ""/""), 4)"),"اکسیر")</f>
        <v>اکسیر</v>
      </c>
    </row>
    <row r="32">
      <c r="A32" s="1" t="s">
        <v>109</v>
      </c>
      <c r="B32" s="1" t="s">
        <v>153</v>
      </c>
      <c r="C32" s="1" t="s">
        <v>21</v>
      </c>
      <c r="D32" s="4" t="s">
        <v>154</v>
      </c>
      <c r="E32" s="1" t="s">
        <v>112</v>
      </c>
      <c r="F32" s="1" t="s">
        <v>150</v>
      </c>
      <c r="G32" s="1" t="s">
        <v>150</v>
      </c>
      <c r="H32" s="1" t="s">
        <v>155</v>
      </c>
      <c r="I32" s="1" t="str">
        <f t="shared" si="1"/>
        <v>x</v>
      </c>
      <c r="J32" s="5"/>
      <c r="K32" s="1" t="str">
        <f t="shared" si="2"/>
        <v>12</v>
      </c>
      <c r="L32" s="5"/>
      <c r="M32" s="2" t="str">
        <f t="shared" si="3"/>
        <v>1401</v>
      </c>
      <c r="N32" s="5"/>
      <c r="O32" s="2">
        <v>11.0</v>
      </c>
      <c r="P32" s="5"/>
      <c r="Q32" s="5"/>
      <c r="R32" s="6" t="s">
        <v>156</v>
      </c>
      <c r="S32" s="5"/>
      <c r="T32" s="1" t="str">
        <f>IFERROR(__xludf.DUMMYFUNCTION("INDEX(SPLIT(A32, ""/""), 2)"),"انجمن‌های علمی و نشریات وابسته به دانشکده‌ها")</f>
        <v>انجمن‌های علمی و نشریات وابسته به دانشکده‌ها</v>
      </c>
      <c r="U32" s="1" t="str">
        <f>IFERROR(__xludf.DUMMYFUNCTION("INDEX(SPLIT(A32, ""/""), 3)"),"دانشکده شیمی")</f>
        <v>دانشکده شیمی</v>
      </c>
      <c r="V32" s="1" t="str">
        <f>IFERROR(__xludf.DUMMYFUNCTION("INDEX(SPLIT(A32, ""/""), 4)"),"اکسیر")</f>
        <v>اکسیر</v>
      </c>
    </row>
    <row r="33">
      <c r="A33" s="1" t="s">
        <v>109</v>
      </c>
      <c r="B33" s="1" t="s">
        <v>157</v>
      </c>
      <c r="C33" s="1" t="s">
        <v>21</v>
      </c>
      <c r="D33" s="4" t="s">
        <v>158</v>
      </c>
      <c r="E33" s="1" t="s">
        <v>112</v>
      </c>
      <c r="F33" s="1" t="s">
        <v>150</v>
      </c>
      <c r="G33" s="1" t="s">
        <v>159</v>
      </c>
      <c r="H33" s="1" t="s">
        <v>160</v>
      </c>
      <c r="I33" s="1" t="str">
        <f t="shared" si="1"/>
        <v>x</v>
      </c>
      <c r="J33" s="5"/>
      <c r="K33" s="1" t="str">
        <f t="shared" si="2"/>
        <v>5</v>
      </c>
      <c r="L33" s="5"/>
      <c r="M33" s="2" t="str">
        <f t="shared" si="3"/>
        <v>1402</v>
      </c>
      <c r="N33" s="5"/>
      <c r="O33" s="2">
        <v>12.0</v>
      </c>
      <c r="P33" s="5"/>
      <c r="Q33" s="5"/>
      <c r="R33" s="6" t="s">
        <v>161</v>
      </c>
      <c r="S33" s="5"/>
      <c r="T33" s="1" t="str">
        <f>IFERROR(__xludf.DUMMYFUNCTION("INDEX(SPLIT(A33, ""/""), 2)"),"انجمن‌های علمی و نشریات وابسته به دانشکده‌ها")</f>
        <v>انجمن‌های علمی و نشریات وابسته به دانشکده‌ها</v>
      </c>
      <c r="U33" s="1" t="str">
        <f>IFERROR(__xludf.DUMMYFUNCTION("INDEX(SPLIT(A33, ""/""), 3)"),"دانشکده شیمی")</f>
        <v>دانشکده شیمی</v>
      </c>
      <c r="V33" s="1" t="str">
        <f>IFERROR(__xludf.DUMMYFUNCTION("INDEX(SPLIT(A33, ""/""), 4)"),"اکسیر")</f>
        <v>اکسیر</v>
      </c>
    </row>
    <row r="34">
      <c r="A34" s="1" t="s">
        <v>109</v>
      </c>
      <c r="B34" s="1" t="s">
        <v>162</v>
      </c>
      <c r="C34" s="1" t="s">
        <v>21</v>
      </c>
      <c r="D34" s="4" t="s">
        <v>163</v>
      </c>
      <c r="E34" s="1" t="s">
        <v>112</v>
      </c>
      <c r="F34" s="1" t="s">
        <v>150</v>
      </c>
      <c r="G34" s="1" t="s">
        <v>164</v>
      </c>
      <c r="H34" s="1" t="s">
        <v>165</v>
      </c>
      <c r="I34" s="1" t="str">
        <f t="shared" si="1"/>
        <v>x</v>
      </c>
      <c r="J34" s="5"/>
      <c r="K34" s="1" t="str">
        <f t="shared" si="2"/>
        <v>x</v>
      </c>
      <c r="L34" s="1">
        <v>3.0</v>
      </c>
      <c r="M34" s="2" t="str">
        <f t="shared" si="3"/>
        <v>1402</v>
      </c>
      <c r="N34" s="5"/>
      <c r="O34" s="2">
        <v>13.0</v>
      </c>
      <c r="P34" s="1"/>
      <c r="Q34" s="1"/>
      <c r="R34" s="8" t="s">
        <v>166</v>
      </c>
      <c r="S34" s="5"/>
      <c r="T34" s="1" t="str">
        <f>IFERROR(__xludf.DUMMYFUNCTION("INDEX(SPLIT(A34, ""/""), 2)"),"انجمن‌های علمی و نشریات وابسته به دانشکده‌ها")</f>
        <v>انجمن‌های علمی و نشریات وابسته به دانشکده‌ها</v>
      </c>
      <c r="U34" s="1" t="str">
        <f>IFERROR(__xludf.DUMMYFUNCTION("INDEX(SPLIT(A34, ""/""), 3)"),"دانشکده شیمی")</f>
        <v>دانشکده شیمی</v>
      </c>
      <c r="V34" s="1" t="str">
        <f>IFERROR(__xludf.DUMMYFUNCTION("INDEX(SPLIT(A34, ""/""), 4)"),"اکسیر")</f>
        <v>اکسیر</v>
      </c>
    </row>
    <row r="35">
      <c r="A35" s="1" t="s">
        <v>167</v>
      </c>
      <c r="B35" s="1" t="s">
        <v>168</v>
      </c>
      <c r="C35" s="1" t="s">
        <v>21</v>
      </c>
      <c r="D35" s="4" t="s">
        <v>169</v>
      </c>
      <c r="E35" s="1" t="s">
        <v>170</v>
      </c>
      <c r="F35" s="1" t="s">
        <v>171</v>
      </c>
      <c r="G35" s="1" t="s">
        <v>172</v>
      </c>
      <c r="H35" s="1" t="s">
        <v>173</v>
      </c>
      <c r="I35" s="1" t="str">
        <f t="shared" si="1"/>
        <v>x</v>
      </c>
      <c r="J35" s="5"/>
      <c r="K35" s="1" t="str">
        <f t="shared" si="2"/>
        <v>10</v>
      </c>
      <c r="L35" s="5"/>
      <c r="M35" s="2" t="str">
        <f t="shared" si="3"/>
        <v>1397</v>
      </c>
      <c r="N35" s="5"/>
      <c r="O35" s="2">
        <v>1.0</v>
      </c>
      <c r="P35" s="5"/>
      <c r="Q35" s="5"/>
      <c r="R35" s="6" t="s">
        <v>174</v>
      </c>
      <c r="S35" s="5"/>
      <c r="T35" s="1" t="str">
        <f>IFERROR(__xludf.DUMMYFUNCTION("INDEX(SPLIT(A35, ""/""), 2)"),"انجمن‌های علمی و نشریات وابسته به دانشکده‌ها")</f>
        <v>انجمن‌های علمی و نشریات وابسته به دانشکده‌ها</v>
      </c>
      <c r="U35" s="1" t="str">
        <f>IFERROR(__xludf.DUMMYFUNCTION("INDEX(SPLIT(A35, ""/""), 3)"),"دانشکده مهندسی انرژی")</f>
        <v>دانشکده مهندسی انرژی</v>
      </c>
      <c r="V35" s="1" t="str">
        <f>IFERROR(__xludf.DUMMYFUNCTION("INDEX(SPLIT(A35, ""/""), 4)"),"اگزرژی")</f>
        <v>اگزرژی</v>
      </c>
    </row>
    <row r="36">
      <c r="A36" s="1" t="s">
        <v>167</v>
      </c>
      <c r="B36" s="1" t="s">
        <v>175</v>
      </c>
      <c r="C36" s="1" t="s">
        <v>21</v>
      </c>
      <c r="D36" s="4" t="s">
        <v>176</v>
      </c>
      <c r="E36" s="1" t="s">
        <v>170</v>
      </c>
      <c r="F36" s="1" t="s">
        <v>171</v>
      </c>
      <c r="G36" s="1" t="s">
        <v>172</v>
      </c>
      <c r="H36" s="1" t="s">
        <v>177</v>
      </c>
      <c r="I36" s="1" t="str">
        <f t="shared" si="1"/>
        <v>x</v>
      </c>
      <c r="J36" s="5"/>
      <c r="K36" s="1" t="str">
        <f t="shared" si="2"/>
        <v>11</v>
      </c>
      <c r="L36" s="5"/>
      <c r="M36" s="2" t="str">
        <f t="shared" si="3"/>
        <v>1397</v>
      </c>
      <c r="N36" s="5"/>
      <c r="O36" s="2">
        <v>2.0</v>
      </c>
      <c r="P36" s="5"/>
      <c r="Q36" s="5"/>
      <c r="R36" s="6" t="s">
        <v>178</v>
      </c>
      <c r="S36" s="5"/>
      <c r="T36" s="1" t="str">
        <f>IFERROR(__xludf.DUMMYFUNCTION("INDEX(SPLIT(A36, ""/""), 2)"),"انجمن‌های علمی و نشریات وابسته به دانشکده‌ها")</f>
        <v>انجمن‌های علمی و نشریات وابسته به دانشکده‌ها</v>
      </c>
      <c r="U36" s="1" t="str">
        <f>IFERROR(__xludf.DUMMYFUNCTION("INDEX(SPLIT(A36, ""/""), 3)"),"دانشکده مهندسی انرژی")</f>
        <v>دانشکده مهندسی انرژی</v>
      </c>
      <c r="V36" s="1" t="str">
        <f>IFERROR(__xludf.DUMMYFUNCTION("INDEX(SPLIT(A36, ""/""), 4)"),"اگزرژی")</f>
        <v>اگزرژی</v>
      </c>
    </row>
    <row r="37">
      <c r="A37" s="1" t="s">
        <v>167</v>
      </c>
      <c r="B37" s="1" t="s">
        <v>179</v>
      </c>
      <c r="C37" s="1" t="s">
        <v>21</v>
      </c>
      <c r="D37" s="4" t="s">
        <v>180</v>
      </c>
      <c r="E37" s="1" t="s">
        <v>170</v>
      </c>
      <c r="F37" s="1" t="s">
        <v>171</v>
      </c>
      <c r="G37" s="1" t="s">
        <v>172</v>
      </c>
      <c r="H37" s="1" t="s">
        <v>181</v>
      </c>
      <c r="I37" s="1" t="str">
        <f t="shared" si="1"/>
        <v>x</v>
      </c>
      <c r="J37" s="5"/>
      <c r="K37" s="1" t="str">
        <f t="shared" si="2"/>
        <v>12</v>
      </c>
      <c r="L37" s="5"/>
      <c r="M37" s="2" t="str">
        <f t="shared" si="3"/>
        <v>1397</v>
      </c>
      <c r="N37" s="5"/>
      <c r="O37" s="2">
        <v>3.0</v>
      </c>
      <c r="P37" s="5"/>
      <c r="Q37" s="5"/>
      <c r="R37" s="6" t="s">
        <v>182</v>
      </c>
      <c r="S37" s="5"/>
      <c r="T37" s="1" t="str">
        <f>IFERROR(__xludf.DUMMYFUNCTION("INDEX(SPLIT(A37, ""/""), 2)"),"انجمن‌های علمی و نشریات وابسته به دانشکده‌ها")</f>
        <v>انجمن‌های علمی و نشریات وابسته به دانشکده‌ها</v>
      </c>
      <c r="U37" s="1" t="str">
        <f>IFERROR(__xludf.DUMMYFUNCTION("INDEX(SPLIT(A37, ""/""), 3)"),"دانشکده مهندسی انرژی")</f>
        <v>دانشکده مهندسی انرژی</v>
      </c>
      <c r="V37" s="1" t="str">
        <f>IFERROR(__xludf.DUMMYFUNCTION("INDEX(SPLIT(A37, ""/""), 4)"),"اگزرژی")</f>
        <v>اگزرژی</v>
      </c>
    </row>
    <row r="38">
      <c r="A38" s="1" t="s">
        <v>167</v>
      </c>
      <c r="B38" s="1" t="s">
        <v>183</v>
      </c>
      <c r="C38" s="1" t="s">
        <v>21</v>
      </c>
      <c r="D38" s="4" t="s">
        <v>184</v>
      </c>
      <c r="E38" s="1" t="s">
        <v>170</v>
      </c>
      <c r="F38" s="1" t="s">
        <v>171</v>
      </c>
      <c r="G38" s="1" t="s">
        <v>172</v>
      </c>
      <c r="H38" s="1" t="s">
        <v>185</v>
      </c>
      <c r="I38" s="1" t="str">
        <f t="shared" si="1"/>
        <v>x</v>
      </c>
      <c r="J38" s="5"/>
      <c r="K38" s="1" t="str">
        <f t="shared" si="2"/>
        <v>1</v>
      </c>
      <c r="L38" s="5"/>
      <c r="M38" s="2" t="str">
        <f t="shared" si="3"/>
        <v>1398</v>
      </c>
      <c r="N38" s="5"/>
      <c r="O38" s="2">
        <v>4.0</v>
      </c>
      <c r="P38" s="5"/>
      <c r="Q38" s="5"/>
      <c r="R38" s="6" t="s">
        <v>186</v>
      </c>
      <c r="S38" s="5"/>
      <c r="T38" s="1" t="str">
        <f>IFERROR(__xludf.DUMMYFUNCTION("INDEX(SPLIT(A38, ""/""), 2)"),"انجمن‌های علمی و نشریات وابسته به دانشکده‌ها")</f>
        <v>انجمن‌های علمی و نشریات وابسته به دانشکده‌ها</v>
      </c>
      <c r="U38" s="1" t="str">
        <f>IFERROR(__xludf.DUMMYFUNCTION("INDEX(SPLIT(A38, ""/""), 3)"),"دانشکده مهندسی انرژی")</f>
        <v>دانشکده مهندسی انرژی</v>
      </c>
      <c r="V38" s="1" t="str">
        <f>IFERROR(__xludf.DUMMYFUNCTION("INDEX(SPLIT(A38, ""/""), 4)"),"اگزرژی")</f>
        <v>اگزرژی</v>
      </c>
    </row>
    <row r="39">
      <c r="A39" s="1" t="s">
        <v>167</v>
      </c>
      <c r="B39" s="1" t="s">
        <v>187</v>
      </c>
      <c r="C39" s="1" t="s">
        <v>21</v>
      </c>
      <c r="D39" s="4" t="s">
        <v>188</v>
      </c>
      <c r="E39" s="1" t="s">
        <v>170</v>
      </c>
      <c r="F39" s="1" t="s">
        <v>171</v>
      </c>
      <c r="G39" s="1" t="s">
        <v>172</v>
      </c>
      <c r="H39" s="1" t="s">
        <v>189</v>
      </c>
      <c r="I39" s="1" t="str">
        <f t="shared" si="1"/>
        <v>x</v>
      </c>
      <c r="J39" s="5"/>
      <c r="K39" s="1" t="str">
        <f t="shared" si="2"/>
        <v>3</v>
      </c>
      <c r="L39" s="5"/>
      <c r="M39" s="2" t="str">
        <f t="shared" si="3"/>
        <v>1398</v>
      </c>
      <c r="N39" s="5"/>
      <c r="O39" s="2">
        <v>5.0</v>
      </c>
      <c r="P39" s="5"/>
      <c r="Q39" s="5"/>
      <c r="R39" s="6" t="s">
        <v>190</v>
      </c>
      <c r="S39" s="5"/>
      <c r="T39" s="1" t="str">
        <f>IFERROR(__xludf.DUMMYFUNCTION("INDEX(SPLIT(A39, ""/""), 2)"),"انجمن‌های علمی و نشریات وابسته به دانشکده‌ها")</f>
        <v>انجمن‌های علمی و نشریات وابسته به دانشکده‌ها</v>
      </c>
      <c r="U39" s="1" t="str">
        <f>IFERROR(__xludf.DUMMYFUNCTION("INDEX(SPLIT(A39, ""/""), 3)"),"دانشکده مهندسی انرژی")</f>
        <v>دانشکده مهندسی انرژی</v>
      </c>
      <c r="V39" s="1" t="str">
        <f>IFERROR(__xludf.DUMMYFUNCTION("INDEX(SPLIT(A39, ""/""), 4)"),"اگزرژی")</f>
        <v>اگزرژی</v>
      </c>
    </row>
    <row r="40">
      <c r="A40" s="1" t="s">
        <v>167</v>
      </c>
      <c r="B40" s="1" t="s">
        <v>191</v>
      </c>
      <c r="C40" s="1" t="s">
        <v>21</v>
      </c>
      <c r="D40" s="4" t="s">
        <v>192</v>
      </c>
      <c r="E40" s="1" t="s">
        <v>170</v>
      </c>
      <c r="F40" s="1" t="s">
        <v>193</v>
      </c>
      <c r="G40" s="1" t="s">
        <v>194</v>
      </c>
      <c r="H40" s="1" t="s">
        <v>195</v>
      </c>
      <c r="I40" s="1" t="str">
        <f t="shared" si="1"/>
        <v>x</v>
      </c>
      <c r="J40" s="5"/>
      <c r="K40" s="1" t="str">
        <f t="shared" si="2"/>
        <v>9</v>
      </c>
      <c r="L40" s="5"/>
      <c r="M40" s="2" t="str">
        <f t="shared" si="3"/>
        <v>1398</v>
      </c>
      <c r="N40" s="5"/>
      <c r="O40" s="2">
        <v>6.0</v>
      </c>
      <c r="P40" s="5"/>
      <c r="Q40" s="5"/>
      <c r="R40" s="6" t="s">
        <v>196</v>
      </c>
      <c r="S40" s="5"/>
      <c r="T40" s="1" t="str">
        <f>IFERROR(__xludf.DUMMYFUNCTION("INDEX(SPLIT(A40, ""/""), 2)"),"انجمن‌های علمی و نشریات وابسته به دانشکده‌ها")</f>
        <v>انجمن‌های علمی و نشریات وابسته به دانشکده‌ها</v>
      </c>
      <c r="U40" s="1" t="str">
        <f>IFERROR(__xludf.DUMMYFUNCTION("INDEX(SPLIT(A40, ""/""), 3)"),"دانشکده مهندسی انرژی")</f>
        <v>دانشکده مهندسی انرژی</v>
      </c>
      <c r="V40" s="1" t="str">
        <f>IFERROR(__xludf.DUMMYFUNCTION("INDEX(SPLIT(A40, ""/""), 4)"),"اگزرژی")</f>
        <v>اگزرژی</v>
      </c>
    </row>
    <row r="41">
      <c r="A41" s="1" t="s">
        <v>167</v>
      </c>
      <c r="B41" s="1" t="s">
        <v>197</v>
      </c>
      <c r="C41" s="1" t="s">
        <v>21</v>
      </c>
      <c r="D41" s="4" t="s">
        <v>198</v>
      </c>
      <c r="E41" s="1" t="s">
        <v>170</v>
      </c>
      <c r="F41" s="1" t="s">
        <v>193</v>
      </c>
      <c r="G41" s="1" t="s">
        <v>194</v>
      </c>
      <c r="H41" s="1" t="s">
        <v>199</v>
      </c>
      <c r="I41" s="1" t="str">
        <f t="shared" si="1"/>
        <v>x</v>
      </c>
      <c r="J41" s="5"/>
      <c r="K41" s="1" t="str">
        <f t="shared" si="2"/>
        <v>11</v>
      </c>
      <c r="L41" s="5"/>
      <c r="M41" s="2" t="str">
        <f t="shared" si="3"/>
        <v>1398</v>
      </c>
      <c r="N41" s="5"/>
      <c r="O41" s="2">
        <v>7.0</v>
      </c>
      <c r="P41" s="5"/>
      <c r="Q41" s="5"/>
      <c r="R41" s="6" t="s">
        <v>200</v>
      </c>
      <c r="S41" s="5"/>
      <c r="T41" s="1" t="str">
        <f>IFERROR(__xludf.DUMMYFUNCTION("INDEX(SPLIT(A41, ""/""), 2)"),"انجمن‌های علمی و نشریات وابسته به دانشکده‌ها")</f>
        <v>انجمن‌های علمی و نشریات وابسته به دانشکده‌ها</v>
      </c>
      <c r="U41" s="1" t="str">
        <f>IFERROR(__xludf.DUMMYFUNCTION("INDEX(SPLIT(A41, ""/""), 3)"),"دانشکده مهندسی انرژی")</f>
        <v>دانشکده مهندسی انرژی</v>
      </c>
      <c r="V41" s="1" t="str">
        <f>IFERROR(__xludf.DUMMYFUNCTION("INDEX(SPLIT(A41, ""/""), 4)"),"اگزرژی")</f>
        <v>اگزرژی</v>
      </c>
    </row>
    <row r="42">
      <c r="A42" s="1" t="s">
        <v>167</v>
      </c>
      <c r="B42" s="1" t="s">
        <v>201</v>
      </c>
      <c r="C42" s="1" t="s">
        <v>21</v>
      </c>
      <c r="D42" s="4" t="s">
        <v>202</v>
      </c>
      <c r="E42" s="1" t="s">
        <v>170</v>
      </c>
      <c r="F42" s="1" t="s">
        <v>203</v>
      </c>
      <c r="G42" s="1" t="s">
        <v>204</v>
      </c>
      <c r="H42" s="1" t="s">
        <v>66</v>
      </c>
      <c r="I42" s="1" t="str">
        <f t="shared" si="1"/>
        <v>x</v>
      </c>
      <c r="J42" s="5"/>
      <c r="K42" s="1" t="str">
        <f t="shared" si="2"/>
        <v>3</v>
      </c>
      <c r="L42" s="5"/>
      <c r="M42" s="2" t="str">
        <f t="shared" si="3"/>
        <v>1400</v>
      </c>
      <c r="N42" s="5"/>
      <c r="O42" s="2">
        <v>8.0</v>
      </c>
      <c r="P42" s="5"/>
      <c r="Q42" s="5"/>
      <c r="R42" s="6" t="s">
        <v>67</v>
      </c>
      <c r="S42" s="5"/>
      <c r="T42" s="1" t="str">
        <f>IFERROR(__xludf.DUMMYFUNCTION("INDEX(SPLIT(A42, ""/""), 2)"),"انجمن‌های علمی و نشریات وابسته به دانشکده‌ها")</f>
        <v>انجمن‌های علمی و نشریات وابسته به دانشکده‌ها</v>
      </c>
      <c r="U42" s="1" t="str">
        <f>IFERROR(__xludf.DUMMYFUNCTION("INDEX(SPLIT(A42, ""/""), 3)"),"دانشکده مهندسی انرژی")</f>
        <v>دانشکده مهندسی انرژی</v>
      </c>
      <c r="V42" s="1" t="str">
        <f>IFERROR(__xludf.DUMMYFUNCTION("INDEX(SPLIT(A42, ""/""), 4)"),"اگزرژی")</f>
        <v>اگزرژی</v>
      </c>
    </row>
    <row r="43">
      <c r="A43" s="1" t="s">
        <v>167</v>
      </c>
      <c r="B43" s="1" t="s">
        <v>205</v>
      </c>
      <c r="C43" s="1" t="s">
        <v>21</v>
      </c>
      <c r="D43" s="4" t="s">
        <v>206</v>
      </c>
      <c r="E43" s="1" t="s">
        <v>170</v>
      </c>
      <c r="F43" s="1" t="s">
        <v>207</v>
      </c>
      <c r="G43" s="1" t="s">
        <v>208</v>
      </c>
      <c r="H43" s="1" t="s">
        <v>209</v>
      </c>
      <c r="I43" s="1" t="str">
        <f t="shared" si="1"/>
        <v>x</v>
      </c>
      <c r="J43" s="5"/>
      <c r="K43" s="1" t="str">
        <f t="shared" si="2"/>
        <v>10</v>
      </c>
      <c r="L43" s="5"/>
      <c r="M43" s="2" t="str">
        <f t="shared" si="3"/>
        <v>1401</v>
      </c>
      <c r="N43" s="5"/>
      <c r="O43" s="2">
        <v>9.0</v>
      </c>
      <c r="P43" s="5"/>
      <c r="Q43" s="5"/>
      <c r="R43" s="6" t="s">
        <v>210</v>
      </c>
      <c r="S43" s="5"/>
      <c r="T43" s="1" t="str">
        <f>IFERROR(__xludf.DUMMYFUNCTION("INDEX(SPLIT(A43, ""/""), 2)"),"انجمن‌های علمی و نشریات وابسته به دانشکده‌ها")</f>
        <v>انجمن‌های علمی و نشریات وابسته به دانشکده‌ها</v>
      </c>
      <c r="U43" s="1" t="str">
        <f>IFERROR(__xludf.DUMMYFUNCTION("INDEX(SPLIT(A43, ""/""), 3)"),"دانشکده مهندسی انرژی")</f>
        <v>دانشکده مهندسی انرژی</v>
      </c>
      <c r="V43" s="1" t="str">
        <f>IFERROR(__xludf.DUMMYFUNCTION("INDEX(SPLIT(A43, ""/""), 4)"),"اگزرژی")</f>
        <v>اگزرژی</v>
      </c>
    </row>
    <row r="44">
      <c r="A44" s="9" t="s">
        <v>211</v>
      </c>
      <c r="B44" s="1" t="s">
        <v>212</v>
      </c>
      <c r="C44" s="1" t="s">
        <v>21</v>
      </c>
      <c r="D44" s="4" t="s">
        <v>213</v>
      </c>
      <c r="E44" s="1" t="s">
        <v>214</v>
      </c>
      <c r="F44" s="1" t="s">
        <v>215</v>
      </c>
      <c r="G44" s="1" t="s">
        <v>216</v>
      </c>
      <c r="H44" s="1" t="s">
        <v>217</v>
      </c>
      <c r="I44" s="1" t="str">
        <f t="shared" si="1"/>
        <v>x</v>
      </c>
      <c r="J44" s="5"/>
      <c r="K44" s="1" t="str">
        <f t="shared" si="2"/>
        <v>12</v>
      </c>
      <c r="L44" s="5"/>
      <c r="M44" s="2" t="str">
        <f t="shared" si="3"/>
        <v>1398</v>
      </c>
      <c r="N44" s="5"/>
      <c r="O44" s="2">
        <v>1.0</v>
      </c>
      <c r="P44" s="5"/>
      <c r="Q44" s="5"/>
      <c r="R44" s="6" t="s">
        <v>218</v>
      </c>
      <c r="S44" s="5"/>
      <c r="T44" s="1" t="str">
        <f>IFERROR(__xludf.DUMMYFUNCTION("INDEX(SPLIT(A44, ""/""), 2)"),"انجمن‌های علمی و نشریات وابسته به دانشکده‌ها")</f>
        <v>انجمن‌های علمی و نشریات وابسته به دانشکده‌ها</v>
      </c>
      <c r="U44" s="1" t="str">
        <f>IFERROR(__xludf.DUMMYFUNCTION("INDEX(SPLIT(A44, ""/""), 3)"),"انجمن‌های علمی و نشریات وابسته به دانشکده‌ها")</f>
        <v>انجمن‌های علمی و نشریات وابسته به دانشکده‌ها</v>
      </c>
      <c r="V44" s="1" t="str">
        <f>IFERROR(__xludf.DUMMYFUNCTION("INDEX(SPLIT(A44, ""/""), 4)"),"طرشت ۲")</f>
        <v>طرشت ۲</v>
      </c>
    </row>
    <row r="45">
      <c r="A45" s="1" t="s">
        <v>219</v>
      </c>
      <c r="B45" s="1" t="s">
        <v>220</v>
      </c>
      <c r="C45" s="1" t="s">
        <v>21</v>
      </c>
      <c r="D45" s="4" t="s">
        <v>221</v>
      </c>
      <c r="E45" s="1" t="s">
        <v>222</v>
      </c>
      <c r="F45" s="1" t="s">
        <v>223</v>
      </c>
      <c r="G45" s="1" t="s">
        <v>224</v>
      </c>
      <c r="H45" s="1" t="s">
        <v>225</v>
      </c>
      <c r="I45" s="1" t="str">
        <f t="shared" si="1"/>
        <v>x</v>
      </c>
      <c r="J45" s="5"/>
      <c r="K45" s="1" t="str">
        <f t="shared" si="2"/>
        <v>7</v>
      </c>
      <c r="L45" s="5"/>
      <c r="M45" s="2" t="str">
        <f t="shared" si="3"/>
        <v>1394</v>
      </c>
      <c r="N45" s="5"/>
      <c r="O45" s="2">
        <v>4.0</v>
      </c>
      <c r="P45" s="5"/>
      <c r="Q45" s="5"/>
      <c r="R45" s="6" t="s">
        <v>226</v>
      </c>
      <c r="S45" s="5"/>
      <c r="T45" s="1" t="str">
        <f>IFERROR(__xludf.DUMMYFUNCTION("INDEX(SPLIT(A45, ""/""), 2)"),"انجمن‌های علمی و نشریات وابسته به دانشکده‌ها")</f>
        <v>انجمن‌های علمی و نشریات وابسته به دانشکده‌ها</v>
      </c>
      <c r="U45" s="1" t="str">
        <f>IFERROR(__xludf.DUMMYFUNCTION("INDEX(SPLIT(A45, ""/""), 3)"),"دانشکده مهندسی هوافضا")</f>
        <v>دانشکده مهندسی هوافضا</v>
      </c>
      <c r="V45" s="1" t="str">
        <f>IFERROR(__xludf.DUMMYFUNCTION("INDEX(SPLIT(A45, ""/""), 4)"),"اوج")</f>
        <v>اوج</v>
      </c>
    </row>
    <row r="46">
      <c r="A46" s="1" t="s">
        <v>219</v>
      </c>
      <c r="B46" s="1" t="s">
        <v>227</v>
      </c>
      <c r="C46" s="1" t="s">
        <v>21</v>
      </c>
      <c r="D46" s="4" t="s">
        <v>228</v>
      </c>
      <c r="E46" s="1" t="s">
        <v>222</v>
      </c>
      <c r="F46" s="1" t="s">
        <v>223</v>
      </c>
      <c r="G46" s="1" t="s">
        <v>224</v>
      </c>
      <c r="H46" s="1" t="s">
        <v>229</v>
      </c>
      <c r="I46" s="1" t="str">
        <f t="shared" si="1"/>
        <v>x</v>
      </c>
      <c r="J46" s="5"/>
      <c r="K46" s="1" t="str">
        <f t="shared" si="2"/>
        <v>9</v>
      </c>
      <c r="L46" s="5"/>
      <c r="M46" s="2" t="str">
        <f t="shared" si="3"/>
        <v>1394</v>
      </c>
      <c r="N46" s="5"/>
      <c r="O46" s="2">
        <v>6.0</v>
      </c>
      <c r="P46" s="5"/>
      <c r="Q46" s="5"/>
      <c r="R46" s="6" t="s">
        <v>230</v>
      </c>
      <c r="S46" s="5"/>
      <c r="T46" s="1" t="str">
        <f>IFERROR(__xludf.DUMMYFUNCTION("INDEX(SPLIT(A46, ""/""), 2)"),"انجمن‌های علمی و نشریات وابسته به دانشکده‌ها")</f>
        <v>انجمن‌های علمی و نشریات وابسته به دانشکده‌ها</v>
      </c>
      <c r="U46" s="1" t="str">
        <f>IFERROR(__xludf.DUMMYFUNCTION("INDEX(SPLIT(A46, ""/""), 3)"),"دانشکده مهندسی هوافضا")</f>
        <v>دانشکده مهندسی هوافضا</v>
      </c>
      <c r="V46" s="1" t="str">
        <f>IFERROR(__xludf.DUMMYFUNCTION("INDEX(SPLIT(A46, ""/""), 4)"),"اوج")</f>
        <v>اوج</v>
      </c>
    </row>
    <row r="47">
      <c r="A47" s="1" t="s">
        <v>219</v>
      </c>
      <c r="B47" s="1" t="s">
        <v>231</v>
      </c>
      <c r="C47" s="1" t="s">
        <v>21</v>
      </c>
      <c r="D47" s="4" t="s">
        <v>232</v>
      </c>
      <c r="E47" s="1" t="s">
        <v>222</v>
      </c>
      <c r="F47" s="1" t="s">
        <v>223</v>
      </c>
      <c r="G47" s="1" t="s">
        <v>224</v>
      </c>
      <c r="H47" s="1" t="s">
        <v>233</v>
      </c>
      <c r="I47" s="1" t="str">
        <f t="shared" si="1"/>
        <v>x</v>
      </c>
      <c r="J47" s="5"/>
      <c r="K47" s="1" t="str">
        <f t="shared" si="2"/>
        <v>12</v>
      </c>
      <c r="L47" s="5"/>
      <c r="M47" s="2" t="str">
        <f t="shared" si="3"/>
        <v>1394</v>
      </c>
      <c r="N47" s="5"/>
      <c r="O47" s="2">
        <v>7.0</v>
      </c>
      <c r="P47" s="5"/>
      <c r="Q47" s="5"/>
      <c r="R47" s="6" t="s">
        <v>234</v>
      </c>
      <c r="S47" s="5"/>
      <c r="T47" s="1" t="str">
        <f>IFERROR(__xludf.DUMMYFUNCTION("INDEX(SPLIT(A47, ""/""), 2)"),"انجمن‌های علمی و نشریات وابسته به دانشکده‌ها")</f>
        <v>انجمن‌های علمی و نشریات وابسته به دانشکده‌ها</v>
      </c>
      <c r="U47" s="1" t="str">
        <f>IFERROR(__xludf.DUMMYFUNCTION("INDEX(SPLIT(A47, ""/""), 3)"),"دانشکده مهندسی هوافضا")</f>
        <v>دانشکده مهندسی هوافضا</v>
      </c>
      <c r="V47" s="1" t="str">
        <f>IFERROR(__xludf.DUMMYFUNCTION("INDEX(SPLIT(A47, ""/""), 4)"),"اوج")</f>
        <v>اوج</v>
      </c>
    </row>
    <row r="48">
      <c r="A48" s="1" t="s">
        <v>219</v>
      </c>
      <c r="B48" s="1" t="s">
        <v>235</v>
      </c>
      <c r="C48" s="1" t="s">
        <v>21</v>
      </c>
      <c r="D48" s="4" t="s">
        <v>236</v>
      </c>
      <c r="E48" s="1" t="s">
        <v>222</v>
      </c>
      <c r="F48" s="1" t="s">
        <v>223</v>
      </c>
      <c r="G48" s="1" t="s">
        <v>224</v>
      </c>
      <c r="H48" s="1" t="s">
        <v>237</v>
      </c>
      <c r="I48" s="1" t="str">
        <f t="shared" si="1"/>
        <v>x</v>
      </c>
      <c r="J48" s="5"/>
      <c r="K48" s="1" t="str">
        <f t="shared" si="2"/>
        <v>2</v>
      </c>
      <c r="L48" s="5"/>
      <c r="M48" s="2" t="str">
        <f t="shared" si="3"/>
        <v>1395</v>
      </c>
      <c r="N48" s="5"/>
      <c r="O48" s="2">
        <v>8.0</v>
      </c>
      <c r="P48" s="5"/>
      <c r="Q48" s="5"/>
      <c r="R48" s="6" t="s">
        <v>238</v>
      </c>
      <c r="S48" s="5"/>
      <c r="T48" s="1" t="str">
        <f>IFERROR(__xludf.DUMMYFUNCTION("INDEX(SPLIT(A48, ""/""), 2)"),"انجمن‌های علمی و نشریات وابسته به دانشکده‌ها")</f>
        <v>انجمن‌های علمی و نشریات وابسته به دانشکده‌ها</v>
      </c>
      <c r="U48" s="1" t="str">
        <f>IFERROR(__xludf.DUMMYFUNCTION("INDEX(SPLIT(A48, ""/""), 3)"),"دانشکده مهندسی هوافضا")</f>
        <v>دانشکده مهندسی هوافضا</v>
      </c>
      <c r="V48" s="1" t="str">
        <f>IFERROR(__xludf.DUMMYFUNCTION("INDEX(SPLIT(A48, ""/""), 4)"),"اوج")</f>
        <v>اوج</v>
      </c>
    </row>
    <row r="49">
      <c r="A49" s="1" t="s">
        <v>219</v>
      </c>
      <c r="B49" s="1" t="s">
        <v>239</v>
      </c>
      <c r="C49" s="1" t="s">
        <v>21</v>
      </c>
      <c r="D49" s="4" t="s">
        <v>240</v>
      </c>
      <c r="E49" s="1" t="s">
        <v>222</v>
      </c>
      <c r="F49" s="1" t="s">
        <v>223</v>
      </c>
      <c r="G49" s="1" t="s">
        <v>241</v>
      </c>
      <c r="H49" s="1" t="s">
        <v>242</v>
      </c>
      <c r="I49" s="1" t="str">
        <f t="shared" si="1"/>
        <v>x</v>
      </c>
      <c r="J49" s="5"/>
      <c r="K49" s="1" t="str">
        <f t="shared" si="2"/>
        <v>3</v>
      </c>
      <c r="L49" s="5"/>
      <c r="M49" s="2" t="str">
        <f t="shared" si="3"/>
        <v>1395</v>
      </c>
      <c r="N49" s="5"/>
      <c r="O49" s="2">
        <v>9.0</v>
      </c>
      <c r="P49" s="5"/>
      <c r="Q49" s="5"/>
      <c r="R49" s="6" t="s">
        <v>243</v>
      </c>
      <c r="S49" s="5"/>
      <c r="T49" s="1" t="str">
        <f>IFERROR(__xludf.DUMMYFUNCTION("INDEX(SPLIT(A49, ""/""), 2)"),"انجمن‌های علمی و نشریات وابسته به دانشکده‌ها")</f>
        <v>انجمن‌های علمی و نشریات وابسته به دانشکده‌ها</v>
      </c>
      <c r="U49" s="1" t="str">
        <f>IFERROR(__xludf.DUMMYFUNCTION("INDEX(SPLIT(A49, ""/""), 3)"),"دانشکده مهندسی هوافضا")</f>
        <v>دانشکده مهندسی هوافضا</v>
      </c>
      <c r="V49" s="1" t="str">
        <f>IFERROR(__xludf.DUMMYFUNCTION("INDEX(SPLIT(A49, ""/""), 4)"),"اوج")</f>
        <v>اوج</v>
      </c>
    </row>
    <row r="50">
      <c r="A50" s="1" t="s">
        <v>219</v>
      </c>
      <c r="B50" s="1" t="s">
        <v>244</v>
      </c>
      <c r="C50" s="1" t="s">
        <v>21</v>
      </c>
      <c r="D50" s="4" t="s">
        <v>245</v>
      </c>
      <c r="E50" s="1" t="s">
        <v>222</v>
      </c>
      <c r="F50" s="1" t="s">
        <v>223</v>
      </c>
      <c r="G50" s="1" t="s">
        <v>241</v>
      </c>
      <c r="H50" s="1" t="s">
        <v>246</v>
      </c>
      <c r="I50" s="1" t="str">
        <f t="shared" si="1"/>
        <v>x</v>
      </c>
      <c r="J50" s="5"/>
      <c r="K50" s="1" t="str">
        <f t="shared" si="2"/>
        <v>4</v>
      </c>
      <c r="L50" s="5"/>
      <c r="M50" s="2" t="str">
        <f t="shared" si="3"/>
        <v>1395</v>
      </c>
      <c r="N50" s="5"/>
      <c r="O50" s="2">
        <v>10.0</v>
      </c>
      <c r="P50" s="5"/>
      <c r="Q50" s="5"/>
      <c r="R50" s="6" t="s">
        <v>247</v>
      </c>
      <c r="S50" s="5"/>
      <c r="T50" s="1" t="str">
        <f>IFERROR(__xludf.DUMMYFUNCTION("INDEX(SPLIT(A50, ""/""), 2)"),"انجمن‌های علمی و نشریات وابسته به دانشکده‌ها")</f>
        <v>انجمن‌های علمی و نشریات وابسته به دانشکده‌ها</v>
      </c>
      <c r="U50" s="1" t="str">
        <f>IFERROR(__xludf.DUMMYFUNCTION("INDEX(SPLIT(A50, ""/""), 3)"),"دانشکده مهندسی هوافضا")</f>
        <v>دانشکده مهندسی هوافضا</v>
      </c>
      <c r="V50" s="1" t="str">
        <f>IFERROR(__xludf.DUMMYFUNCTION("INDEX(SPLIT(A50, ""/""), 4)"),"اوج")</f>
        <v>اوج</v>
      </c>
    </row>
    <row r="51">
      <c r="A51" s="1" t="s">
        <v>219</v>
      </c>
      <c r="B51" s="1" t="s">
        <v>248</v>
      </c>
      <c r="C51" s="1" t="s">
        <v>21</v>
      </c>
      <c r="D51" s="4" t="s">
        <v>249</v>
      </c>
      <c r="E51" s="1" t="s">
        <v>222</v>
      </c>
      <c r="F51" s="1" t="s">
        <v>223</v>
      </c>
      <c r="G51" s="1" t="s">
        <v>241</v>
      </c>
      <c r="H51" s="1" t="s">
        <v>250</v>
      </c>
      <c r="I51" s="1" t="str">
        <f t="shared" si="1"/>
        <v>x</v>
      </c>
      <c r="J51" s="5"/>
      <c r="K51" s="1" t="str">
        <f t="shared" si="2"/>
        <v>11</v>
      </c>
      <c r="L51" s="5"/>
      <c r="M51" s="2" t="str">
        <f t="shared" si="3"/>
        <v>1395</v>
      </c>
      <c r="N51" s="5"/>
      <c r="O51" s="2">
        <v>12.0</v>
      </c>
      <c r="P51" s="5"/>
      <c r="Q51" s="5"/>
      <c r="R51" s="6" t="s">
        <v>251</v>
      </c>
      <c r="S51" s="5"/>
      <c r="T51" s="1" t="str">
        <f>IFERROR(__xludf.DUMMYFUNCTION("INDEX(SPLIT(A51, ""/""), 2)"),"انجمن‌های علمی و نشریات وابسته به دانشکده‌ها")</f>
        <v>انجمن‌های علمی و نشریات وابسته به دانشکده‌ها</v>
      </c>
      <c r="U51" s="1" t="str">
        <f>IFERROR(__xludf.DUMMYFUNCTION("INDEX(SPLIT(A51, ""/""), 3)"),"دانشکده مهندسی هوافضا")</f>
        <v>دانشکده مهندسی هوافضا</v>
      </c>
      <c r="V51" s="1" t="str">
        <f>IFERROR(__xludf.DUMMYFUNCTION("INDEX(SPLIT(A51, ""/""), 4)"),"اوج")</f>
        <v>اوج</v>
      </c>
    </row>
    <row r="52">
      <c r="A52" s="1" t="s">
        <v>219</v>
      </c>
      <c r="B52" s="1" t="s">
        <v>252</v>
      </c>
      <c r="C52" s="1" t="s">
        <v>21</v>
      </c>
      <c r="D52" s="4" t="s">
        <v>253</v>
      </c>
      <c r="E52" s="1" t="s">
        <v>222</v>
      </c>
      <c r="F52" s="1" t="s">
        <v>254</v>
      </c>
      <c r="G52" s="1" t="s">
        <v>255</v>
      </c>
      <c r="H52" s="1" t="s">
        <v>256</v>
      </c>
      <c r="I52" s="1" t="str">
        <f t="shared" si="1"/>
        <v>x</v>
      </c>
      <c r="J52" s="5"/>
      <c r="K52" s="1" t="str">
        <f t="shared" si="2"/>
        <v>2</v>
      </c>
      <c r="L52" s="5"/>
      <c r="M52" s="2" t="str">
        <f t="shared" si="3"/>
        <v>1396</v>
      </c>
      <c r="N52" s="5"/>
      <c r="O52" s="2">
        <v>14.0</v>
      </c>
      <c r="P52" s="5"/>
      <c r="Q52" s="5"/>
      <c r="R52" s="6" t="s">
        <v>257</v>
      </c>
      <c r="S52" s="5"/>
      <c r="T52" s="1" t="str">
        <f>IFERROR(__xludf.DUMMYFUNCTION("INDEX(SPLIT(A52, ""/""), 2)"),"انجمن‌های علمی و نشریات وابسته به دانشکده‌ها")</f>
        <v>انجمن‌های علمی و نشریات وابسته به دانشکده‌ها</v>
      </c>
      <c r="U52" s="1" t="str">
        <f>IFERROR(__xludf.DUMMYFUNCTION("INDEX(SPLIT(A52, ""/""), 3)"),"دانشکده مهندسی هوافضا")</f>
        <v>دانشکده مهندسی هوافضا</v>
      </c>
      <c r="V52" s="1" t="str">
        <f>IFERROR(__xludf.DUMMYFUNCTION("INDEX(SPLIT(A52, ""/""), 4)"),"اوج")</f>
        <v>اوج</v>
      </c>
    </row>
    <row r="53">
      <c r="A53" s="1" t="s">
        <v>219</v>
      </c>
      <c r="B53" s="1" t="s">
        <v>258</v>
      </c>
      <c r="C53" s="1" t="s">
        <v>21</v>
      </c>
      <c r="D53" s="4" t="s">
        <v>259</v>
      </c>
      <c r="E53" s="1" t="s">
        <v>222</v>
      </c>
      <c r="F53" s="1" t="s">
        <v>254</v>
      </c>
      <c r="G53" s="1" t="s">
        <v>255</v>
      </c>
      <c r="H53" s="1" t="s">
        <v>260</v>
      </c>
      <c r="I53" s="1" t="str">
        <f t="shared" si="1"/>
        <v>x</v>
      </c>
      <c r="J53" s="5"/>
      <c r="K53" s="1" t="str">
        <f t="shared" si="2"/>
        <v>3</v>
      </c>
      <c r="L53" s="5"/>
      <c r="M53" s="2" t="str">
        <f t="shared" si="3"/>
        <v>1396</v>
      </c>
      <c r="N53" s="5"/>
      <c r="O53" s="2">
        <v>15.0</v>
      </c>
      <c r="P53" s="5"/>
      <c r="Q53" s="5"/>
      <c r="R53" s="6" t="s">
        <v>261</v>
      </c>
      <c r="S53" s="5"/>
      <c r="T53" s="1" t="str">
        <f>IFERROR(__xludf.DUMMYFUNCTION("INDEX(SPLIT(A53, ""/""), 2)"),"انجمن‌های علمی و نشریات وابسته به دانشکده‌ها")</f>
        <v>انجمن‌های علمی و نشریات وابسته به دانشکده‌ها</v>
      </c>
      <c r="U53" s="1" t="str">
        <f>IFERROR(__xludf.DUMMYFUNCTION("INDEX(SPLIT(A53, ""/""), 3)"),"دانشکده مهندسی هوافضا")</f>
        <v>دانشکده مهندسی هوافضا</v>
      </c>
      <c r="V53" s="1" t="str">
        <f>IFERROR(__xludf.DUMMYFUNCTION("INDEX(SPLIT(A53, ""/""), 4)"),"اوج")</f>
        <v>اوج</v>
      </c>
    </row>
    <row r="54">
      <c r="A54" s="1" t="s">
        <v>219</v>
      </c>
      <c r="B54" s="1" t="s">
        <v>262</v>
      </c>
      <c r="C54" s="1" t="s">
        <v>21</v>
      </c>
      <c r="D54" s="4" t="s">
        <v>263</v>
      </c>
      <c r="E54" s="1" t="s">
        <v>222</v>
      </c>
      <c r="F54" s="1" t="s">
        <v>254</v>
      </c>
      <c r="G54" s="1" t="s">
        <v>255</v>
      </c>
      <c r="H54" s="1" t="s">
        <v>264</v>
      </c>
      <c r="I54" s="1" t="str">
        <f t="shared" si="1"/>
        <v>x</v>
      </c>
      <c r="J54" s="5"/>
      <c r="K54" s="1" t="str">
        <f t="shared" si="2"/>
        <v>5</v>
      </c>
      <c r="L54" s="5"/>
      <c r="M54" s="2" t="str">
        <f t="shared" si="3"/>
        <v>1396</v>
      </c>
      <c r="N54" s="5"/>
      <c r="O54" s="2">
        <v>16.0</v>
      </c>
      <c r="P54" s="5"/>
      <c r="Q54" s="5"/>
      <c r="R54" s="6" t="s">
        <v>265</v>
      </c>
      <c r="S54" s="5"/>
      <c r="T54" s="1" t="str">
        <f>IFERROR(__xludf.DUMMYFUNCTION("INDEX(SPLIT(A54, ""/""), 2)"),"انجمن‌های علمی و نشریات وابسته به دانشکده‌ها")</f>
        <v>انجمن‌های علمی و نشریات وابسته به دانشکده‌ها</v>
      </c>
      <c r="U54" s="1" t="str">
        <f>IFERROR(__xludf.DUMMYFUNCTION("INDEX(SPLIT(A54, ""/""), 3)"),"دانشکده مهندسی هوافضا")</f>
        <v>دانشکده مهندسی هوافضا</v>
      </c>
      <c r="V54" s="1" t="str">
        <f>IFERROR(__xludf.DUMMYFUNCTION("INDEX(SPLIT(A54, ""/""), 4)"),"اوج")</f>
        <v>اوج</v>
      </c>
    </row>
    <row r="55">
      <c r="A55" s="1" t="s">
        <v>219</v>
      </c>
      <c r="B55" s="1" t="s">
        <v>266</v>
      </c>
      <c r="C55" s="1" t="s">
        <v>21</v>
      </c>
      <c r="D55" s="4" t="s">
        <v>267</v>
      </c>
      <c r="E55" s="1" t="s">
        <v>222</v>
      </c>
      <c r="F55" s="1" t="s">
        <v>254</v>
      </c>
      <c r="G55" s="1" t="s">
        <v>255</v>
      </c>
      <c r="H55" s="1" t="s">
        <v>264</v>
      </c>
      <c r="I55" s="1" t="str">
        <f t="shared" si="1"/>
        <v>x</v>
      </c>
      <c r="J55" s="5"/>
      <c r="K55" s="1" t="str">
        <f t="shared" si="2"/>
        <v>5</v>
      </c>
      <c r="L55" s="5"/>
      <c r="M55" s="2" t="str">
        <f t="shared" si="3"/>
        <v>1396</v>
      </c>
      <c r="N55" s="5"/>
      <c r="O55" s="2">
        <v>17.0</v>
      </c>
      <c r="P55" s="5"/>
      <c r="Q55" s="5"/>
      <c r="R55" s="6" t="s">
        <v>265</v>
      </c>
      <c r="S55" s="5"/>
      <c r="T55" s="1" t="str">
        <f>IFERROR(__xludf.DUMMYFUNCTION("INDEX(SPLIT(A55, ""/""), 2)"),"انجمن‌های علمی و نشریات وابسته به دانشکده‌ها")</f>
        <v>انجمن‌های علمی و نشریات وابسته به دانشکده‌ها</v>
      </c>
      <c r="U55" s="1" t="str">
        <f>IFERROR(__xludf.DUMMYFUNCTION("INDEX(SPLIT(A55, ""/""), 3)"),"دانشکده مهندسی هوافضا")</f>
        <v>دانشکده مهندسی هوافضا</v>
      </c>
      <c r="V55" s="1" t="str">
        <f>IFERROR(__xludf.DUMMYFUNCTION("INDEX(SPLIT(A55, ""/""), 4)"),"اوج")</f>
        <v>اوج</v>
      </c>
    </row>
    <row r="56">
      <c r="A56" s="1" t="s">
        <v>219</v>
      </c>
      <c r="B56" s="1" t="s">
        <v>268</v>
      </c>
      <c r="C56" s="1" t="s">
        <v>21</v>
      </c>
      <c r="D56" s="4" t="s">
        <v>269</v>
      </c>
      <c r="E56" s="1" t="s">
        <v>222</v>
      </c>
      <c r="F56" s="1" t="s">
        <v>254</v>
      </c>
      <c r="G56" s="1" t="s">
        <v>255</v>
      </c>
      <c r="H56" s="1" t="s">
        <v>270</v>
      </c>
      <c r="I56" s="1" t="str">
        <f t="shared" si="1"/>
        <v>x</v>
      </c>
      <c r="J56" s="5"/>
      <c r="K56" s="1" t="str">
        <f t="shared" si="2"/>
        <v>7</v>
      </c>
      <c r="L56" s="5"/>
      <c r="M56" s="2" t="str">
        <f t="shared" si="3"/>
        <v>1396</v>
      </c>
      <c r="N56" s="5"/>
      <c r="O56" s="2">
        <v>18.0</v>
      </c>
      <c r="P56" s="5"/>
      <c r="Q56" s="5"/>
      <c r="R56" s="6" t="s">
        <v>271</v>
      </c>
      <c r="S56" s="5"/>
      <c r="T56" s="1" t="str">
        <f>IFERROR(__xludf.DUMMYFUNCTION("INDEX(SPLIT(A56, ""/""), 2)"),"انجمن‌های علمی و نشریات وابسته به دانشکده‌ها")</f>
        <v>انجمن‌های علمی و نشریات وابسته به دانشکده‌ها</v>
      </c>
      <c r="U56" s="1" t="str">
        <f>IFERROR(__xludf.DUMMYFUNCTION("INDEX(SPLIT(A56, ""/""), 3)"),"دانشکده مهندسی هوافضا")</f>
        <v>دانشکده مهندسی هوافضا</v>
      </c>
      <c r="V56" s="1" t="str">
        <f>IFERROR(__xludf.DUMMYFUNCTION("INDEX(SPLIT(A56, ""/""), 4)"),"اوج")</f>
        <v>اوج</v>
      </c>
    </row>
    <row r="57">
      <c r="A57" s="1" t="s">
        <v>219</v>
      </c>
      <c r="B57" s="1" t="s">
        <v>272</v>
      </c>
      <c r="C57" s="1" t="s">
        <v>21</v>
      </c>
      <c r="D57" s="4" t="s">
        <v>273</v>
      </c>
      <c r="E57" s="1" t="s">
        <v>222</v>
      </c>
      <c r="F57" s="1" t="s">
        <v>254</v>
      </c>
      <c r="G57" s="1" t="s">
        <v>255</v>
      </c>
      <c r="H57" s="1" t="s">
        <v>274</v>
      </c>
      <c r="I57" s="1" t="str">
        <f t="shared" si="1"/>
        <v>x</v>
      </c>
      <c r="J57" s="5"/>
      <c r="K57" s="1" t="str">
        <f t="shared" si="2"/>
        <v>8</v>
      </c>
      <c r="L57" s="5"/>
      <c r="M57" s="2" t="str">
        <f t="shared" si="3"/>
        <v>1396</v>
      </c>
      <c r="N57" s="5"/>
      <c r="O57" s="2">
        <v>19.0</v>
      </c>
      <c r="P57" s="5"/>
      <c r="Q57" s="5"/>
      <c r="R57" s="6" t="s">
        <v>275</v>
      </c>
      <c r="S57" s="5"/>
      <c r="T57" s="1" t="str">
        <f>IFERROR(__xludf.DUMMYFUNCTION("INDEX(SPLIT(A57, ""/""), 2)"),"انجمن‌های علمی و نشریات وابسته به دانشکده‌ها")</f>
        <v>انجمن‌های علمی و نشریات وابسته به دانشکده‌ها</v>
      </c>
      <c r="U57" s="1" t="str">
        <f>IFERROR(__xludf.DUMMYFUNCTION("INDEX(SPLIT(A57, ""/""), 3)"),"دانشکده مهندسی هوافضا")</f>
        <v>دانشکده مهندسی هوافضا</v>
      </c>
      <c r="V57" s="1" t="str">
        <f>IFERROR(__xludf.DUMMYFUNCTION("INDEX(SPLIT(A57, ""/""), 4)"),"اوج")</f>
        <v>اوج</v>
      </c>
    </row>
    <row r="58">
      <c r="A58" s="1" t="s">
        <v>219</v>
      </c>
      <c r="B58" s="1" t="s">
        <v>276</v>
      </c>
      <c r="C58" s="1" t="s">
        <v>21</v>
      </c>
      <c r="D58" s="4" t="s">
        <v>277</v>
      </c>
      <c r="E58" s="1" t="s">
        <v>222</v>
      </c>
      <c r="F58" s="1" t="s">
        <v>254</v>
      </c>
      <c r="G58" s="1" t="s">
        <v>255</v>
      </c>
      <c r="H58" s="1" t="s">
        <v>278</v>
      </c>
      <c r="I58" s="1" t="str">
        <f t="shared" si="1"/>
        <v>x</v>
      </c>
      <c r="J58" s="5"/>
      <c r="K58" s="1" t="str">
        <f t="shared" si="2"/>
        <v>9</v>
      </c>
      <c r="L58" s="5"/>
      <c r="M58" s="2" t="str">
        <f t="shared" si="3"/>
        <v>1396</v>
      </c>
      <c r="N58" s="5"/>
      <c r="O58" s="2">
        <v>20.0</v>
      </c>
      <c r="P58" s="5"/>
      <c r="Q58" s="5"/>
      <c r="R58" s="6" t="s">
        <v>279</v>
      </c>
      <c r="S58" s="5"/>
      <c r="T58" s="1" t="str">
        <f>IFERROR(__xludf.DUMMYFUNCTION("INDEX(SPLIT(A58, ""/""), 2)"),"انجمن‌های علمی و نشریات وابسته به دانشکده‌ها")</f>
        <v>انجمن‌های علمی و نشریات وابسته به دانشکده‌ها</v>
      </c>
      <c r="U58" s="1" t="str">
        <f>IFERROR(__xludf.DUMMYFUNCTION("INDEX(SPLIT(A58, ""/""), 3)"),"دانشکده مهندسی هوافضا")</f>
        <v>دانشکده مهندسی هوافضا</v>
      </c>
      <c r="V58" s="1" t="str">
        <f>IFERROR(__xludf.DUMMYFUNCTION("INDEX(SPLIT(A58, ""/""), 4)"),"اوج")</f>
        <v>اوج</v>
      </c>
    </row>
    <row r="59">
      <c r="A59" s="1" t="s">
        <v>219</v>
      </c>
      <c r="B59" s="1" t="s">
        <v>280</v>
      </c>
      <c r="C59" s="1" t="s">
        <v>21</v>
      </c>
      <c r="D59" s="4" t="s">
        <v>281</v>
      </c>
      <c r="E59" s="1" t="s">
        <v>222</v>
      </c>
      <c r="F59" s="1" t="s">
        <v>282</v>
      </c>
      <c r="G59" s="1" t="s">
        <v>255</v>
      </c>
      <c r="H59" s="1" t="s">
        <v>283</v>
      </c>
      <c r="I59" s="1" t="str">
        <f t="shared" si="1"/>
        <v>x</v>
      </c>
      <c r="J59" s="5"/>
      <c r="K59" s="1" t="str">
        <f t="shared" si="2"/>
        <v>10</v>
      </c>
      <c r="L59" s="5"/>
      <c r="M59" s="2" t="str">
        <f t="shared" si="3"/>
        <v>1396</v>
      </c>
      <c r="N59" s="5"/>
      <c r="O59" s="2">
        <v>21.0</v>
      </c>
      <c r="P59" s="5"/>
      <c r="Q59" s="5"/>
      <c r="R59" s="6" t="s">
        <v>284</v>
      </c>
      <c r="S59" s="5"/>
      <c r="T59" s="1" t="str">
        <f>IFERROR(__xludf.DUMMYFUNCTION("INDEX(SPLIT(A59, ""/""), 2)"),"انجمن‌های علمی و نشریات وابسته به دانشکده‌ها")</f>
        <v>انجمن‌های علمی و نشریات وابسته به دانشکده‌ها</v>
      </c>
      <c r="U59" s="1" t="str">
        <f>IFERROR(__xludf.DUMMYFUNCTION("INDEX(SPLIT(A59, ""/""), 3)"),"دانشکده مهندسی هوافضا")</f>
        <v>دانشکده مهندسی هوافضا</v>
      </c>
      <c r="V59" s="1" t="str">
        <f>IFERROR(__xludf.DUMMYFUNCTION("INDEX(SPLIT(A59, ""/""), 4)"),"اوج")</f>
        <v>اوج</v>
      </c>
    </row>
    <row r="60">
      <c r="A60" s="1" t="s">
        <v>219</v>
      </c>
      <c r="B60" s="1" t="s">
        <v>285</v>
      </c>
      <c r="C60" s="1" t="s">
        <v>21</v>
      </c>
      <c r="D60" s="4" t="s">
        <v>286</v>
      </c>
      <c r="E60" s="1" t="s">
        <v>222</v>
      </c>
      <c r="F60" s="1" t="s">
        <v>282</v>
      </c>
      <c r="G60" s="1" t="s">
        <v>255</v>
      </c>
      <c r="H60" s="1" t="s">
        <v>287</v>
      </c>
      <c r="I60" s="1" t="str">
        <f t="shared" si="1"/>
        <v>x</v>
      </c>
      <c r="J60" s="5"/>
      <c r="K60" s="1" t="str">
        <f t="shared" si="2"/>
        <v>12</v>
      </c>
      <c r="L60" s="5"/>
      <c r="M60" s="2" t="str">
        <f t="shared" si="3"/>
        <v>1396</v>
      </c>
      <c r="N60" s="5"/>
      <c r="O60" s="2">
        <v>22.0</v>
      </c>
      <c r="P60" s="5"/>
      <c r="Q60" s="5"/>
      <c r="R60" s="6" t="s">
        <v>288</v>
      </c>
      <c r="S60" s="5"/>
      <c r="T60" s="1" t="str">
        <f>IFERROR(__xludf.DUMMYFUNCTION("INDEX(SPLIT(A60, ""/""), 2)"),"انجمن‌های علمی و نشریات وابسته به دانشکده‌ها")</f>
        <v>انجمن‌های علمی و نشریات وابسته به دانشکده‌ها</v>
      </c>
      <c r="U60" s="1" t="str">
        <f>IFERROR(__xludf.DUMMYFUNCTION("INDEX(SPLIT(A60, ""/""), 3)"),"دانشکده مهندسی هوافضا")</f>
        <v>دانشکده مهندسی هوافضا</v>
      </c>
      <c r="V60" s="1" t="str">
        <f>IFERROR(__xludf.DUMMYFUNCTION("INDEX(SPLIT(A60, ""/""), 4)"),"اوج")</f>
        <v>اوج</v>
      </c>
    </row>
    <row r="61">
      <c r="A61" s="1" t="s">
        <v>219</v>
      </c>
      <c r="B61" s="1" t="s">
        <v>289</v>
      </c>
      <c r="C61" s="1" t="s">
        <v>21</v>
      </c>
      <c r="D61" s="4" t="s">
        <v>290</v>
      </c>
      <c r="E61" s="1" t="s">
        <v>222</v>
      </c>
      <c r="F61" s="1" t="s">
        <v>282</v>
      </c>
      <c r="G61" s="1" t="s">
        <v>255</v>
      </c>
      <c r="H61" s="1" t="s">
        <v>291</v>
      </c>
      <c r="I61" s="1" t="str">
        <f t="shared" si="1"/>
        <v>x</v>
      </c>
      <c r="J61" s="5"/>
      <c r="K61" s="1" t="str">
        <f t="shared" si="2"/>
        <v>x</v>
      </c>
      <c r="L61" s="5"/>
      <c r="M61" s="2" t="str">
        <f t="shared" si="3"/>
        <v>x</v>
      </c>
      <c r="N61" s="5"/>
      <c r="O61" s="2">
        <v>23.0</v>
      </c>
      <c r="P61" s="7" t="s">
        <v>292</v>
      </c>
      <c r="Q61" s="1" t="s">
        <v>293</v>
      </c>
      <c r="R61" s="6" t="s">
        <v>294</v>
      </c>
      <c r="S61" s="5"/>
      <c r="T61" s="1" t="str">
        <f>IFERROR(__xludf.DUMMYFUNCTION("INDEX(SPLIT(A61, ""/""), 2)"),"انجمن‌های علمی و نشریات وابسته به دانشکده‌ها")</f>
        <v>انجمن‌های علمی و نشریات وابسته به دانشکده‌ها</v>
      </c>
      <c r="U61" s="1" t="str">
        <f>IFERROR(__xludf.DUMMYFUNCTION("INDEX(SPLIT(A61, ""/""), 3)"),"دانشکده مهندسی هوافضا")</f>
        <v>دانشکده مهندسی هوافضا</v>
      </c>
      <c r="V61" s="1" t="str">
        <f>IFERROR(__xludf.DUMMYFUNCTION("INDEX(SPLIT(A61, ""/""), 4)"),"اوج")</f>
        <v>اوج</v>
      </c>
    </row>
    <row r="62">
      <c r="A62" s="1" t="s">
        <v>219</v>
      </c>
      <c r="B62" s="1" t="s">
        <v>295</v>
      </c>
      <c r="C62" s="1" t="s">
        <v>21</v>
      </c>
      <c r="D62" s="4" t="s">
        <v>296</v>
      </c>
      <c r="E62" s="1" t="s">
        <v>222</v>
      </c>
      <c r="F62" s="1" t="s">
        <v>282</v>
      </c>
      <c r="G62" s="1" t="s">
        <v>255</v>
      </c>
      <c r="H62" s="1" t="s">
        <v>291</v>
      </c>
      <c r="I62" s="1" t="str">
        <f t="shared" si="1"/>
        <v>x</v>
      </c>
      <c r="J62" s="5"/>
      <c r="K62" s="1" t="str">
        <f t="shared" si="2"/>
        <v>x</v>
      </c>
      <c r="L62" s="5"/>
      <c r="M62" s="2" t="str">
        <f t="shared" si="3"/>
        <v>x</v>
      </c>
      <c r="N62" s="5"/>
      <c r="O62" s="2">
        <v>24.0</v>
      </c>
      <c r="P62" s="7" t="s">
        <v>292</v>
      </c>
      <c r="Q62" s="1" t="s">
        <v>293</v>
      </c>
      <c r="R62" s="6" t="s">
        <v>294</v>
      </c>
      <c r="S62" s="5"/>
      <c r="T62" s="1" t="str">
        <f>IFERROR(__xludf.DUMMYFUNCTION("INDEX(SPLIT(A62, ""/""), 2)"),"انجمن‌های علمی و نشریات وابسته به دانشکده‌ها")</f>
        <v>انجمن‌های علمی و نشریات وابسته به دانشکده‌ها</v>
      </c>
      <c r="U62" s="1" t="str">
        <f>IFERROR(__xludf.DUMMYFUNCTION("INDEX(SPLIT(A62, ""/""), 3)"),"دانشکده مهندسی هوافضا")</f>
        <v>دانشکده مهندسی هوافضا</v>
      </c>
      <c r="V62" s="1" t="str">
        <f>IFERROR(__xludf.DUMMYFUNCTION("INDEX(SPLIT(A62, ""/""), 4)"),"اوج")</f>
        <v>اوج</v>
      </c>
    </row>
    <row r="63">
      <c r="A63" s="1" t="s">
        <v>219</v>
      </c>
      <c r="B63" s="1" t="s">
        <v>297</v>
      </c>
      <c r="C63" s="1" t="s">
        <v>21</v>
      </c>
      <c r="D63" s="4" t="s">
        <v>298</v>
      </c>
      <c r="E63" s="1" t="s">
        <v>222</v>
      </c>
      <c r="F63" s="1" t="s">
        <v>299</v>
      </c>
      <c r="G63" s="1" t="s">
        <v>255</v>
      </c>
      <c r="H63" s="1" t="s">
        <v>291</v>
      </c>
      <c r="I63" s="1" t="str">
        <f t="shared" si="1"/>
        <v>x</v>
      </c>
      <c r="J63" s="5"/>
      <c r="K63" s="1" t="str">
        <f t="shared" si="2"/>
        <v>x</v>
      </c>
      <c r="L63" s="5"/>
      <c r="M63" s="2" t="str">
        <f t="shared" si="3"/>
        <v>x</v>
      </c>
      <c r="N63" s="5"/>
      <c r="O63" s="2">
        <v>25.0</v>
      </c>
      <c r="P63" s="7" t="s">
        <v>292</v>
      </c>
      <c r="Q63" s="1" t="s">
        <v>293</v>
      </c>
      <c r="R63" s="6" t="s">
        <v>294</v>
      </c>
      <c r="S63" s="5"/>
      <c r="T63" s="1" t="str">
        <f>IFERROR(__xludf.DUMMYFUNCTION("INDEX(SPLIT(A63, ""/""), 2)"),"انجمن‌های علمی و نشریات وابسته به دانشکده‌ها")</f>
        <v>انجمن‌های علمی و نشریات وابسته به دانشکده‌ها</v>
      </c>
      <c r="U63" s="1" t="str">
        <f>IFERROR(__xludf.DUMMYFUNCTION("INDEX(SPLIT(A63, ""/""), 3)"),"دانشکده مهندسی هوافضا")</f>
        <v>دانشکده مهندسی هوافضا</v>
      </c>
      <c r="V63" s="1" t="str">
        <f>IFERROR(__xludf.DUMMYFUNCTION("INDEX(SPLIT(A63, ""/""), 4)"),"اوج")</f>
        <v>اوج</v>
      </c>
    </row>
    <row r="64">
      <c r="A64" s="1" t="s">
        <v>219</v>
      </c>
      <c r="B64" s="1" t="s">
        <v>300</v>
      </c>
      <c r="C64" s="1" t="s">
        <v>21</v>
      </c>
      <c r="D64" s="4" t="s">
        <v>301</v>
      </c>
      <c r="E64" s="1" t="s">
        <v>222</v>
      </c>
      <c r="F64" s="1" t="s">
        <v>299</v>
      </c>
      <c r="G64" s="1" t="s">
        <v>255</v>
      </c>
      <c r="H64" s="1" t="s">
        <v>302</v>
      </c>
      <c r="I64" s="1" t="str">
        <f t="shared" si="1"/>
        <v>x</v>
      </c>
      <c r="J64" s="5"/>
      <c r="K64" s="1" t="str">
        <f t="shared" si="2"/>
        <v>4</v>
      </c>
      <c r="L64" s="5"/>
      <c r="M64" s="2" t="str">
        <f t="shared" si="3"/>
        <v>1397</v>
      </c>
      <c r="N64" s="5"/>
      <c r="O64" s="2">
        <v>26.0</v>
      </c>
      <c r="P64" s="5"/>
      <c r="Q64" s="5"/>
      <c r="R64" s="6" t="s">
        <v>303</v>
      </c>
      <c r="S64" s="5"/>
      <c r="T64" s="1" t="str">
        <f>IFERROR(__xludf.DUMMYFUNCTION("INDEX(SPLIT(A64, ""/""), 2)"),"انجمن‌های علمی و نشریات وابسته به دانشکده‌ها")</f>
        <v>انجمن‌های علمی و نشریات وابسته به دانشکده‌ها</v>
      </c>
      <c r="U64" s="1" t="str">
        <f>IFERROR(__xludf.DUMMYFUNCTION("INDEX(SPLIT(A64, ""/""), 3)"),"دانشکده مهندسی هوافضا")</f>
        <v>دانشکده مهندسی هوافضا</v>
      </c>
      <c r="V64" s="1" t="str">
        <f>IFERROR(__xludf.DUMMYFUNCTION("INDEX(SPLIT(A64, ""/""), 4)"),"اوج")</f>
        <v>اوج</v>
      </c>
    </row>
    <row r="65">
      <c r="A65" s="1" t="s">
        <v>219</v>
      </c>
      <c r="B65" s="1" t="s">
        <v>304</v>
      </c>
      <c r="C65" s="1" t="s">
        <v>21</v>
      </c>
      <c r="D65" s="4" t="s">
        <v>305</v>
      </c>
      <c r="E65" s="1" t="s">
        <v>222</v>
      </c>
      <c r="F65" s="1" t="s">
        <v>299</v>
      </c>
      <c r="G65" s="1" t="s">
        <v>255</v>
      </c>
      <c r="H65" s="1" t="s">
        <v>302</v>
      </c>
      <c r="I65" s="1" t="str">
        <f t="shared" si="1"/>
        <v>x</v>
      </c>
      <c r="J65" s="5"/>
      <c r="K65" s="1" t="str">
        <f t="shared" si="2"/>
        <v>4</v>
      </c>
      <c r="L65" s="5"/>
      <c r="M65" s="2" t="str">
        <f t="shared" si="3"/>
        <v>1397</v>
      </c>
      <c r="N65" s="5"/>
      <c r="O65" s="2">
        <v>27.0</v>
      </c>
      <c r="P65" s="5"/>
      <c r="Q65" s="5"/>
      <c r="R65" s="6" t="s">
        <v>303</v>
      </c>
      <c r="S65" s="5"/>
      <c r="T65" s="1" t="str">
        <f>IFERROR(__xludf.DUMMYFUNCTION("INDEX(SPLIT(A65, ""/""), 2)"),"انجمن‌های علمی و نشریات وابسته به دانشکده‌ها")</f>
        <v>انجمن‌های علمی و نشریات وابسته به دانشکده‌ها</v>
      </c>
      <c r="U65" s="1" t="str">
        <f>IFERROR(__xludf.DUMMYFUNCTION("INDEX(SPLIT(A65, ""/""), 3)"),"دانشکده مهندسی هوافضا")</f>
        <v>دانشکده مهندسی هوافضا</v>
      </c>
      <c r="V65" s="1" t="str">
        <f>IFERROR(__xludf.DUMMYFUNCTION("INDEX(SPLIT(A65, ""/""), 4)"),"اوج")</f>
        <v>اوج</v>
      </c>
    </row>
    <row r="66">
      <c r="A66" s="1" t="s">
        <v>219</v>
      </c>
      <c r="B66" s="1" t="s">
        <v>306</v>
      </c>
      <c r="C66" s="1" t="s">
        <v>21</v>
      </c>
      <c r="D66" s="4" t="s">
        <v>307</v>
      </c>
      <c r="E66" s="1" t="s">
        <v>222</v>
      </c>
      <c r="F66" s="1" t="s">
        <v>299</v>
      </c>
      <c r="G66" s="1" t="s">
        <v>255</v>
      </c>
      <c r="H66" s="1" t="s">
        <v>308</v>
      </c>
      <c r="I66" s="1" t="str">
        <f t="shared" si="1"/>
        <v>x</v>
      </c>
      <c r="J66" s="5"/>
      <c r="K66" s="1" t="str">
        <f t="shared" si="2"/>
        <v>7</v>
      </c>
      <c r="L66" s="5"/>
      <c r="M66" s="2" t="str">
        <f t="shared" si="3"/>
        <v>1397</v>
      </c>
      <c r="N66" s="5"/>
      <c r="O66" s="2">
        <v>28.0</v>
      </c>
      <c r="P66" s="5"/>
      <c r="Q66" s="5"/>
      <c r="R66" s="6" t="s">
        <v>309</v>
      </c>
      <c r="S66" s="5"/>
      <c r="T66" s="1" t="str">
        <f>IFERROR(__xludf.DUMMYFUNCTION("INDEX(SPLIT(A66, ""/""), 2)"),"انجمن‌های علمی و نشریات وابسته به دانشکده‌ها")</f>
        <v>انجمن‌های علمی و نشریات وابسته به دانشکده‌ها</v>
      </c>
      <c r="U66" s="1" t="str">
        <f>IFERROR(__xludf.DUMMYFUNCTION("INDEX(SPLIT(A66, ""/""), 3)"),"دانشکده مهندسی هوافضا")</f>
        <v>دانشکده مهندسی هوافضا</v>
      </c>
      <c r="V66" s="1" t="str">
        <f>IFERROR(__xludf.DUMMYFUNCTION("INDEX(SPLIT(A66, ""/""), 4)"),"اوج")</f>
        <v>اوج</v>
      </c>
    </row>
    <row r="67">
      <c r="A67" s="1" t="s">
        <v>219</v>
      </c>
      <c r="B67" s="1" t="s">
        <v>310</v>
      </c>
      <c r="C67" s="1" t="s">
        <v>21</v>
      </c>
      <c r="D67" s="4" t="s">
        <v>311</v>
      </c>
      <c r="E67" s="1" t="s">
        <v>222</v>
      </c>
      <c r="F67" s="1" t="s">
        <v>299</v>
      </c>
      <c r="G67" s="1" t="s">
        <v>312</v>
      </c>
      <c r="H67" s="1" t="s">
        <v>313</v>
      </c>
      <c r="I67" s="1" t="str">
        <f t="shared" si="1"/>
        <v>x</v>
      </c>
      <c r="J67" s="5"/>
      <c r="K67" s="1" t="str">
        <f t="shared" si="2"/>
        <v>8</v>
      </c>
      <c r="L67" s="5"/>
      <c r="M67" s="2" t="str">
        <f t="shared" si="3"/>
        <v>1397</v>
      </c>
      <c r="N67" s="5"/>
      <c r="O67" s="2">
        <v>29.0</v>
      </c>
      <c r="P67" s="5"/>
      <c r="Q67" s="5"/>
      <c r="R67" s="6" t="s">
        <v>314</v>
      </c>
      <c r="S67" s="5"/>
      <c r="T67" s="1" t="str">
        <f>IFERROR(__xludf.DUMMYFUNCTION("INDEX(SPLIT(A67, ""/""), 2)"),"انجمن‌های علمی و نشریات وابسته به دانشکده‌ها")</f>
        <v>انجمن‌های علمی و نشریات وابسته به دانشکده‌ها</v>
      </c>
      <c r="U67" s="1" t="str">
        <f>IFERROR(__xludf.DUMMYFUNCTION("INDEX(SPLIT(A67, ""/""), 3)"),"دانشکده مهندسی هوافضا")</f>
        <v>دانشکده مهندسی هوافضا</v>
      </c>
      <c r="V67" s="1" t="str">
        <f>IFERROR(__xludf.DUMMYFUNCTION("INDEX(SPLIT(A67, ""/""), 4)"),"اوج")</f>
        <v>اوج</v>
      </c>
    </row>
    <row r="68">
      <c r="A68" s="1" t="s">
        <v>219</v>
      </c>
      <c r="B68" s="1" t="s">
        <v>315</v>
      </c>
      <c r="C68" s="1" t="s">
        <v>21</v>
      </c>
      <c r="D68" s="4" t="s">
        <v>316</v>
      </c>
      <c r="E68" s="1" t="s">
        <v>222</v>
      </c>
      <c r="F68" s="1" t="s">
        <v>299</v>
      </c>
      <c r="G68" s="1" t="s">
        <v>312</v>
      </c>
      <c r="H68" s="1" t="s">
        <v>317</v>
      </c>
      <c r="I68" s="1" t="str">
        <f t="shared" si="1"/>
        <v>x</v>
      </c>
      <c r="J68" s="5"/>
      <c r="K68" s="1" t="str">
        <f t="shared" si="2"/>
        <v>9</v>
      </c>
      <c r="L68" s="5"/>
      <c r="M68" s="2" t="str">
        <f t="shared" si="3"/>
        <v>1397</v>
      </c>
      <c r="N68" s="5"/>
      <c r="O68" s="2">
        <v>30.0</v>
      </c>
      <c r="P68" s="5"/>
      <c r="Q68" s="5"/>
      <c r="R68" s="6" t="s">
        <v>318</v>
      </c>
      <c r="S68" s="5"/>
      <c r="T68" s="1" t="str">
        <f>IFERROR(__xludf.DUMMYFUNCTION("INDEX(SPLIT(A68, ""/""), 2)"),"انجمن‌های علمی و نشریات وابسته به دانشکده‌ها")</f>
        <v>انجمن‌های علمی و نشریات وابسته به دانشکده‌ها</v>
      </c>
      <c r="U68" s="1" t="str">
        <f>IFERROR(__xludf.DUMMYFUNCTION("INDEX(SPLIT(A68, ""/""), 3)"),"دانشکده مهندسی هوافضا")</f>
        <v>دانشکده مهندسی هوافضا</v>
      </c>
      <c r="V68" s="1" t="str">
        <f>IFERROR(__xludf.DUMMYFUNCTION("INDEX(SPLIT(A68, ""/""), 4)"),"اوج")</f>
        <v>اوج</v>
      </c>
    </row>
    <row r="69">
      <c r="A69" s="1" t="s">
        <v>219</v>
      </c>
      <c r="B69" s="1" t="s">
        <v>319</v>
      </c>
      <c r="C69" s="1" t="s">
        <v>21</v>
      </c>
      <c r="D69" s="4" t="s">
        <v>320</v>
      </c>
      <c r="E69" s="1" t="s">
        <v>222</v>
      </c>
      <c r="F69" s="1" t="s">
        <v>299</v>
      </c>
      <c r="G69" s="1" t="s">
        <v>312</v>
      </c>
      <c r="H69" s="1" t="s">
        <v>173</v>
      </c>
      <c r="I69" s="1" t="str">
        <f t="shared" si="1"/>
        <v>x</v>
      </c>
      <c r="J69" s="5"/>
      <c r="K69" s="1" t="str">
        <f t="shared" si="2"/>
        <v>10</v>
      </c>
      <c r="L69" s="5"/>
      <c r="M69" s="2" t="str">
        <f t="shared" si="3"/>
        <v>1397</v>
      </c>
      <c r="N69" s="5"/>
      <c r="O69" s="2">
        <v>31.0</v>
      </c>
      <c r="P69" s="5"/>
      <c r="Q69" s="5"/>
      <c r="R69" s="6" t="s">
        <v>174</v>
      </c>
      <c r="S69" s="5"/>
      <c r="T69" s="1" t="str">
        <f>IFERROR(__xludf.DUMMYFUNCTION("INDEX(SPLIT(A69, ""/""), 2)"),"انجمن‌های علمی و نشریات وابسته به دانشکده‌ها")</f>
        <v>انجمن‌های علمی و نشریات وابسته به دانشکده‌ها</v>
      </c>
      <c r="U69" s="1" t="str">
        <f>IFERROR(__xludf.DUMMYFUNCTION("INDEX(SPLIT(A69, ""/""), 3)"),"دانشکده مهندسی هوافضا")</f>
        <v>دانشکده مهندسی هوافضا</v>
      </c>
      <c r="V69" s="1" t="str">
        <f>IFERROR(__xludf.DUMMYFUNCTION("INDEX(SPLIT(A69, ""/""), 4)"),"اوج")</f>
        <v>اوج</v>
      </c>
    </row>
    <row r="70">
      <c r="A70" s="1" t="s">
        <v>219</v>
      </c>
      <c r="B70" s="1" t="s">
        <v>321</v>
      </c>
      <c r="C70" s="1" t="s">
        <v>21</v>
      </c>
      <c r="D70" s="4" t="s">
        <v>322</v>
      </c>
      <c r="E70" s="1" t="s">
        <v>222</v>
      </c>
      <c r="F70" s="1" t="s">
        <v>299</v>
      </c>
      <c r="G70" s="1" t="s">
        <v>312</v>
      </c>
      <c r="H70" s="1" t="s">
        <v>177</v>
      </c>
      <c r="I70" s="1" t="str">
        <f t="shared" si="1"/>
        <v>x</v>
      </c>
      <c r="J70" s="5"/>
      <c r="K70" s="1" t="str">
        <f t="shared" si="2"/>
        <v>11</v>
      </c>
      <c r="L70" s="5"/>
      <c r="M70" s="2" t="str">
        <f t="shared" si="3"/>
        <v>1397</v>
      </c>
      <c r="N70" s="5"/>
      <c r="O70" s="2">
        <v>32.0</v>
      </c>
      <c r="P70" s="5"/>
      <c r="Q70" s="5"/>
      <c r="R70" s="6" t="s">
        <v>178</v>
      </c>
      <c r="S70" s="5"/>
      <c r="T70" s="1" t="str">
        <f>IFERROR(__xludf.DUMMYFUNCTION("INDEX(SPLIT(A70, ""/""), 2)"),"انجمن‌های علمی و نشریات وابسته به دانشکده‌ها")</f>
        <v>انجمن‌های علمی و نشریات وابسته به دانشکده‌ها</v>
      </c>
      <c r="U70" s="1" t="str">
        <f>IFERROR(__xludf.DUMMYFUNCTION("INDEX(SPLIT(A70, ""/""), 3)"),"دانشکده مهندسی هوافضا")</f>
        <v>دانشکده مهندسی هوافضا</v>
      </c>
      <c r="V70" s="1" t="str">
        <f>IFERROR(__xludf.DUMMYFUNCTION("INDEX(SPLIT(A70, ""/""), 4)"),"اوج")</f>
        <v>اوج</v>
      </c>
    </row>
    <row r="71">
      <c r="A71" s="1" t="s">
        <v>219</v>
      </c>
      <c r="B71" s="1" t="s">
        <v>323</v>
      </c>
      <c r="C71" s="1" t="s">
        <v>21</v>
      </c>
      <c r="D71" s="4" t="s">
        <v>324</v>
      </c>
      <c r="E71" s="1" t="s">
        <v>222</v>
      </c>
      <c r="F71" s="1" t="s">
        <v>299</v>
      </c>
      <c r="G71" s="1" t="s">
        <v>312</v>
      </c>
      <c r="H71" s="1" t="s">
        <v>181</v>
      </c>
      <c r="I71" s="1" t="str">
        <f t="shared" si="1"/>
        <v>x</v>
      </c>
      <c r="J71" s="5"/>
      <c r="K71" s="1" t="str">
        <f t="shared" si="2"/>
        <v>12</v>
      </c>
      <c r="L71" s="5"/>
      <c r="M71" s="2" t="str">
        <f t="shared" si="3"/>
        <v>1397</v>
      </c>
      <c r="N71" s="5"/>
      <c r="O71" s="2">
        <v>33.0</v>
      </c>
      <c r="P71" s="5"/>
      <c r="Q71" s="5"/>
      <c r="R71" s="6" t="s">
        <v>182</v>
      </c>
      <c r="S71" s="5"/>
      <c r="T71" s="1" t="str">
        <f>IFERROR(__xludf.DUMMYFUNCTION("INDEX(SPLIT(A71, ""/""), 2)"),"انجمن‌های علمی و نشریات وابسته به دانشکده‌ها")</f>
        <v>انجمن‌های علمی و نشریات وابسته به دانشکده‌ها</v>
      </c>
      <c r="U71" s="1" t="str">
        <f>IFERROR(__xludf.DUMMYFUNCTION("INDEX(SPLIT(A71, ""/""), 3)"),"دانشکده مهندسی هوافضا")</f>
        <v>دانشکده مهندسی هوافضا</v>
      </c>
      <c r="V71" s="1" t="str">
        <f>IFERROR(__xludf.DUMMYFUNCTION("INDEX(SPLIT(A71, ""/""), 4)"),"اوج")</f>
        <v>اوج</v>
      </c>
    </row>
    <row r="72">
      <c r="A72" s="1" t="s">
        <v>219</v>
      </c>
      <c r="B72" s="1" t="s">
        <v>325</v>
      </c>
      <c r="C72" s="1" t="s">
        <v>21</v>
      </c>
      <c r="D72" s="4" t="s">
        <v>326</v>
      </c>
      <c r="E72" s="1" t="s">
        <v>222</v>
      </c>
      <c r="F72" s="1" t="s">
        <v>299</v>
      </c>
      <c r="G72" s="1" t="s">
        <v>312</v>
      </c>
      <c r="H72" s="1" t="s">
        <v>185</v>
      </c>
      <c r="I72" s="1" t="str">
        <f t="shared" si="1"/>
        <v>x</v>
      </c>
      <c r="J72" s="5"/>
      <c r="K72" s="1" t="str">
        <f t="shared" si="2"/>
        <v>1</v>
      </c>
      <c r="L72" s="5"/>
      <c r="M72" s="2" t="str">
        <f t="shared" si="3"/>
        <v>1398</v>
      </c>
      <c r="N72" s="5"/>
      <c r="O72" s="2">
        <v>34.0</v>
      </c>
      <c r="P72" s="5"/>
      <c r="Q72" s="5"/>
      <c r="R72" s="6" t="s">
        <v>186</v>
      </c>
      <c r="S72" s="5"/>
      <c r="T72" s="1" t="str">
        <f>IFERROR(__xludf.DUMMYFUNCTION("INDEX(SPLIT(A72, ""/""), 2)"),"انجمن‌های علمی و نشریات وابسته به دانشکده‌ها")</f>
        <v>انجمن‌های علمی و نشریات وابسته به دانشکده‌ها</v>
      </c>
      <c r="U72" s="1" t="str">
        <f>IFERROR(__xludf.DUMMYFUNCTION("INDEX(SPLIT(A72, ""/""), 3)"),"دانشکده مهندسی هوافضا")</f>
        <v>دانشکده مهندسی هوافضا</v>
      </c>
      <c r="V72" s="1" t="str">
        <f>IFERROR(__xludf.DUMMYFUNCTION("INDEX(SPLIT(A72, ""/""), 4)"),"اوج")</f>
        <v>اوج</v>
      </c>
    </row>
    <row r="73">
      <c r="A73" s="1" t="s">
        <v>219</v>
      </c>
      <c r="B73" s="1" t="s">
        <v>327</v>
      </c>
      <c r="C73" s="1" t="s">
        <v>21</v>
      </c>
      <c r="D73" s="4" t="s">
        <v>328</v>
      </c>
      <c r="E73" s="1" t="s">
        <v>222</v>
      </c>
      <c r="F73" s="1" t="s">
        <v>299</v>
      </c>
      <c r="G73" s="1" t="s">
        <v>299</v>
      </c>
      <c r="H73" s="1" t="s">
        <v>329</v>
      </c>
      <c r="I73" s="1" t="str">
        <f t="shared" si="1"/>
        <v>x</v>
      </c>
      <c r="J73" s="5"/>
      <c r="K73" s="1" t="str">
        <f t="shared" si="2"/>
        <v>2</v>
      </c>
      <c r="L73" s="5"/>
      <c r="M73" s="2" t="str">
        <f t="shared" si="3"/>
        <v>1398</v>
      </c>
      <c r="N73" s="5"/>
      <c r="O73" s="2">
        <v>35.0</v>
      </c>
      <c r="P73" s="5"/>
      <c r="Q73" s="5"/>
      <c r="R73" s="6" t="s">
        <v>330</v>
      </c>
      <c r="S73" s="5"/>
      <c r="T73" s="1" t="str">
        <f>IFERROR(__xludf.DUMMYFUNCTION("INDEX(SPLIT(A73, ""/""), 2)"),"انجمن‌های علمی و نشریات وابسته به دانشکده‌ها")</f>
        <v>انجمن‌های علمی و نشریات وابسته به دانشکده‌ها</v>
      </c>
      <c r="U73" s="1" t="str">
        <f>IFERROR(__xludf.DUMMYFUNCTION("INDEX(SPLIT(A73, ""/""), 3)"),"دانشکده مهندسی هوافضا")</f>
        <v>دانشکده مهندسی هوافضا</v>
      </c>
      <c r="V73" s="1" t="str">
        <f>IFERROR(__xludf.DUMMYFUNCTION("INDEX(SPLIT(A73, ""/""), 4)"),"اوج")</f>
        <v>اوج</v>
      </c>
    </row>
    <row r="74">
      <c r="A74" s="1" t="s">
        <v>219</v>
      </c>
      <c r="B74" s="1" t="s">
        <v>331</v>
      </c>
      <c r="C74" s="1" t="s">
        <v>21</v>
      </c>
      <c r="D74" s="4" t="s">
        <v>332</v>
      </c>
      <c r="E74" s="1" t="s">
        <v>222</v>
      </c>
      <c r="F74" s="1" t="s">
        <v>299</v>
      </c>
      <c r="G74" s="1" t="s">
        <v>299</v>
      </c>
      <c r="H74" s="1" t="s">
        <v>189</v>
      </c>
      <c r="I74" s="1" t="str">
        <f t="shared" si="1"/>
        <v>x</v>
      </c>
      <c r="J74" s="5"/>
      <c r="K74" s="1" t="str">
        <f t="shared" si="2"/>
        <v>3</v>
      </c>
      <c r="L74" s="5"/>
      <c r="M74" s="2" t="str">
        <f t="shared" si="3"/>
        <v>1398</v>
      </c>
      <c r="N74" s="5"/>
      <c r="O74" s="2">
        <v>36.0</v>
      </c>
      <c r="P74" s="5"/>
      <c r="Q74" s="5"/>
      <c r="R74" s="6" t="s">
        <v>190</v>
      </c>
      <c r="S74" s="5"/>
      <c r="T74" s="1" t="str">
        <f>IFERROR(__xludf.DUMMYFUNCTION("INDEX(SPLIT(A74, ""/""), 2)"),"انجمن‌های علمی و نشریات وابسته به دانشکده‌ها")</f>
        <v>انجمن‌های علمی و نشریات وابسته به دانشکده‌ها</v>
      </c>
      <c r="U74" s="1" t="str">
        <f>IFERROR(__xludf.DUMMYFUNCTION("INDEX(SPLIT(A74, ""/""), 3)"),"دانشکده مهندسی هوافضا")</f>
        <v>دانشکده مهندسی هوافضا</v>
      </c>
      <c r="V74" s="1" t="str">
        <f>IFERROR(__xludf.DUMMYFUNCTION("INDEX(SPLIT(A74, ""/""), 4)"),"اوج")</f>
        <v>اوج</v>
      </c>
    </row>
    <row r="75">
      <c r="A75" s="1" t="s">
        <v>219</v>
      </c>
      <c r="B75" s="1" t="s">
        <v>333</v>
      </c>
      <c r="C75" s="1" t="s">
        <v>21</v>
      </c>
      <c r="D75" s="4" t="s">
        <v>334</v>
      </c>
      <c r="E75" s="1" t="s">
        <v>222</v>
      </c>
      <c r="F75" s="1" t="s">
        <v>299</v>
      </c>
      <c r="G75" s="1" t="s">
        <v>299</v>
      </c>
      <c r="H75" s="1" t="s">
        <v>335</v>
      </c>
      <c r="I75" s="1" t="str">
        <f t="shared" si="1"/>
        <v>x</v>
      </c>
      <c r="J75" s="5"/>
      <c r="K75" s="1" t="str">
        <f t="shared" si="2"/>
        <v>4</v>
      </c>
      <c r="L75" s="5"/>
      <c r="M75" s="2" t="str">
        <f t="shared" si="3"/>
        <v>1398</v>
      </c>
      <c r="N75" s="5"/>
      <c r="O75" s="2">
        <v>37.0</v>
      </c>
      <c r="P75" s="5"/>
      <c r="Q75" s="5"/>
      <c r="R75" s="6" t="s">
        <v>336</v>
      </c>
      <c r="S75" s="5"/>
      <c r="T75" s="1" t="str">
        <f>IFERROR(__xludf.DUMMYFUNCTION("INDEX(SPLIT(A75, ""/""), 2)"),"انجمن‌های علمی و نشریات وابسته به دانشکده‌ها")</f>
        <v>انجمن‌های علمی و نشریات وابسته به دانشکده‌ها</v>
      </c>
      <c r="U75" s="1" t="str">
        <f>IFERROR(__xludf.DUMMYFUNCTION("INDEX(SPLIT(A75, ""/""), 3)"),"دانشکده مهندسی هوافضا")</f>
        <v>دانشکده مهندسی هوافضا</v>
      </c>
      <c r="V75" s="1" t="str">
        <f>IFERROR(__xludf.DUMMYFUNCTION("INDEX(SPLIT(A75, ""/""), 4)"),"اوج")</f>
        <v>اوج</v>
      </c>
    </row>
    <row r="76">
      <c r="A76" s="1" t="s">
        <v>219</v>
      </c>
      <c r="B76" s="1" t="s">
        <v>337</v>
      </c>
      <c r="C76" s="1" t="s">
        <v>21</v>
      </c>
      <c r="D76" s="4" t="s">
        <v>338</v>
      </c>
      <c r="E76" s="1" t="s">
        <v>222</v>
      </c>
      <c r="F76" s="1" t="s">
        <v>299</v>
      </c>
      <c r="G76" s="1" t="s">
        <v>299</v>
      </c>
      <c r="H76" s="1" t="s">
        <v>339</v>
      </c>
      <c r="I76" s="1" t="str">
        <f t="shared" si="1"/>
        <v>x</v>
      </c>
      <c r="J76" s="5"/>
      <c r="K76" s="1" t="str">
        <f t="shared" si="2"/>
        <v>5</v>
      </c>
      <c r="L76" s="5"/>
      <c r="M76" s="2" t="str">
        <f t="shared" si="3"/>
        <v>1398</v>
      </c>
      <c r="N76" s="5"/>
      <c r="O76" s="2">
        <v>38.0</v>
      </c>
      <c r="P76" s="5"/>
      <c r="Q76" s="5"/>
      <c r="R76" s="6" t="s">
        <v>340</v>
      </c>
      <c r="S76" s="5"/>
      <c r="T76" s="1" t="str">
        <f>IFERROR(__xludf.DUMMYFUNCTION("INDEX(SPLIT(A76, ""/""), 2)"),"انجمن‌های علمی و نشریات وابسته به دانشکده‌ها")</f>
        <v>انجمن‌های علمی و نشریات وابسته به دانشکده‌ها</v>
      </c>
      <c r="U76" s="1" t="str">
        <f>IFERROR(__xludf.DUMMYFUNCTION("INDEX(SPLIT(A76, ""/""), 3)"),"دانشکده مهندسی هوافضا")</f>
        <v>دانشکده مهندسی هوافضا</v>
      </c>
      <c r="V76" s="1" t="str">
        <f>IFERROR(__xludf.DUMMYFUNCTION("INDEX(SPLIT(A76, ""/""), 4)"),"اوج")</f>
        <v>اوج</v>
      </c>
    </row>
    <row r="77">
      <c r="A77" s="1" t="s">
        <v>219</v>
      </c>
      <c r="B77" s="1" t="s">
        <v>341</v>
      </c>
      <c r="C77" s="1" t="s">
        <v>21</v>
      </c>
      <c r="D77" s="4" t="s">
        <v>342</v>
      </c>
      <c r="E77" s="1" t="s">
        <v>222</v>
      </c>
      <c r="F77" s="1" t="s">
        <v>299</v>
      </c>
      <c r="G77" s="1" t="s">
        <v>299</v>
      </c>
      <c r="H77" s="1" t="s">
        <v>343</v>
      </c>
      <c r="I77" s="1" t="str">
        <f t="shared" si="1"/>
        <v>x</v>
      </c>
      <c r="J77" s="5"/>
      <c r="K77" s="1" t="str">
        <f t="shared" si="2"/>
        <v>6</v>
      </c>
      <c r="L77" s="5"/>
      <c r="M77" s="2" t="str">
        <f t="shared" si="3"/>
        <v>1397</v>
      </c>
      <c r="N77" s="5"/>
      <c r="O77" s="2">
        <v>39.0</v>
      </c>
      <c r="P77" s="5"/>
      <c r="Q77" s="5"/>
      <c r="R77" s="6" t="s">
        <v>344</v>
      </c>
      <c r="S77" s="5"/>
      <c r="T77" s="1" t="str">
        <f>IFERROR(__xludf.DUMMYFUNCTION("INDEX(SPLIT(A77, ""/""), 2)"),"انجمن‌های علمی و نشریات وابسته به دانشکده‌ها")</f>
        <v>انجمن‌های علمی و نشریات وابسته به دانشکده‌ها</v>
      </c>
      <c r="U77" s="1" t="str">
        <f>IFERROR(__xludf.DUMMYFUNCTION("INDEX(SPLIT(A77, ""/""), 3)"),"دانشکده مهندسی هوافضا")</f>
        <v>دانشکده مهندسی هوافضا</v>
      </c>
      <c r="V77" s="1" t="str">
        <f>IFERROR(__xludf.DUMMYFUNCTION("INDEX(SPLIT(A77, ""/""), 4)"),"اوج")</f>
        <v>اوج</v>
      </c>
    </row>
    <row r="78">
      <c r="A78" s="1" t="s">
        <v>219</v>
      </c>
      <c r="B78" s="1" t="s">
        <v>345</v>
      </c>
      <c r="C78" s="1" t="s">
        <v>21</v>
      </c>
      <c r="D78" s="4" t="s">
        <v>346</v>
      </c>
      <c r="E78" s="1" t="s">
        <v>222</v>
      </c>
      <c r="F78" s="1" t="s">
        <v>299</v>
      </c>
      <c r="G78" s="1" t="s">
        <v>299</v>
      </c>
      <c r="H78" s="1" t="s">
        <v>347</v>
      </c>
      <c r="I78" s="1" t="str">
        <f t="shared" si="1"/>
        <v>x</v>
      </c>
      <c r="J78" s="5"/>
      <c r="K78" s="1" t="str">
        <f t="shared" si="2"/>
        <v>7</v>
      </c>
      <c r="L78" s="5"/>
      <c r="M78" s="2" t="str">
        <f t="shared" si="3"/>
        <v>1398</v>
      </c>
      <c r="N78" s="5"/>
      <c r="O78" s="2">
        <v>40.0</v>
      </c>
      <c r="P78" s="5"/>
      <c r="Q78" s="5"/>
      <c r="R78" s="6" t="s">
        <v>348</v>
      </c>
      <c r="S78" s="5"/>
      <c r="T78" s="1" t="str">
        <f>IFERROR(__xludf.DUMMYFUNCTION("INDEX(SPLIT(A78, ""/""), 2)"),"انجمن‌های علمی و نشریات وابسته به دانشکده‌ها")</f>
        <v>انجمن‌های علمی و نشریات وابسته به دانشکده‌ها</v>
      </c>
      <c r="U78" s="1" t="str">
        <f>IFERROR(__xludf.DUMMYFUNCTION("INDEX(SPLIT(A78, ""/""), 3)"),"دانشکده مهندسی هوافضا")</f>
        <v>دانشکده مهندسی هوافضا</v>
      </c>
      <c r="V78" s="1" t="str">
        <f>IFERROR(__xludf.DUMMYFUNCTION("INDEX(SPLIT(A78, ""/""), 4)"),"اوج")</f>
        <v>اوج</v>
      </c>
    </row>
    <row r="79">
      <c r="A79" s="1" t="s">
        <v>219</v>
      </c>
      <c r="B79" s="1" t="s">
        <v>349</v>
      </c>
      <c r="C79" s="1" t="s">
        <v>21</v>
      </c>
      <c r="D79" s="4" t="s">
        <v>350</v>
      </c>
      <c r="E79" s="1" t="s">
        <v>222</v>
      </c>
      <c r="F79" s="1" t="s">
        <v>299</v>
      </c>
      <c r="G79" s="1" t="s">
        <v>299</v>
      </c>
      <c r="H79" s="1" t="s">
        <v>351</v>
      </c>
      <c r="I79" s="1" t="str">
        <f t="shared" si="1"/>
        <v>x</v>
      </c>
      <c r="J79" s="5"/>
      <c r="K79" s="1" t="str">
        <f t="shared" si="2"/>
        <v>8</v>
      </c>
      <c r="L79" s="5"/>
      <c r="M79" s="2" t="str">
        <f t="shared" si="3"/>
        <v>1398</v>
      </c>
      <c r="N79" s="5"/>
      <c r="O79" s="2">
        <v>41.0</v>
      </c>
      <c r="P79" s="5"/>
      <c r="Q79" s="5"/>
      <c r="R79" s="6" t="s">
        <v>352</v>
      </c>
      <c r="S79" s="5"/>
      <c r="T79" s="1" t="str">
        <f>IFERROR(__xludf.DUMMYFUNCTION("INDEX(SPLIT(A79, ""/""), 2)"),"انجمن‌های علمی و نشریات وابسته به دانشکده‌ها")</f>
        <v>انجمن‌های علمی و نشریات وابسته به دانشکده‌ها</v>
      </c>
      <c r="U79" s="1" t="str">
        <f>IFERROR(__xludf.DUMMYFUNCTION("INDEX(SPLIT(A79, ""/""), 3)"),"دانشکده مهندسی هوافضا")</f>
        <v>دانشکده مهندسی هوافضا</v>
      </c>
      <c r="V79" s="1" t="str">
        <f>IFERROR(__xludf.DUMMYFUNCTION("INDEX(SPLIT(A79, ""/""), 4)"),"اوج")</f>
        <v>اوج</v>
      </c>
    </row>
    <row r="80">
      <c r="A80" s="1" t="s">
        <v>219</v>
      </c>
      <c r="B80" s="1" t="s">
        <v>353</v>
      </c>
      <c r="C80" s="1" t="s">
        <v>21</v>
      </c>
      <c r="D80" s="4" t="s">
        <v>354</v>
      </c>
      <c r="E80" s="1" t="s">
        <v>222</v>
      </c>
      <c r="F80" s="1" t="s">
        <v>299</v>
      </c>
      <c r="G80" s="1" t="s">
        <v>299</v>
      </c>
      <c r="H80" s="1" t="s">
        <v>195</v>
      </c>
      <c r="I80" s="1" t="str">
        <f t="shared" si="1"/>
        <v>x</v>
      </c>
      <c r="J80" s="5"/>
      <c r="K80" s="1" t="str">
        <f t="shared" si="2"/>
        <v>9</v>
      </c>
      <c r="L80" s="5"/>
      <c r="M80" s="2" t="str">
        <f t="shared" si="3"/>
        <v>1398</v>
      </c>
      <c r="N80" s="5"/>
      <c r="O80" s="2">
        <v>42.0</v>
      </c>
      <c r="P80" s="5"/>
      <c r="Q80" s="5"/>
      <c r="R80" s="6" t="s">
        <v>196</v>
      </c>
      <c r="S80" s="5"/>
      <c r="T80" s="1" t="str">
        <f>IFERROR(__xludf.DUMMYFUNCTION("INDEX(SPLIT(A80, ""/""), 2)"),"انجمن‌های علمی و نشریات وابسته به دانشکده‌ها")</f>
        <v>انجمن‌های علمی و نشریات وابسته به دانشکده‌ها</v>
      </c>
      <c r="U80" s="1" t="str">
        <f>IFERROR(__xludf.DUMMYFUNCTION("INDEX(SPLIT(A80, ""/""), 3)"),"دانشکده مهندسی هوافضا")</f>
        <v>دانشکده مهندسی هوافضا</v>
      </c>
      <c r="V80" s="1" t="str">
        <f>IFERROR(__xludf.DUMMYFUNCTION("INDEX(SPLIT(A80, ""/""), 4)"),"اوج")</f>
        <v>اوج</v>
      </c>
    </row>
    <row r="81">
      <c r="A81" s="1" t="s">
        <v>219</v>
      </c>
      <c r="B81" s="1" t="s">
        <v>355</v>
      </c>
      <c r="C81" s="1" t="s">
        <v>21</v>
      </c>
      <c r="D81" s="4" t="s">
        <v>356</v>
      </c>
      <c r="E81" s="1" t="s">
        <v>222</v>
      </c>
      <c r="F81" s="1" t="s">
        <v>299</v>
      </c>
      <c r="G81" s="1" t="s">
        <v>299</v>
      </c>
      <c r="H81" s="1" t="s">
        <v>357</v>
      </c>
      <c r="I81" s="1" t="str">
        <f t="shared" si="1"/>
        <v>x</v>
      </c>
      <c r="J81" s="5"/>
      <c r="K81" s="1" t="str">
        <f t="shared" si="2"/>
        <v>10</v>
      </c>
      <c r="L81" s="5"/>
      <c r="M81" s="2" t="str">
        <f t="shared" si="3"/>
        <v>1398</v>
      </c>
      <c r="N81" s="5"/>
      <c r="O81" s="2">
        <v>43.0</v>
      </c>
      <c r="P81" s="5"/>
      <c r="Q81" s="5"/>
      <c r="R81" s="6" t="s">
        <v>358</v>
      </c>
      <c r="S81" s="5"/>
      <c r="T81" s="1" t="str">
        <f>IFERROR(__xludf.DUMMYFUNCTION("INDEX(SPLIT(A81, ""/""), 2)"),"انجمن‌های علمی و نشریات وابسته به دانشکده‌ها")</f>
        <v>انجمن‌های علمی و نشریات وابسته به دانشکده‌ها</v>
      </c>
      <c r="U81" s="1" t="str">
        <f>IFERROR(__xludf.DUMMYFUNCTION("INDEX(SPLIT(A81, ""/""), 3)"),"دانشکده مهندسی هوافضا")</f>
        <v>دانشکده مهندسی هوافضا</v>
      </c>
      <c r="V81" s="1" t="str">
        <f>IFERROR(__xludf.DUMMYFUNCTION("INDEX(SPLIT(A81, ""/""), 4)"),"اوج")</f>
        <v>اوج</v>
      </c>
    </row>
    <row r="82">
      <c r="A82" s="1" t="s">
        <v>219</v>
      </c>
      <c r="B82" s="1" t="s">
        <v>359</v>
      </c>
      <c r="C82" s="1" t="s">
        <v>21</v>
      </c>
      <c r="D82" s="4" t="s">
        <v>360</v>
      </c>
      <c r="E82" s="1" t="s">
        <v>222</v>
      </c>
      <c r="F82" s="1" t="s">
        <v>299</v>
      </c>
      <c r="G82" s="1" t="s">
        <v>299</v>
      </c>
      <c r="H82" s="1" t="s">
        <v>199</v>
      </c>
      <c r="I82" s="1" t="str">
        <f t="shared" si="1"/>
        <v>x</v>
      </c>
      <c r="J82" s="5"/>
      <c r="K82" s="1" t="str">
        <f t="shared" si="2"/>
        <v>11</v>
      </c>
      <c r="L82" s="5"/>
      <c r="M82" s="2" t="str">
        <f t="shared" si="3"/>
        <v>1398</v>
      </c>
      <c r="N82" s="5"/>
      <c r="O82" s="2">
        <v>44.0</v>
      </c>
      <c r="P82" s="5"/>
      <c r="Q82" s="5"/>
      <c r="R82" s="6" t="s">
        <v>200</v>
      </c>
      <c r="S82" s="5"/>
      <c r="T82" s="1" t="str">
        <f>IFERROR(__xludf.DUMMYFUNCTION("INDEX(SPLIT(A82, ""/""), 2)"),"انجمن‌های علمی و نشریات وابسته به دانشکده‌ها")</f>
        <v>انجمن‌های علمی و نشریات وابسته به دانشکده‌ها</v>
      </c>
      <c r="U82" s="1" t="str">
        <f>IFERROR(__xludf.DUMMYFUNCTION("INDEX(SPLIT(A82, ""/""), 3)"),"دانشکده مهندسی هوافضا")</f>
        <v>دانشکده مهندسی هوافضا</v>
      </c>
      <c r="V82" s="1" t="str">
        <f>IFERROR(__xludf.DUMMYFUNCTION("INDEX(SPLIT(A82, ""/""), 4)"),"اوج")</f>
        <v>اوج</v>
      </c>
    </row>
    <row r="83">
      <c r="A83" s="1" t="s">
        <v>219</v>
      </c>
      <c r="B83" s="1" t="s">
        <v>361</v>
      </c>
      <c r="C83" s="1" t="s">
        <v>21</v>
      </c>
      <c r="D83" s="4" t="s">
        <v>362</v>
      </c>
      <c r="E83" s="1" t="s">
        <v>222</v>
      </c>
      <c r="F83" s="1" t="s">
        <v>299</v>
      </c>
      <c r="G83" s="1" t="s">
        <v>299</v>
      </c>
      <c r="H83" s="1" t="s">
        <v>217</v>
      </c>
      <c r="I83" s="1" t="str">
        <f t="shared" si="1"/>
        <v>x</v>
      </c>
      <c r="J83" s="5"/>
      <c r="K83" s="1" t="str">
        <f t="shared" si="2"/>
        <v>12</v>
      </c>
      <c r="L83" s="5"/>
      <c r="M83" s="2" t="str">
        <f t="shared" si="3"/>
        <v>1398</v>
      </c>
      <c r="N83" s="5"/>
      <c r="O83" s="2">
        <v>45.0</v>
      </c>
      <c r="P83" s="5"/>
      <c r="Q83" s="5"/>
      <c r="R83" s="6" t="s">
        <v>218</v>
      </c>
      <c r="S83" s="5"/>
      <c r="T83" s="1" t="str">
        <f>IFERROR(__xludf.DUMMYFUNCTION("INDEX(SPLIT(A83, ""/""), 2)"),"انجمن‌های علمی و نشریات وابسته به دانشکده‌ها")</f>
        <v>انجمن‌های علمی و نشریات وابسته به دانشکده‌ها</v>
      </c>
      <c r="U83" s="1" t="str">
        <f>IFERROR(__xludf.DUMMYFUNCTION("INDEX(SPLIT(A83, ""/""), 3)"),"دانشکده مهندسی هوافضا")</f>
        <v>دانشکده مهندسی هوافضا</v>
      </c>
      <c r="V83" s="1" t="str">
        <f>IFERROR(__xludf.DUMMYFUNCTION("INDEX(SPLIT(A83, ""/""), 4)"),"اوج")</f>
        <v>اوج</v>
      </c>
    </row>
    <row r="84">
      <c r="A84" s="1" t="s">
        <v>219</v>
      </c>
      <c r="B84" s="1" t="s">
        <v>363</v>
      </c>
      <c r="C84" s="1" t="s">
        <v>21</v>
      </c>
      <c r="D84" s="4" t="s">
        <v>364</v>
      </c>
      <c r="E84" s="1" t="s">
        <v>222</v>
      </c>
      <c r="F84" s="1" t="s">
        <v>365</v>
      </c>
      <c r="G84" s="1" t="s">
        <v>366</v>
      </c>
      <c r="H84" s="1" t="s">
        <v>367</v>
      </c>
      <c r="I84" s="1" t="str">
        <f t="shared" si="1"/>
        <v>x</v>
      </c>
      <c r="J84" s="5"/>
      <c r="K84" s="1" t="str">
        <f t="shared" si="2"/>
        <v>1</v>
      </c>
      <c r="L84" s="5"/>
      <c r="M84" s="2" t="str">
        <f t="shared" si="3"/>
        <v>1399</v>
      </c>
      <c r="N84" s="5"/>
      <c r="O84" s="2">
        <v>46.0</v>
      </c>
      <c r="P84" s="5"/>
      <c r="Q84" s="5"/>
      <c r="R84" s="6" t="s">
        <v>368</v>
      </c>
      <c r="S84" s="5"/>
      <c r="T84" s="1" t="str">
        <f>IFERROR(__xludf.DUMMYFUNCTION("INDEX(SPLIT(A84, ""/""), 2)"),"انجمن‌های علمی و نشریات وابسته به دانشکده‌ها")</f>
        <v>انجمن‌های علمی و نشریات وابسته به دانشکده‌ها</v>
      </c>
      <c r="U84" s="1" t="str">
        <f>IFERROR(__xludf.DUMMYFUNCTION("INDEX(SPLIT(A84, ""/""), 3)"),"دانشکده مهندسی هوافضا")</f>
        <v>دانشکده مهندسی هوافضا</v>
      </c>
      <c r="V84" s="1" t="str">
        <f>IFERROR(__xludf.DUMMYFUNCTION("INDEX(SPLIT(A84, ""/""), 4)"),"اوج")</f>
        <v>اوج</v>
      </c>
    </row>
    <row r="85">
      <c r="A85" s="1" t="s">
        <v>219</v>
      </c>
      <c r="B85" s="1" t="s">
        <v>369</v>
      </c>
      <c r="C85" s="1" t="s">
        <v>21</v>
      </c>
      <c r="D85" s="4" t="s">
        <v>370</v>
      </c>
      <c r="E85" s="1" t="s">
        <v>222</v>
      </c>
      <c r="F85" s="1" t="s">
        <v>365</v>
      </c>
      <c r="G85" s="1" t="s">
        <v>366</v>
      </c>
      <c r="H85" s="1" t="s">
        <v>371</v>
      </c>
      <c r="I85" s="1" t="str">
        <f t="shared" si="1"/>
        <v>x</v>
      </c>
      <c r="J85" s="5"/>
      <c r="K85" s="1" t="str">
        <f t="shared" si="2"/>
        <v>2</v>
      </c>
      <c r="L85" s="5"/>
      <c r="M85" s="2" t="str">
        <f t="shared" si="3"/>
        <v>1399</v>
      </c>
      <c r="N85" s="5"/>
      <c r="O85" s="2">
        <v>47.0</v>
      </c>
      <c r="P85" s="5"/>
      <c r="Q85" s="5"/>
      <c r="R85" s="6" t="s">
        <v>372</v>
      </c>
      <c r="S85" s="5"/>
      <c r="T85" s="1" t="str">
        <f>IFERROR(__xludf.DUMMYFUNCTION("INDEX(SPLIT(A85, ""/""), 2)"),"انجمن‌های علمی و نشریات وابسته به دانشکده‌ها")</f>
        <v>انجمن‌های علمی و نشریات وابسته به دانشکده‌ها</v>
      </c>
      <c r="U85" s="1" t="str">
        <f>IFERROR(__xludf.DUMMYFUNCTION("INDEX(SPLIT(A85, ""/""), 3)"),"دانشکده مهندسی هوافضا")</f>
        <v>دانشکده مهندسی هوافضا</v>
      </c>
      <c r="V85" s="1" t="str">
        <f>IFERROR(__xludf.DUMMYFUNCTION("INDEX(SPLIT(A85, ""/""), 4)"),"اوج")</f>
        <v>اوج</v>
      </c>
    </row>
    <row r="86">
      <c r="A86" s="1" t="s">
        <v>219</v>
      </c>
      <c r="B86" s="1" t="s">
        <v>373</v>
      </c>
      <c r="C86" s="1" t="s">
        <v>21</v>
      </c>
      <c r="D86" s="4" t="s">
        <v>374</v>
      </c>
      <c r="E86" s="1" t="s">
        <v>222</v>
      </c>
      <c r="F86" s="1" t="s">
        <v>365</v>
      </c>
      <c r="G86" s="1" t="s">
        <v>366</v>
      </c>
      <c r="H86" s="1" t="s">
        <v>375</v>
      </c>
      <c r="I86" s="1" t="str">
        <f t="shared" si="1"/>
        <v>x</v>
      </c>
      <c r="J86" s="5"/>
      <c r="K86" s="1" t="str">
        <f t="shared" si="2"/>
        <v>3</v>
      </c>
      <c r="L86" s="5"/>
      <c r="M86" s="2" t="str">
        <f t="shared" si="3"/>
        <v>1399</v>
      </c>
      <c r="N86" s="5"/>
      <c r="O86" s="2">
        <v>48.0</v>
      </c>
      <c r="P86" s="5"/>
      <c r="Q86" s="5"/>
      <c r="R86" s="6" t="s">
        <v>376</v>
      </c>
      <c r="S86" s="5"/>
      <c r="T86" s="1" t="str">
        <f>IFERROR(__xludf.DUMMYFUNCTION("INDEX(SPLIT(A86, ""/""), 2)"),"انجمن‌های علمی و نشریات وابسته به دانشکده‌ها")</f>
        <v>انجمن‌های علمی و نشریات وابسته به دانشکده‌ها</v>
      </c>
      <c r="U86" s="1" t="str">
        <f>IFERROR(__xludf.DUMMYFUNCTION("INDEX(SPLIT(A86, ""/""), 3)"),"دانشکده مهندسی هوافضا")</f>
        <v>دانشکده مهندسی هوافضا</v>
      </c>
      <c r="V86" s="1" t="str">
        <f>IFERROR(__xludf.DUMMYFUNCTION("INDEX(SPLIT(A86, ""/""), 4)"),"اوج")</f>
        <v>اوج</v>
      </c>
    </row>
    <row r="87">
      <c r="A87" s="1" t="s">
        <v>219</v>
      </c>
      <c r="B87" s="1" t="s">
        <v>377</v>
      </c>
      <c r="C87" s="1" t="s">
        <v>21</v>
      </c>
      <c r="D87" s="4" t="s">
        <v>378</v>
      </c>
      <c r="E87" s="1" t="s">
        <v>222</v>
      </c>
      <c r="F87" s="1" t="s">
        <v>365</v>
      </c>
      <c r="G87" s="1" t="s">
        <v>366</v>
      </c>
      <c r="H87" s="1" t="s">
        <v>379</v>
      </c>
      <c r="I87" s="1" t="str">
        <f t="shared" si="1"/>
        <v>x</v>
      </c>
      <c r="J87" s="5"/>
      <c r="K87" s="1" t="str">
        <f t="shared" si="2"/>
        <v>5</v>
      </c>
      <c r="L87" s="5"/>
      <c r="M87" s="2" t="str">
        <f t="shared" si="3"/>
        <v>1399</v>
      </c>
      <c r="N87" s="5"/>
      <c r="O87" s="2">
        <v>49.0</v>
      </c>
      <c r="P87" s="5"/>
      <c r="Q87" s="5"/>
      <c r="R87" s="6" t="s">
        <v>380</v>
      </c>
      <c r="S87" s="5"/>
      <c r="T87" s="1" t="str">
        <f>IFERROR(__xludf.DUMMYFUNCTION("INDEX(SPLIT(A87, ""/""), 2)"),"انجمن‌های علمی و نشریات وابسته به دانشکده‌ها")</f>
        <v>انجمن‌های علمی و نشریات وابسته به دانشکده‌ها</v>
      </c>
      <c r="U87" s="1" t="str">
        <f>IFERROR(__xludf.DUMMYFUNCTION("INDEX(SPLIT(A87, ""/""), 3)"),"دانشکده مهندسی هوافضا")</f>
        <v>دانشکده مهندسی هوافضا</v>
      </c>
      <c r="V87" s="1" t="str">
        <f>IFERROR(__xludf.DUMMYFUNCTION("INDEX(SPLIT(A87, ""/""), 4)"),"اوج")</f>
        <v>اوج</v>
      </c>
    </row>
    <row r="88">
      <c r="A88" s="1" t="s">
        <v>219</v>
      </c>
      <c r="B88" s="1" t="s">
        <v>381</v>
      </c>
      <c r="C88" s="1" t="s">
        <v>21</v>
      </c>
      <c r="D88" s="4" t="s">
        <v>382</v>
      </c>
      <c r="E88" s="1" t="s">
        <v>222</v>
      </c>
      <c r="F88" s="1" t="s">
        <v>365</v>
      </c>
      <c r="G88" s="1" t="s">
        <v>366</v>
      </c>
      <c r="H88" s="1" t="s">
        <v>383</v>
      </c>
      <c r="I88" s="1" t="str">
        <f t="shared" si="1"/>
        <v>x</v>
      </c>
      <c r="J88" s="5"/>
      <c r="K88" s="1" t="str">
        <f t="shared" si="2"/>
        <v>6</v>
      </c>
      <c r="L88" s="5"/>
      <c r="M88" s="2" t="str">
        <f t="shared" si="3"/>
        <v>1399</v>
      </c>
      <c r="N88" s="5"/>
      <c r="O88" s="2">
        <v>50.0</v>
      </c>
      <c r="P88" s="5"/>
      <c r="Q88" s="5"/>
      <c r="R88" s="6" t="s">
        <v>384</v>
      </c>
      <c r="S88" s="5"/>
      <c r="T88" s="1" t="str">
        <f>IFERROR(__xludf.DUMMYFUNCTION("INDEX(SPLIT(A88, ""/""), 2)"),"انجمن‌های علمی و نشریات وابسته به دانشکده‌ها")</f>
        <v>انجمن‌های علمی و نشریات وابسته به دانشکده‌ها</v>
      </c>
      <c r="U88" s="1" t="str">
        <f>IFERROR(__xludf.DUMMYFUNCTION("INDEX(SPLIT(A88, ""/""), 3)"),"دانشکده مهندسی هوافضا")</f>
        <v>دانشکده مهندسی هوافضا</v>
      </c>
      <c r="V88" s="1" t="str">
        <f>IFERROR(__xludf.DUMMYFUNCTION("INDEX(SPLIT(A88, ""/""), 4)"),"اوج")</f>
        <v>اوج</v>
      </c>
    </row>
    <row r="89">
      <c r="A89" s="1" t="s">
        <v>219</v>
      </c>
      <c r="B89" s="1" t="s">
        <v>385</v>
      </c>
      <c r="C89" s="1" t="s">
        <v>21</v>
      </c>
      <c r="D89" s="4" t="s">
        <v>386</v>
      </c>
      <c r="E89" s="1" t="s">
        <v>222</v>
      </c>
      <c r="F89" s="1" t="s">
        <v>365</v>
      </c>
      <c r="G89" s="1" t="s">
        <v>366</v>
      </c>
      <c r="H89" s="1" t="s">
        <v>32</v>
      </c>
      <c r="I89" s="1" t="str">
        <f t="shared" si="1"/>
        <v>x</v>
      </c>
      <c r="J89" s="5"/>
      <c r="K89" s="1" t="str">
        <f t="shared" si="2"/>
        <v>8</v>
      </c>
      <c r="L89" s="5"/>
      <c r="M89" s="2" t="str">
        <f t="shared" si="3"/>
        <v>1399</v>
      </c>
      <c r="N89" s="5"/>
      <c r="O89" s="2">
        <v>51.0</v>
      </c>
      <c r="P89" s="5"/>
      <c r="Q89" s="5"/>
      <c r="R89" s="6" t="s">
        <v>33</v>
      </c>
      <c r="S89" s="5"/>
      <c r="T89" s="1" t="str">
        <f>IFERROR(__xludf.DUMMYFUNCTION("INDEX(SPLIT(A89, ""/""), 2)"),"انجمن‌های علمی و نشریات وابسته به دانشکده‌ها")</f>
        <v>انجمن‌های علمی و نشریات وابسته به دانشکده‌ها</v>
      </c>
      <c r="U89" s="1" t="str">
        <f>IFERROR(__xludf.DUMMYFUNCTION("INDEX(SPLIT(A89, ""/""), 3)"),"دانشکده مهندسی هوافضا")</f>
        <v>دانشکده مهندسی هوافضا</v>
      </c>
      <c r="V89" s="1" t="str">
        <f>IFERROR(__xludf.DUMMYFUNCTION("INDEX(SPLIT(A89, ""/""), 4)"),"اوج")</f>
        <v>اوج</v>
      </c>
    </row>
    <row r="90">
      <c r="A90" s="1" t="s">
        <v>219</v>
      </c>
      <c r="B90" s="1" t="s">
        <v>387</v>
      </c>
      <c r="C90" s="1" t="s">
        <v>21</v>
      </c>
      <c r="D90" s="4" t="s">
        <v>388</v>
      </c>
      <c r="E90" s="1" t="s">
        <v>222</v>
      </c>
      <c r="F90" s="1" t="s">
        <v>365</v>
      </c>
      <c r="G90" s="1" t="s">
        <v>366</v>
      </c>
      <c r="H90" s="1" t="s">
        <v>38</v>
      </c>
      <c r="I90" s="1" t="str">
        <f t="shared" si="1"/>
        <v>x</v>
      </c>
      <c r="J90" s="5"/>
      <c r="K90" s="1" t="str">
        <f t="shared" si="2"/>
        <v>9</v>
      </c>
      <c r="L90" s="5"/>
      <c r="M90" s="2" t="str">
        <f t="shared" si="3"/>
        <v>1399</v>
      </c>
      <c r="N90" s="5"/>
      <c r="O90" s="2">
        <v>52.0</v>
      </c>
      <c r="P90" s="5"/>
      <c r="Q90" s="5"/>
      <c r="R90" s="6" t="s">
        <v>39</v>
      </c>
      <c r="S90" s="5"/>
      <c r="T90" s="1" t="str">
        <f>IFERROR(__xludf.DUMMYFUNCTION("INDEX(SPLIT(A90, ""/""), 2)"),"انجمن‌های علمی و نشریات وابسته به دانشکده‌ها")</f>
        <v>انجمن‌های علمی و نشریات وابسته به دانشکده‌ها</v>
      </c>
      <c r="U90" s="1" t="str">
        <f>IFERROR(__xludf.DUMMYFUNCTION("INDEX(SPLIT(A90, ""/""), 3)"),"دانشکده مهندسی هوافضا")</f>
        <v>دانشکده مهندسی هوافضا</v>
      </c>
      <c r="V90" s="1" t="str">
        <f>IFERROR(__xludf.DUMMYFUNCTION("INDEX(SPLIT(A90, ""/""), 4)"),"اوج")</f>
        <v>اوج</v>
      </c>
    </row>
    <row r="91">
      <c r="A91" s="1" t="s">
        <v>219</v>
      </c>
      <c r="B91" s="1" t="s">
        <v>389</v>
      </c>
      <c r="C91" s="1" t="s">
        <v>21</v>
      </c>
      <c r="D91" s="4" t="s">
        <v>390</v>
      </c>
      <c r="E91" s="1" t="s">
        <v>222</v>
      </c>
      <c r="F91" s="1" t="s">
        <v>365</v>
      </c>
      <c r="G91" s="1" t="s">
        <v>366</v>
      </c>
      <c r="H91" s="1" t="s">
        <v>44</v>
      </c>
      <c r="I91" s="1" t="str">
        <f t="shared" si="1"/>
        <v>x</v>
      </c>
      <c r="J91" s="5"/>
      <c r="K91" s="1" t="str">
        <f t="shared" si="2"/>
        <v>10</v>
      </c>
      <c r="L91" s="5"/>
      <c r="M91" s="2" t="str">
        <f t="shared" si="3"/>
        <v>1399</v>
      </c>
      <c r="N91" s="5"/>
      <c r="O91" s="2">
        <v>53.0</v>
      </c>
      <c r="P91" s="5"/>
      <c r="Q91" s="5"/>
      <c r="R91" s="6" t="s">
        <v>45</v>
      </c>
      <c r="S91" s="5"/>
      <c r="T91" s="1" t="str">
        <f>IFERROR(__xludf.DUMMYFUNCTION("INDEX(SPLIT(A91, ""/""), 2)"),"انجمن‌های علمی و نشریات وابسته به دانشکده‌ها")</f>
        <v>انجمن‌های علمی و نشریات وابسته به دانشکده‌ها</v>
      </c>
      <c r="U91" s="1" t="str">
        <f>IFERROR(__xludf.DUMMYFUNCTION("INDEX(SPLIT(A91, ""/""), 3)"),"دانشکده مهندسی هوافضا")</f>
        <v>دانشکده مهندسی هوافضا</v>
      </c>
      <c r="V91" s="1" t="str">
        <f>IFERROR(__xludf.DUMMYFUNCTION("INDEX(SPLIT(A91, ""/""), 4)"),"اوج")</f>
        <v>اوج</v>
      </c>
    </row>
    <row r="92">
      <c r="A92" s="1" t="s">
        <v>219</v>
      </c>
      <c r="B92" s="1" t="s">
        <v>391</v>
      </c>
      <c r="C92" s="1" t="s">
        <v>21</v>
      </c>
      <c r="D92" s="4" t="s">
        <v>392</v>
      </c>
      <c r="E92" s="1" t="s">
        <v>222</v>
      </c>
      <c r="F92" s="1" t="s">
        <v>365</v>
      </c>
      <c r="G92" s="1" t="s">
        <v>366</v>
      </c>
      <c r="H92" s="1" t="s">
        <v>129</v>
      </c>
      <c r="I92" s="1" t="str">
        <f t="shared" si="1"/>
        <v>x</v>
      </c>
      <c r="J92" s="5"/>
      <c r="K92" s="1" t="str">
        <f t="shared" si="2"/>
        <v>11</v>
      </c>
      <c r="L92" s="5"/>
      <c r="M92" s="2" t="str">
        <f t="shared" si="3"/>
        <v>1399</v>
      </c>
      <c r="N92" s="5"/>
      <c r="O92" s="2">
        <v>54.0</v>
      </c>
      <c r="P92" s="5"/>
      <c r="Q92" s="5"/>
      <c r="R92" s="6" t="s">
        <v>130</v>
      </c>
      <c r="S92" s="5"/>
      <c r="T92" s="1" t="str">
        <f>IFERROR(__xludf.DUMMYFUNCTION("INDEX(SPLIT(A92, ""/""), 2)"),"انجمن‌های علمی و نشریات وابسته به دانشکده‌ها")</f>
        <v>انجمن‌های علمی و نشریات وابسته به دانشکده‌ها</v>
      </c>
      <c r="U92" s="1" t="str">
        <f>IFERROR(__xludf.DUMMYFUNCTION("INDEX(SPLIT(A92, ""/""), 3)"),"دانشکده مهندسی هوافضا")</f>
        <v>دانشکده مهندسی هوافضا</v>
      </c>
      <c r="V92" s="1" t="str">
        <f>IFERROR(__xludf.DUMMYFUNCTION("INDEX(SPLIT(A92, ""/""), 4)"),"اوج")</f>
        <v>اوج</v>
      </c>
    </row>
    <row r="93">
      <c r="A93" s="1" t="s">
        <v>219</v>
      </c>
      <c r="B93" s="1" t="s">
        <v>393</v>
      </c>
      <c r="C93" s="1" t="s">
        <v>21</v>
      </c>
      <c r="D93" s="4" t="s">
        <v>394</v>
      </c>
      <c r="E93" s="1" t="s">
        <v>222</v>
      </c>
      <c r="F93" s="1" t="s">
        <v>365</v>
      </c>
      <c r="G93" s="1" t="s">
        <v>366</v>
      </c>
      <c r="H93" s="1" t="s">
        <v>48</v>
      </c>
      <c r="I93" s="1" t="str">
        <f t="shared" si="1"/>
        <v>x</v>
      </c>
      <c r="J93" s="5"/>
      <c r="K93" s="1" t="str">
        <f t="shared" si="2"/>
        <v>12</v>
      </c>
      <c r="L93" s="5"/>
      <c r="M93" s="2" t="str">
        <f t="shared" si="3"/>
        <v>1399</v>
      </c>
      <c r="N93" s="5"/>
      <c r="O93" s="2">
        <v>55.0</v>
      </c>
      <c r="P93" s="5"/>
      <c r="Q93" s="5"/>
      <c r="R93" s="6" t="s">
        <v>49</v>
      </c>
      <c r="S93" s="5"/>
      <c r="T93" s="1" t="str">
        <f>IFERROR(__xludf.DUMMYFUNCTION("INDEX(SPLIT(A93, ""/""), 2)"),"انجمن‌های علمی و نشریات وابسته به دانشکده‌ها")</f>
        <v>انجمن‌های علمی و نشریات وابسته به دانشکده‌ها</v>
      </c>
      <c r="U93" s="1" t="str">
        <f>IFERROR(__xludf.DUMMYFUNCTION("INDEX(SPLIT(A93, ""/""), 3)"),"دانشکده مهندسی هوافضا")</f>
        <v>دانشکده مهندسی هوافضا</v>
      </c>
      <c r="V93" s="1" t="str">
        <f>IFERROR(__xludf.DUMMYFUNCTION("INDEX(SPLIT(A93, ""/""), 4)"),"اوج")</f>
        <v>اوج</v>
      </c>
    </row>
    <row r="94">
      <c r="A94" s="1" t="s">
        <v>219</v>
      </c>
      <c r="B94" s="1" t="s">
        <v>395</v>
      </c>
      <c r="C94" s="1" t="s">
        <v>21</v>
      </c>
      <c r="D94" s="4" t="s">
        <v>396</v>
      </c>
      <c r="E94" s="1" t="s">
        <v>222</v>
      </c>
      <c r="F94" s="1" t="s">
        <v>365</v>
      </c>
      <c r="G94" s="1" t="s">
        <v>366</v>
      </c>
      <c r="H94" s="1" t="s">
        <v>60</v>
      </c>
      <c r="I94" s="1" t="str">
        <f t="shared" si="1"/>
        <v>x</v>
      </c>
      <c r="J94" s="5"/>
      <c r="K94" s="1" t="str">
        <f t="shared" si="2"/>
        <v>2</v>
      </c>
      <c r="L94" s="5"/>
      <c r="M94" s="2" t="str">
        <f t="shared" si="3"/>
        <v>1400</v>
      </c>
      <c r="N94" s="5"/>
      <c r="O94" s="2">
        <v>56.0</v>
      </c>
      <c r="P94" s="5"/>
      <c r="Q94" s="5"/>
      <c r="R94" s="6" t="s">
        <v>61</v>
      </c>
      <c r="S94" s="5"/>
      <c r="T94" s="1" t="str">
        <f>IFERROR(__xludf.DUMMYFUNCTION("INDEX(SPLIT(A94, ""/""), 2)"),"انجمن‌های علمی و نشریات وابسته به دانشکده‌ها")</f>
        <v>انجمن‌های علمی و نشریات وابسته به دانشکده‌ها</v>
      </c>
      <c r="U94" s="1" t="str">
        <f>IFERROR(__xludf.DUMMYFUNCTION("INDEX(SPLIT(A94, ""/""), 3)"),"دانشکده مهندسی هوافضا")</f>
        <v>دانشکده مهندسی هوافضا</v>
      </c>
      <c r="V94" s="1" t="str">
        <f>IFERROR(__xludf.DUMMYFUNCTION("INDEX(SPLIT(A94, ""/""), 4)"),"اوج")</f>
        <v>اوج</v>
      </c>
    </row>
    <row r="95">
      <c r="A95" s="1" t="s">
        <v>219</v>
      </c>
      <c r="B95" s="1" t="s">
        <v>397</v>
      </c>
      <c r="C95" s="1" t="s">
        <v>21</v>
      </c>
      <c r="D95" s="4" t="s">
        <v>398</v>
      </c>
      <c r="E95" s="1" t="s">
        <v>222</v>
      </c>
      <c r="F95" s="1" t="s">
        <v>365</v>
      </c>
      <c r="G95" s="1" t="s">
        <v>399</v>
      </c>
      <c r="H95" s="1" t="s">
        <v>66</v>
      </c>
      <c r="I95" s="1" t="str">
        <f t="shared" si="1"/>
        <v>x</v>
      </c>
      <c r="J95" s="5"/>
      <c r="K95" s="1" t="str">
        <f t="shared" si="2"/>
        <v>3</v>
      </c>
      <c r="L95" s="5"/>
      <c r="M95" s="2" t="str">
        <f t="shared" si="3"/>
        <v>1400</v>
      </c>
      <c r="N95" s="5"/>
      <c r="O95" s="2">
        <v>57.0</v>
      </c>
      <c r="P95" s="5"/>
      <c r="Q95" s="5"/>
      <c r="R95" s="6" t="s">
        <v>67</v>
      </c>
      <c r="S95" s="5"/>
      <c r="T95" s="1" t="str">
        <f>IFERROR(__xludf.DUMMYFUNCTION("INDEX(SPLIT(A95, ""/""), 2)"),"انجمن‌های علمی و نشریات وابسته به دانشکده‌ها")</f>
        <v>انجمن‌های علمی و نشریات وابسته به دانشکده‌ها</v>
      </c>
      <c r="U95" s="1" t="str">
        <f>IFERROR(__xludf.DUMMYFUNCTION("INDEX(SPLIT(A95, ""/""), 3)"),"دانشکده مهندسی هوافضا")</f>
        <v>دانشکده مهندسی هوافضا</v>
      </c>
      <c r="V95" s="1" t="str">
        <f>IFERROR(__xludf.DUMMYFUNCTION("INDEX(SPLIT(A95, ""/""), 4)"),"اوج")</f>
        <v>اوج</v>
      </c>
    </row>
    <row r="96">
      <c r="A96" s="1" t="s">
        <v>219</v>
      </c>
      <c r="B96" s="1" t="s">
        <v>400</v>
      </c>
      <c r="C96" s="1" t="s">
        <v>21</v>
      </c>
      <c r="D96" s="4" t="s">
        <v>401</v>
      </c>
      <c r="E96" s="1" t="s">
        <v>222</v>
      </c>
      <c r="F96" s="1" t="s">
        <v>365</v>
      </c>
      <c r="G96" s="1" t="s">
        <v>399</v>
      </c>
      <c r="H96" s="1" t="s">
        <v>402</v>
      </c>
      <c r="I96" s="1" t="str">
        <f t="shared" si="1"/>
        <v>x</v>
      </c>
      <c r="J96" s="5"/>
      <c r="K96" s="1" t="str">
        <f t="shared" si="2"/>
        <v>4</v>
      </c>
      <c r="L96" s="5"/>
      <c r="M96" s="2" t="str">
        <f t="shared" si="3"/>
        <v>1400</v>
      </c>
      <c r="N96" s="5"/>
      <c r="O96" s="2">
        <v>58.0</v>
      </c>
      <c r="P96" s="5"/>
      <c r="Q96" s="5"/>
      <c r="R96" s="6" t="s">
        <v>403</v>
      </c>
      <c r="S96" s="5"/>
      <c r="T96" s="1" t="str">
        <f>IFERROR(__xludf.DUMMYFUNCTION("INDEX(SPLIT(A96, ""/""), 2)"),"انجمن‌های علمی و نشریات وابسته به دانشکده‌ها")</f>
        <v>انجمن‌های علمی و نشریات وابسته به دانشکده‌ها</v>
      </c>
      <c r="U96" s="1" t="str">
        <f>IFERROR(__xludf.DUMMYFUNCTION("INDEX(SPLIT(A96, ""/""), 3)"),"دانشکده مهندسی هوافضا")</f>
        <v>دانشکده مهندسی هوافضا</v>
      </c>
      <c r="V96" s="1" t="str">
        <f>IFERROR(__xludf.DUMMYFUNCTION("INDEX(SPLIT(A96, ""/""), 4)"),"اوج")</f>
        <v>اوج</v>
      </c>
    </row>
    <row r="97">
      <c r="A97" s="1" t="s">
        <v>219</v>
      </c>
      <c r="B97" s="1" t="s">
        <v>404</v>
      </c>
      <c r="C97" s="1" t="s">
        <v>21</v>
      </c>
      <c r="D97" s="4" t="s">
        <v>405</v>
      </c>
      <c r="E97" s="1" t="s">
        <v>222</v>
      </c>
      <c r="F97" s="1" t="s">
        <v>365</v>
      </c>
      <c r="G97" s="1" t="s">
        <v>399</v>
      </c>
      <c r="H97" s="1" t="s">
        <v>133</v>
      </c>
      <c r="I97" s="1" t="str">
        <f t="shared" si="1"/>
        <v>x</v>
      </c>
      <c r="J97" s="5"/>
      <c r="K97" s="1" t="str">
        <f t="shared" si="2"/>
        <v>5</v>
      </c>
      <c r="L97" s="5"/>
      <c r="M97" s="2" t="str">
        <f t="shared" si="3"/>
        <v>1400</v>
      </c>
      <c r="N97" s="5"/>
      <c r="O97" s="2">
        <v>59.0</v>
      </c>
      <c r="P97" s="5"/>
      <c r="Q97" s="5"/>
      <c r="R97" s="6" t="s">
        <v>134</v>
      </c>
      <c r="S97" s="5"/>
      <c r="T97" s="1" t="str">
        <f>IFERROR(__xludf.DUMMYFUNCTION("INDEX(SPLIT(A97, ""/""), 2)"),"انجمن‌های علمی و نشریات وابسته به دانشکده‌ها")</f>
        <v>انجمن‌های علمی و نشریات وابسته به دانشکده‌ها</v>
      </c>
      <c r="U97" s="1" t="str">
        <f>IFERROR(__xludf.DUMMYFUNCTION("INDEX(SPLIT(A97, ""/""), 3)"),"دانشکده مهندسی هوافضا")</f>
        <v>دانشکده مهندسی هوافضا</v>
      </c>
      <c r="V97" s="1" t="str">
        <f>IFERROR(__xludf.DUMMYFUNCTION("INDEX(SPLIT(A97, ""/""), 4)"),"اوج")</f>
        <v>اوج</v>
      </c>
    </row>
    <row r="98">
      <c r="A98" s="1" t="s">
        <v>219</v>
      </c>
      <c r="B98" s="1" t="s">
        <v>406</v>
      </c>
      <c r="C98" s="1" t="s">
        <v>21</v>
      </c>
      <c r="D98" s="4" t="s">
        <v>407</v>
      </c>
      <c r="E98" s="1" t="s">
        <v>222</v>
      </c>
      <c r="F98" s="1" t="s">
        <v>365</v>
      </c>
      <c r="G98" s="1" t="s">
        <v>399</v>
      </c>
      <c r="H98" s="1" t="s">
        <v>408</v>
      </c>
      <c r="I98" s="1" t="str">
        <f t="shared" si="1"/>
        <v>x</v>
      </c>
      <c r="J98" s="5"/>
      <c r="K98" s="1" t="str">
        <f t="shared" si="2"/>
        <v>7</v>
      </c>
      <c r="L98" s="5"/>
      <c r="M98" s="2" t="str">
        <f t="shared" si="3"/>
        <v>1400</v>
      </c>
      <c r="N98" s="5"/>
      <c r="O98" s="2">
        <v>60.0</v>
      </c>
      <c r="P98" s="5"/>
      <c r="Q98" s="5"/>
      <c r="R98" s="6" t="s">
        <v>409</v>
      </c>
      <c r="S98" s="5"/>
      <c r="T98" s="1" t="str">
        <f>IFERROR(__xludf.DUMMYFUNCTION("INDEX(SPLIT(A98, ""/""), 2)"),"انجمن‌های علمی و نشریات وابسته به دانشکده‌ها")</f>
        <v>انجمن‌های علمی و نشریات وابسته به دانشکده‌ها</v>
      </c>
      <c r="U98" s="1" t="str">
        <f>IFERROR(__xludf.DUMMYFUNCTION("INDEX(SPLIT(A98, ""/""), 3)"),"دانشکده مهندسی هوافضا")</f>
        <v>دانشکده مهندسی هوافضا</v>
      </c>
      <c r="V98" s="1" t="str">
        <f>IFERROR(__xludf.DUMMYFUNCTION("INDEX(SPLIT(A98, ""/""), 4)"),"اوج")</f>
        <v>اوج</v>
      </c>
    </row>
    <row r="99">
      <c r="A99" s="1" t="s">
        <v>219</v>
      </c>
      <c r="B99" s="1" t="s">
        <v>410</v>
      </c>
      <c r="C99" s="1" t="s">
        <v>21</v>
      </c>
      <c r="D99" s="4" t="s">
        <v>411</v>
      </c>
      <c r="E99" s="1" t="s">
        <v>222</v>
      </c>
      <c r="F99" s="1" t="s">
        <v>365</v>
      </c>
      <c r="G99" s="1" t="s">
        <v>399</v>
      </c>
      <c r="H99" s="1" t="s">
        <v>138</v>
      </c>
      <c r="I99" s="1" t="str">
        <f t="shared" si="1"/>
        <v>x</v>
      </c>
      <c r="J99" s="5"/>
      <c r="K99" s="1" t="str">
        <f t="shared" si="2"/>
        <v>8</v>
      </c>
      <c r="L99" s="5"/>
      <c r="M99" s="2" t="str">
        <f t="shared" si="3"/>
        <v>1400</v>
      </c>
      <c r="N99" s="5"/>
      <c r="O99" s="2">
        <v>61.0</v>
      </c>
      <c r="P99" s="5"/>
      <c r="Q99" s="5"/>
      <c r="R99" s="6" t="s">
        <v>139</v>
      </c>
      <c r="S99" s="5"/>
      <c r="T99" s="1" t="str">
        <f>IFERROR(__xludf.DUMMYFUNCTION("INDEX(SPLIT(A99, ""/""), 2)"),"انجمن‌های علمی و نشریات وابسته به دانشکده‌ها")</f>
        <v>انجمن‌های علمی و نشریات وابسته به دانشکده‌ها</v>
      </c>
      <c r="U99" s="1" t="str">
        <f>IFERROR(__xludf.DUMMYFUNCTION("INDEX(SPLIT(A99, ""/""), 3)"),"دانشکده مهندسی هوافضا")</f>
        <v>دانشکده مهندسی هوافضا</v>
      </c>
      <c r="V99" s="1" t="str">
        <f>IFERROR(__xludf.DUMMYFUNCTION("INDEX(SPLIT(A99, ""/""), 4)"),"اوج")</f>
        <v>اوج</v>
      </c>
    </row>
    <row r="100">
      <c r="A100" s="1" t="s">
        <v>219</v>
      </c>
      <c r="B100" s="1" t="s">
        <v>412</v>
      </c>
      <c r="C100" s="1" t="s">
        <v>21</v>
      </c>
      <c r="D100" s="4" t="s">
        <v>413</v>
      </c>
      <c r="E100" s="1" t="s">
        <v>222</v>
      </c>
      <c r="F100" s="1" t="s">
        <v>365</v>
      </c>
      <c r="G100" s="1" t="s">
        <v>399</v>
      </c>
      <c r="H100" s="1" t="s">
        <v>414</v>
      </c>
      <c r="I100" s="1" t="str">
        <f t="shared" si="1"/>
        <v>x</v>
      </c>
      <c r="J100" s="5"/>
      <c r="K100" s="1" t="str">
        <f t="shared" si="2"/>
        <v>9</v>
      </c>
      <c r="L100" s="5"/>
      <c r="M100" s="2" t="str">
        <f t="shared" si="3"/>
        <v>1400</v>
      </c>
      <c r="N100" s="5"/>
      <c r="O100" s="2">
        <v>62.0</v>
      </c>
      <c r="P100" s="5"/>
      <c r="Q100" s="5"/>
      <c r="R100" s="6" t="s">
        <v>415</v>
      </c>
      <c r="S100" s="5"/>
      <c r="T100" s="1" t="str">
        <f>IFERROR(__xludf.DUMMYFUNCTION("INDEX(SPLIT(A100, ""/""), 2)"),"انجمن‌های علمی و نشریات وابسته به دانشکده‌ها")</f>
        <v>انجمن‌های علمی و نشریات وابسته به دانشکده‌ها</v>
      </c>
      <c r="U100" s="1" t="str">
        <f>IFERROR(__xludf.DUMMYFUNCTION("INDEX(SPLIT(A100, ""/""), 3)"),"دانشکده مهندسی هوافضا")</f>
        <v>دانشکده مهندسی هوافضا</v>
      </c>
      <c r="V100" s="1" t="str">
        <f>IFERROR(__xludf.DUMMYFUNCTION("INDEX(SPLIT(A100, ""/""), 4)"),"اوج")</f>
        <v>اوج</v>
      </c>
    </row>
    <row r="101">
      <c r="A101" s="1" t="s">
        <v>219</v>
      </c>
      <c r="B101" s="1" t="s">
        <v>416</v>
      </c>
      <c r="C101" s="1" t="s">
        <v>21</v>
      </c>
      <c r="D101" s="4" t="s">
        <v>417</v>
      </c>
      <c r="E101" s="1" t="s">
        <v>222</v>
      </c>
      <c r="F101" s="1" t="s">
        <v>365</v>
      </c>
      <c r="G101" s="1" t="s">
        <v>399</v>
      </c>
      <c r="H101" s="1" t="s">
        <v>418</v>
      </c>
      <c r="I101" s="1" t="str">
        <f t="shared" si="1"/>
        <v>x</v>
      </c>
      <c r="J101" s="5"/>
      <c r="K101" s="1" t="str">
        <f t="shared" si="2"/>
        <v>11</v>
      </c>
      <c r="L101" s="5"/>
      <c r="M101" s="2" t="str">
        <f t="shared" si="3"/>
        <v>1400</v>
      </c>
      <c r="N101" s="5"/>
      <c r="O101" s="2">
        <v>63.0</v>
      </c>
      <c r="P101" s="5"/>
      <c r="Q101" s="5"/>
      <c r="R101" s="6" t="s">
        <v>419</v>
      </c>
      <c r="S101" s="5"/>
      <c r="T101" s="1" t="str">
        <f>IFERROR(__xludf.DUMMYFUNCTION("INDEX(SPLIT(A101, ""/""), 2)"),"انجمن‌های علمی و نشریات وابسته به دانشکده‌ها")</f>
        <v>انجمن‌های علمی و نشریات وابسته به دانشکده‌ها</v>
      </c>
      <c r="U101" s="1" t="str">
        <f>IFERROR(__xludf.DUMMYFUNCTION("INDEX(SPLIT(A101, ""/""), 3)"),"دانشکده مهندسی هوافضا")</f>
        <v>دانشکده مهندسی هوافضا</v>
      </c>
      <c r="V101" s="1" t="str">
        <f>IFERROR(__xludf.DUMMYFUNCTION("INDEX(SPLIT(A101, ""/""), 4)"),"اوج")</f>
        <v>اوج</v>
      </c>
    </row>
    <row r="102">
      <c r="A102" s="1" t="s">
        <v>219</v>
      </c>
      <c r="B102" s="1" t="s">
        <v>420</v>
      </c>
      <c r="C102" s="1" t="s">
        <v>21</v>
      </c>
      <c r="D102" s="4" t="s">
        <v>421</v>
      </c>
      <c r="E102" s="1" t="s">
        <v>222</v>
      </c>
      <c r="F102" s="1" t="s">
        <v>365</v>
      </c>
      <c r="G102" s="1" t="s">
        <v>399</v>
      </c>
      <c r="H102" s="1" t="s">
        <v>142</v>
      </c>
      <c r="I102" s="1" t="str">
        <f t="shared" si="1"/>
        <v>x</v>
      </c>
      <c r="J102" s="5"/>
      <c r="K102" s="1" t="str">
        <f t="shared" si="2"/>
        <v>12</v>
      </c>
      <c r="L102" s="5"/>
      <c r="M102" s="2" t="str">
        <f t="shared" si="3"/>
        <v>1400</v>
      </c>
      <c r="N102" s="5"/>
      <c r="O102" s="2">
        <v>64.0</v>
      </c>
      <c r="P102" s="5"/>
      <c r="Q102" s="5"/>
      <c r="R102" s="6" t="s">
        <v>143</v>
      </c>
      <c r="S102" s="5"/>
      <c r="T102" s="1" t="str">
        <f>IFERROR(__xludf.DUMMYFUNCTION("INDEX(SPLIT(A102, ""/""), 2)"),"انجمن‌های علمی و نشریات وابسته به دانشکده‌ها")</f>
        <v>انجمن‌های علمی و نشریات وابسته به دانشکده‌ها</v>
      </c>
      <c r="U102" s="1" t="str">
        <f>IFERROR(__xludf.DUMMYFUNCTION("INDEX(SPLIT(A102, ""/""), 3)"),"دانشکده مهندسی هوافضا")</f>
        <v>دانشکده مهندسی هوافضا</v>
      </c>
      <c r="V102" s="1" t="str">
        <f>IFERROR(__xludf.DUMMYFUNCTION("INDEX(SPLIT(A102, ""/""), 4)"),"اوج")</f>
        <v>اوج</v>
      </c>
    </row>
    <row r="103">
      <c r="A103" s="1" t="s">
        <v>219</v>
      </c>
      <c r="B103" s="1" t="s">
        <v>422</v>
      </c>
      <c r="C103" s="1" t="s">
        <v>21</v>
      </c>
      <c r="D103" s="4" t="s">
        <v>423</v>
      </c>
      <c r="E103" s="1" t="s">
        <v>222</v>
      </c>
      <c r="F103" s="1" t="s">
        <v>365</v>
      </c>
      <c r="G103" s="1" t="s">
        <v>399</v>
      </c>
      <c r="H103" s="1" t="s">
        <v>424</v>
      </c>
      <c r="I103" s="1" t="str">
        <f t="shared" si="1"/>
        <v>x</v>
      </c>
      <c r="J103" s="5"/>
      <c r="K103" s="1" t="str">
        <f t="shared" si="2"/>
        <v>2</v>
      </c>
      <c r="L103" s="5"/>
      <c r="M103" s="2" t="str">
        <f t="shared" si="3"/>
        <v>1401</v>
      </c>
      <c r="N103" s="5"/>
      <c r="O103" s="2">
        <v>65.0</v>
      </c>
      <c r="P103" s="5"/>
      <c r="Q103" s="5"/>
      <c r="R103" s="6" t="s">
        <v>425</v>
      </c>
      <c r="S103" s="5"/>
      <c r="T103" s="1" t="str">
        <f>IFERROR(__xludf.DUMMYFUNCTION("INDEX(SPLIT(A103, ""/""), 2)"),"انجمن‌های علمی و نشریات وابسته به دانشکده‌ها")</f>
        <v>انجمن‌های علمی و نشریات وابسته به دانشکده‌ها</v>
      </c>
      <c r="U103" s="1" t="str">
        <f>IFERROR(__xludf.DUMMYFUNCTION("INDEX(SPLIT(A103, ""/""), 3)"),"دانشکده مهندسی هوافضا")</f>
        <v>دانشکده مهندسی هوافضا</v>
      </c>
      <c r="V103" s="1" t="str">
        <f>IFERROR(__xludf.DUMMYFUNCTION("INDEX(SPLIT(A103, ""/""), 4)"),"اوج")</f>
        <v>اوج</v>
      </c>
    </row>
    <row r="104">
      <c r="A104" s="1" t="s">
        <v>219</v>
      </c>
      <c r="B104" s="1" t="s">
        <v>426</v>
      </c>
      <c r="C104" s="1" t="s">
        <v>21</v>
      </c>
      <c r="D104" s="4" t="s">
        <v>427</v>
      </c>
      <c r="E104" s="1" t="s">
        <v>222</v>
      </c>
      <c r="F104" s="1" t="s">
        <v>365</v>
      </c>
      <c r="G104" s="1" t="s">
        <v>428</v>
      </c>
      <c r="H104" s="1" t="s">
        <v>429</v>
      </c>
      <c r="I104" s="1" t="str">
        <f t="shared" si="1"/>
        <v>x</v>
      </c>
      <c r="J104" s="5"/>
      <c r="K104" s="1" t="str">
        <f t="shared" si="2"/>
        <v>4</v>
      </c>
      <c r="L104" s="5"/>
      <c r="M104" s="2" t="str">
        <f t="shared" si="3"/>
        <v>1401</v>
      </c>
      <c r="N104" s="5"/>
      <c r="O104" s="2">
        <v>66.0</v>
      </c>
      <c r="P104" s="5"/>
      <c r="Q104" s="5"/>
      <c r="R104" s="6" t="s">
        <v>430</v>
      </c>
      <c r="S104" s="5"/>
      <c r="T104" s="1" t="str">
        <f>IFERROR(__xludf.DUMMYFUNCTION("INDEX(SPLIT(A104, ""/""), 2)"),"انجمن‌های علمی و نشریات وابسته به دانشکده‌ها")</f>
        <v>انجمن‌های علمی و نشریات وابسته به دانشکده‌ها</v>
      </c>
      <c r="U104" s="1" t="str">
        <f>IFERROR(__xludf.DUMMYFUNCTION("INDEX(SPLIT(A104, ""/""), 3)"),"دانشکده مهندسی هوافضا")</f>
        <v>دانشکده مهندسی هوافضا</v>
      </c>
      <c r="V104" s="1" t="str">
        <f>IFERROR(__xludf.DUMMYFUNCTION("INDEX(SPLIT(A104, ""/""), 4)"),"اوج")</f>
        <v>اوج</v>
      </c>
    </row>
    <row r="105">
      <c r="A105" s="1" t="s">
        <v>219</v>
      </c>
      <c r="B105" s="1" t="s">
        <v>431</v>
      </c>
      <c r="C105" s="1" t="s">
        <v>21</v>
      </c>
      <c r="D105" s="4" t="s">
        <v>432</v>
      </c>
      <c r="E105" s="1" t="s">
        <v>222</v>
      </c>
      <c r="F105" s="1" t="s">
        <v>365</v>
      </c>
      <c r="G105" s="1" t="s">
        <v>428</v>
      </c>
      <c r="H105" s="1" t="s">
        <v>433</v>
      </c>
      <c r="I105" s="1" t="str">
        <f t="shared" si="1"/>
        <v>x</v>
      </c>
      <c r="J105" s="5"/>
      <c r="K105" s="1" t="str">
        <f t="shared" si="2"/>
        <v>6</v>
      </c>
      <c r="L105" s="5"/>
      <c r="M105" s="2" t="str">
        <f t="shared" si="3"/>
        <v>1401</v>
      </c>
      <c r="N105" s="5"/>
      <c r="O105" s="2">
        <v>67.0</v>
      </c>
      <c r="P105" s="5"/>
      <c r="Q105" s="5"/>
      <c r="R105" s="6" t="s">
        <v>434</v>
      </c>
      <c r="S105" s="5"/>
      <c r="T105" s="1" t="str">
        <f>IFERROR(__xludf.DUMMYFUNCTION("INDEX(SPLIT(A105, ""/""), 2)"),"انجمن‌های علمی و نشریات وابسته به دانشکده‌ها")</f>
        <v>انجمن‌های علمی و نشریات وابسته به دانشکده‌ها</v>
      </c>
      <c r="U105" s="1" t="str">
        <f>IFERROR(__xludf.DUMMYFUNCTION("INDEX(SPLIT(A105, ""/""), 3)"),"دانشکده مهندسی هوافضا")</f>
        <v>دانشکده مهندسی هوافضا</v>
      </c>
      <c r="V105" s="1" t="str">
        <f>IFERROR(__xludf.DUMMYFUNCTION("INDEX(SPLIT(A105, ""/""), 4)"),"اوج")</f>
        <v>اوج</v>
      </c>
    </row>
    <row r="106">
      <c r="A106" s="1" t="s">
        <v>219</v>
      </c>
      <c r="B106" s="1" t="s">
        <v>435</v>
      </c>
      <c r="C106" s="1" t="s">
        <v>21</v>
      </c>
      <c r="D106" s="4" t="s">
        <v>436</v>
      </c>
      <c r="E106" s="1" t="s">
        <v>222</v>
      </c>
      <c r="F106" s="1" t="s">
        <v>399</v>
      </c>
      <c r="G106" s="1" t="s">
        <v>428</v>
      </c>
      <c r="H106" s="1" t="s">
        <v>437</v>
      </c>
      <c r="I106" s="1" t="str">
        <f t="shared" si="1"/>
        <v>x</v>
      </c>
      <c r="J106" s="5"/>
      <c r="K106" s="1" t="str">
        <f t="shared" si="2"/>
        <v>7</v>
      </c>
      <c r="L106" s="5"/>
      <c r="M106" s="2" t="str">
        <f t="shared" si="3"/>
        <v>1401</v>
      </c>
      <c r="N106" s="5"/>
      <c r="O106" s="2">
        <v>68.0</v>
      </c>
      <c r="P106" s="5"/>
      <c r="Q106" s="5"/>
      <c r="R106" s="6" t="s">
        <v>438</v>
      </c>
      <c r="S106" s="5"/>
      <c r="T106" s="1" t="str">
        <f>IFERROR(__xludf.DUMMYFUNCTION("INDEX(SPLIT(A106, ""/""), 2)"),"انجمن‌های علمی و نشریات وابسته به دانشکده‌ها")</f>
        <v>انجمن‌های علمی و نشریات وابسته به دانشکده‌ها</v>
      </c>
      <c r="U106" s="1" t="str">
        <f>IFERROR(__xludf.DUMMYFUNCTION("INDEX(SPLIT(A106, ""/""), 3)"),"دانشکده مهندسی هوافضا")</f>
        <v>دانشکده مهندسی هوافضا</v>
      </c>
      <c r="V106" s="1" t="str">
        <f>IFERROR(__xludf.DUMMYFUNCTION("INDEX(SPLIT(A106, ""/""), 4)"),"اوج")</f>
        <v>اوج</v>
      </c>
    </row>
    <row r="107">
      <c r="A107" s="1" t="s">
        <v>219</v>
      </c>
      <c r="B107" s="1" t="s">
        <v>439</v>
      </c>
      <c r="C107" s="1" t="s">
        <v>21</v>
      </c>
      <c r="D107" s="4" t="s">
        <v>440</v>
      </c>
      <c r="E107" s="1" t="s">
        <v>222</v>
      </c>
      <c r="F107" s="1" t="s">
        <v>399</v>
      </c>
      <c r="G107" s="1" t="s">
        <v>428</v>
      </c>
      <c r="H107" s="1" t="s">
        <v>151</v>
      </c>
      <c r="I107" s="1" t="str">
        <f t="shared" si="1"/>
        <v>x</v>
      </c>
      <c r="J107" s="5"/>
      <c r="K107" s="1" t="str">
        <f t="shared" si="2"/>
        <v>8</v>
      </c>
      <c r="L107" s="5"/>
      <c r="M107" s="2" t="str">
        <f t="shared" si="3"/>
        <v>1401</v>
      </c>
      <c r="N107" s="5"/>
      <c r="O107" s="2">
        <v>69.0</v>
      </c>
      <c r="P107" s="5"/>
      <c r="Q107" s="5"/>
      <c r="R107" s="6" t="s">
        <v>152</v>
      </c>
      <c r="S107" s="5"/>
      <c r="T107" s="1" t="str">
        <f>IFERROR(__xludf.DUMMYFUNCTION("INDEX(SPLIT(A107, ""/""), 2)"),"انجمن‌های علمی و نشریات وابسته به دانشکده‌ها")</f>
        <v>انجمن‌های علمی و نشریات وابسته به دانشکده‌ها</v>
      </c>
      <c r="U107" s="1" t="str">
        <f>IFERROR(__xludf.DUMMYFUNCTION("INDEX(SPLIT(A107, ""/""), 3)"),"دانشکده مهندسی هوافضا")</f>
        <v>دانشکده مهندسی هوافضا</v>
      </c>
      <c r="V107" s="1" t="str">
        <f>IFERROR(__xludf.DUMMYFUNCTION("INDEX(SPLIT(A107, ""/""), 4)"),"اوج")</f>
        <v>اوج</v>
      </c>
    </row>
    <row r="108">
      <c r="A108" s="1" t="s">
        <v>219</v>
      </c>
      <c r="B108" s="1" t="s">
        <v>441</v>
      </c>
      <c r="C108" s="1" t="s">
        <v>21</v>
      </c>
      <c r="D108" s="4" t="s">
        <v>442</v>
      </c>
      <c r="E108" s="1" t="s">
        <v>222</v>
      </c>
      <c r="F108" s="1" t="s">
        <v>399</v>
      </c>
      <c r="G108" s="1" t="s">
        <v>428</v>
      </c>
      <c r="H108" s="1" t="s">
        <v>443</v>
      </c>
      <c r="I108" s="1" t="str">
        <f t="shared" si="1"/>
        <v>x</v>
      </c>
      <c r="J108" s="5"/>
      <c r="K108" s="1" t="str">
        <f t="shared" si="2"/>
        <v>11</v>
      </c>
      <c r="L108" s="5"/>
      <c r="M108" s="2" t="str">
        <f t="shared" si="3"/>
        <v>1401</v>
      </c>
      <c r="N108" s="5"/>
      <c r="O108" s="2">
        <v>70.0</v>
      </c>
      <c r="P108" s="5"/>
      <c r="Q108" s="5"/>
      <c r="R108" s="6" t="s">
        <v>444</v>
      </c>
      <c r="S108" s="5"/>
      <c r="T108" s="1" t="str">
        <f>IFERROR(__xludf.DUMMYFUNCTION("INDEX(SPLIT(A108, ""/""), 2)"),"انجمن‌های علمی و نشریات وابسته به دانشکده‌ها")</f>
        <v>انجمن‌های علمی و نشریات وابسته به دانشکده‌ها</v>
      </c>
      <c r="U108" s="1" t="str">
        <f>IFERROR(__xludf.DUMMYFUNCTION("INDEX(SPLIT(A108, ""/""), 3)"),"دانشکده مهندسی هوافضا")</f>
        <v>دانشکده مهندسی هوافضا</v>
      </c>
      <c r="V108" s="1" t="str">
        <f>IFERROR(__xludf.DUMMYFUNCTION("INDEX(SPLIT(A108, ""/""), 4)"),"اوج")</f>
        <v>اوج</v>
      </c>
    </row>
    <row r="109">
      <c r="A109" s="1" t="s">
        <v>219</v>
      </c>
      <c r="B109" s="1" t="s">
        <v>445</v>
      </c>
      <c r="C109" s="1" t="s">
        <v>21</v>
      </c>
      <c r="D109" s="4" t="s">
        <v>446</v>
      </c>
      <c r="E109" s="1" t="s">
        <v>222</v>
      </c>
      <c r="F109" s="1" t="s">
        <v>399</v>
      </c>
      <c r="G109" s="1" t="s">
        <v>428</v>
      </c>
      <c r="H109" s="1" t="s">
        <v>447</v>
      </c>
      <c r="I109" s="1" t="str">
        <f t="shared" si="1"/>
        <v>x</v>
      </c>
      <c r="J109" s="5"/>
      <c r="K109" s="1" t="str">
        <f t="shared" si="2"/>
        <v>1</v>
      </c>
      <c r="L109" s="5"/>
      <c r="M109" s="2" t="str">
        <f t="shared" si="3"/>
        <v>1402</v>
      </c>
      <c r="N109" s="5"/>
      <c r="O109" s="2">
        <v>71.0</v>
      </c>
      <c r="P109" s="5"/>
      <c r="Q109" s="5"/>
      <c r="R109" s="6" t="s">
        <v>448</v>
      </c>
      <c r="S109" s="5"/>
      <c r="T109" s="1" t="str">
        <f>IFERROR(__xludf.DUMMYFUNCTION("INDEX(SPLIT(A109, ""/""), 2)"),"انجمن‌های علمی و نشریات وابسته به دانشکده‌ها")</f>
        <v>انجمن‌های علمی و نشریات وابسته به دانشکده‌ها</v>
      </c>
      <c r="U109" s="1" t="str">
        <f>IFERROR(__xludf.DUMMYFUNCTION("INDEX(SPLIT(A109, ""/""), 3)"),"دانشکده مهندسی هوافضا")</f>
        <v>دانشکده مهندسی هوافضا</v>
      </c>
      <c r="V109" s="1" t="str">
        <f>IFERROR(__xludf.DUMMYFUNCTION("INDEX(SPLIT(A109, ""/""), 4)"),"اوج")</f>
        <v>اوج</v>
      </c>
    </row>
    <row r="110">
      <c r="A110" s="1" t="s">
        <v>219</v>
      </c>
      <c r="B110" s="1" t="s">
        <v>449</v>
      </c>
      <c r="C110" s="1" t="s">
        <v>21</v>
      </c>
      <c r="D110" s="4" t="s">
        <v>450</v>
      </c>
      <c r="E110" s="1" t="s">
        <v>222</v>
      </c>
      <c r="F110" s="1" t="s">
        <v>399</v>
      </c>
      <c r="G110" s="1" t="s">
        <v>428</v>
      </c>
      <c r="H110" s="1" t="s">
        <v>451</v>
      </c>
      <c r="I110" s="1" t="str">
        <f t="shared" si="1"/>
        <v>x</v>
      </c>
      <c r="J110" s="5"/>
      <c r="K110" s="1" t="str">
        <f t="shared" si="2"/>
        <v>4</v>
      </c>
      <c r="L110" s="5"/>
      <c r="M110" s="2" t="str">
        <f t="shared" si="3"/>
        <v>1402</v>
      </c>
      <c r="N110" s="5"/>
      <c r="O110" s="2">
        <v>72.0</v>
      </c>
      <c r="P110" s="5"/>
      <c r="Q110" s="5"/>
      <c r="R110" s="6" t="s">
        <v>452</v>
      </c>
      <c r="S110" s="5"/>
      <c r="T110" s="1" t="str">
        <f>IFERROR(__xludf.DUMMYFUNCTION("INDEX(SPLIT(A110, ""/""), 2)"),"انجمن‌های علمی و نشریات وابسته به دانشکده‌ها")</f>
        <v>انجمن‌های علمی و نشریات وابسته به دانشکده‌ها</v>
      </c>
      <c r="U110" s="1" t="str">
        <f>IFERROR(__xludf.DUMMYFUNCTION("INDEX(SPLIT(A110, ""/""), 3)"),"دانشکده مهندسی هوافضا")</f>
        <v>دانشکده مهندسی هوافضا</v>
      </c>
      <c r="V110" s="1" t="str">
        <f>IFERROR(__xludf.DUMMYFUNCTION("INDEX(SPLIT(A110, ""/""), 4)"),"اوج")</f>
        <v>اوج</v>
      </c>
    </row>
    <row r="111">
      <c r="A111" s="1" t="s">
        <v>219</v>
      </c>
      <c r="B111" s="1" t="s">
        <v>453</v>
      </c>
      <c r="C111" s="1" t="s">
        <v>21</v>
      </c>
      <c r="D111" s="4" t="s">
        <v>454</v>
      </c>
      <c r="E111" s="1" t="s">
        <v>222</v>
      </c>
      <c r="F111" s="1" t="s">
        <v>428</v>
      </c>
      <c r="G111" s="1" t="s">
        <v>455</v>
      </c>
      <c r="H111" s="1" t="s">
        <v>160</v>
      </c>
      <c r="I111" s="1" t="str">
        <f t="shared" si="1"/>
        <v>x</v>
      </c>
      <c r="J111" s="5"/>
      <c r="K111" s="1" t="str">
        <f t="shared" si="2"/>
        <v>5</v>
      </c>
      <c r="L111" s="5"/>
      <c r="M111" s="2" t="str">
        <f t="shared" si="3"/>
        <v>1402</v>
      </c>
      <c r="N111" s="5"/>
      <c r="O111" s="2">
        <v>73.0</v>
      </c>
      <c r="P111" s="5"/>
      <c r="Q111" s="5"/>
      <c r="R111" s="6" t="s">
        <v>161</v>
      </c>
      <c r="S111" s="5"/>
      <c r="T111" s="1" t="str">
        <f>IFERROR(__xludf.DUMMYFUNCTION("INDEX(SPLIT(A111, ""/""), 2)"),"انجمن‌های علمی و نشریات وابسته به دانشکده‌ها")</f>
        <v>انجمن‌های علمی و نشریات وابسته به دانشکده‌ها</v>
      </c>
      <c r="U111" s="1" t="str">
        <f>IFERROR(__xludf.DUMMYFUNCTION("INDEX(SPLIT(A111, ""/""), 3)"),"دانشکده مهندسی هوافضا")</f>
        <v>دانشکده مهندسی هوافضا</v>
      </c>
      <c r="V111" s="1" t="str">
        <f>IFERROR(__xludf.DUMMYFUNCTION("INDEX(SPLIT(A111, ""/""), 4)"),"اوج")</f>
        <v>اوج</v>
      </c>
    </row>
    <row r="112">
      <c r="A112" s="1" t="s">
        <v>219</v>
      </c>
      <c r="B112" s="1" t="s">
        <v>456</v>
      </c>
      <c r="C112" s="1" t="s">
        <v>21</v>
      </c>
      <c r="D112" s="4" t="s">
        <v>457</v>
      </c>
      <c r="E112" s="1" t="s">
        <v>222</v>
      </c>
      <c r="F112" s="1" t="s">
        <v>428</v>
      </c>
      <c r="G112" s="1" t="s">
        <v>455</v>
      </c>
      <c r="H112" s="1" t="s">
        <v>458</v>
      </c>
      <c r="I112" s="1" t="str">
        <f t="shared" si="1"/>
        <v>x</v>
      </c>
      <c r="J112" s="5"/>
      <c r="K112" s="1" t="str">
        <f t="shared" si="2"/>
        <v>7</v>
      </c>
      <c r="L112" s="5"/>
      <c r="M112" s="2" t="str">
        <f t="shared" si="3"/>
        <v>1402</v>
      </c>
      <c r="N112" s="5"/>
      <c r="O112" s="2">
        <v>74.0</v>
      </c>
      <c r="P112" s="5"/>
      <c r="Q112" s="5"/>
      <c r="R112" s="6" t="s">
        <v>459</v>
      </c>
      <c r="S112" s="5"/>
      <c r="T112" s="1" t="str">
        <f>IFERROR(__xludf.DUMMYFUNCTION("INDEX(SPLIT(A112, ""/""), 2)"),"انجمن‌های علمی و نشریات وابسته به دانشکده‌ها")</f>
        <v>انجمن‌های علمی و نشریات وابسته به دانشکده‌ها</v>
      </c>
      <c r="U112" s="1" t="str">
        <f>IFERROR(__xludf.DUMMYFUNCTION("INDEX(SPLIT(A112, ""/""), 3)"),"دانشکده مهندسی هوافضا")</f>
        <v>دانشکده مهندسی هوافضا</v>
      </c>
      <c r="V112" s="1" t="str">
        <f>IFERROR(__xludf.DUMMYFUNCTION("INDEX(SPLIT(A112, ""/""), 4)"),"اوج")</f>
        <v>اوج</v>
      </c>
    </row>
    <row r="113">
      <c r="A113" s="1" t="s">
        <v>219</v>
      </c>
      <c r="B113" s="1" t="s">
        <v>460</v>
      </c>
      <c r="C113" s="1" t="s">
        <v>21</v>
      </c>
      <c r="D113" s="4" t="s">
        <v>461</v>
      </c>
      <c r="E113" s="1" t="s">
        <v>222</v>
      </c>
      <c r="F113" s="1" t="s">
        <v>428</v>
      </c>
      <c r="G113" s="1" t="s">
        <v>455</v>
      </c>
      <c r="H113" s="1" t="s">
        <v>462</v>
      </c>
      <c r="I113" s="1" t="str">
        <f t="shared" si="1"/>
        <v>x</v>
      </c>
      <c r="J113" s="5"/>
      <c r="K113" s="1" t="str">
        <f t="shared" si="2"/>
        <v>8</v>
      </c>
      <c r="L113" s="5"/>
      <c r="M113" s="2" t="str">
        <f t="shared" si="3"/>
        <v>1402</v>
      </c>
      <c r="N113" s="5"/>
      <c r="O113" s="2">
        <v>75.0</v>
      </c>
      <c r="P113" s="5"/>
      <c r="Q113" s="5"/>
      <c r="R113" s="6" t="s">
        <v>463</v>
      </c>
      <c r="S113" s="5"/>
      <c r="T113" s="1" t="str">
        <f>IFERROR(__xludf.DUMMYFUNCTION("INDEX(SPLIT(A113, ""/""), 2)"),"انجمن‌های علمی و نشریات وابسته به دانشکده‌ها")</f>
        <v>انجمن‌های علمی و نشریات وابسته به دانشکده‌ها</v>
      </c>
      <c r="U113" s="1" t="str">
        <f>IFERROR(__xludf.DUMMYFUNCTION("INDEX(SPLIT(A113, ""/""), 3)"),"دانشکده مهندسی هوافضا")</f>
        <v>دانشکده مهندسی هوافضا</v>
      </c>
      <c r="V113" s="1" t="str">
        <f>IFERROR(__xludf.DUMMYFUNCTION("INDEX(SPLIT(A113, ""/""), 4)"),"اوج")</f>
        <v>اوج</v>
      </c>
    </row>
    <row r="114">
      <c r="A114" s="1" t="s">
        <v>219</v>
      </c>
      <c r="B114" s="1" t="s">
        <v>464</v>
      </c>
      <c r="C114" s="1" t="s">
        <v>21</v>
      </c>
      <c r="D114" s="4" t="s">
        <v>465</v>
      </c>
      <c r="E114" s="1" t="s">
        <v>222</v>
      </c>
      <c r="F114" s="1" t="s">
        <v>428</v>
      </c>
      <c r="G114" s="1" t="s">
        <v>455</v>
      </c>
      <c r="H114" s="1" t="s">
        <v>466</v>
      </c>
      <c r="I114" s="1" t="str">
        <f t="shared" si="1"/>
        <v>x</v>
      </c>
      <c r="J114" s="5"/>
      <c r="K114" s="1" t="str">
        <f t="shared" si="2"/>
        <v>9</v>
      </c>
      <c r="L114" s="5"/>
      <c r="M114" s="2" t="str">
        <f t="shared" si="3"/>
        <v>1402</v>
      </c>
      <c r="N114" s="5"/>
      <c r="O114" s="2">
        <v>76.0</v>
      </c>
      <c r="P114" s="5"/>
      <c r="Q114" s="5"/>
      <c r="R114" s="6" t="s">
        <v>467</v>
      </c>
      <c r="S114" s="5"/>
      <c r="T114" s="1" t="str">
        <f>IFERROR(__xludf.DUMMYFUNCTION("INDEX(SPLIT(A114, ""/""), 2)"),"انجمن‌های علمی و نشریات وابسته به دانشکده‌ها")</f>
        <v>انجمن‌های علمی و نشریات وابسته به دانشکده‌ها</v>
      </c>
      <c r="U114" s="1" t="str">
        <f>IFERROR(__xludf.DUMMYFUNCTION("INDEX(SPLIT(A114, ""/""), 3)"),"دانشکده مهندسی هوافضا")</f>
        <v>دانشکده مهندسی هوافضا</v>
      </c>
      <c r="V114" s="1" t="str">
        <f>IFERROR(__xludf.DUMMYFUNCTION("INDEX(SPLIT(A114, ""/""), 4)"),"اوج")</f>
        <v>اوج</v>
      </c>
    </row>
    <row r="115">
      <c r="A115" s="1" t="s">
        <v>219</v>
      </c>
      <c r="B115" s="1" t="s">
        <v>468</v>
      </c>
      <c r="C115" s="1" t="s">
        <v>21</v>
      </c>
      <c r="D115" s="4" t="s">
        <v>469</v>
      </c>
      <c r="E115" s="1" t="s">
        <v>222</v>
      </c>
      <c r="F115" s="1" t="s">
        <v>428</v>
      </c>
      <c r="G115" s="1" t="s">
        <v>470</v>
      </c>
      <c r="H115" s="1" t="s">
        <v>471</v>
      </c>
      <c r="I115" s="1" t="str">
        <f t="shared" si="1"/>
        <v>x</v>
      </c>
      <c r="J115" s="5"/>
      <c r="K115" s="1" t="str">
        <f t="shared" si="2"/>
        <v>3</v>
      </c>
      <c r="L115" s="5"/>
      <c r="M115" s="2" t="str">
        <f t="shared" si="3"/>
        <v>1403</v>
      </c>
      <c r="N115" s="5"/>
      <c r="O115" s="2">
        <v>77.0</v>
      </c>
      <c r="P115" s="5"/>
      <c r="Q115" s="5"/>
      <c r="R115" s="6" t="s">
        <v>472</v>
      </c>
      <c r="S115" s="5"/>
      <c r="T115" s="1" t="str">
        <f>IFERROR(__xludf.DUMMYFUNCTION("INDEX(SPLIT(A115, ""/""), 2)"),"انجمن‌های علمی و نشریات وابسته به دانشکده‌ها")</f>
        <v>انجمن‌های علمی و نشریات وابسته به دانشکده‌ها</v>
      </c>
      <c r="U115" s="1" t="str">
        <f>IFERROR(__xludf.DUMMYFUNCTION("INDEX(SPLIT(A115, ""/""), 3)"),"دانشکده مهندسی هوافضا")</f>
        <v>دانشکده مهندسی هوافضا</v>
      </c>
      <c r="V115" s="1" t="str">
        <f>IFERROR(__xludf.DUMMYFUNCTION("INDEX(SPLIT(A115, ""/""), 4)"),"اوج")</f>
        <v>اوج</v>
      </c>
    </row>
    <row r="116">
      <c r="A116" s="1" t="s">
        <v>219</v>
      </c>
      <c r="B116" s="1" t="s">
        <v>473</v>
      </c>
      <c r="C116" s="1" t="s">
        <v>21</v>
      </c>
      <c r="D116" s="4" t="s">
        <v>474</v>
      </c>
      <c r="E116" s="1" t="s">
        <v>222</v>
      </c>
      <c r="F116" s="1" t="s">
        <v>428</v>
      </c>
      <c r="G116" s="1" t="s">
        <v>470</v>
      </c>
      <c r="H116" s="1" t="s">
        <v>475</v>
      </c>
      <c r="I116" s="1" t="str">
        <f t="shared" si="1"/>
        <v>x</v>
      </c>
      <c r="J116" s="5"/>
      <c r="K116" s="1" t="str">
        <f t="shared" si="2"/>
        <v>6</v>
      </c>
      <c r="L116" s="5"/>
      <c r="M116" s="2" t="str">
        <f t="shared" si="3"/>
        <v>1403</v>
      </c>
      <c r="N116" s="5"/>
      <c r="O116" s="2">
        <v>78.0</v>
      </c>
      <c r="P116" s="5"/>
      <c r="Q116" s="5"/>
      <c r="R116" s="6" t="s">
        <v>476</v>
      </c>
      <c r="S116" s="5"/>
      <c r="T116" s="1" t="str">
        <f>IFERROR(__xludf.DUMMYFUNCTION("INDEX(SPLIT(A116, ""/""), 2)"),"انجمن‌های علمی و نشریات وابسته به دانشکده‌ها")</f>
        <v>انجمن‌های علمی و نشریات وابسته به دانشکده‌ها</v>
      </c>
      <c r="U116" s="1" t="str">
        <f>IFERROR(__xludf.DUMMYFUNCTION("INDEX(SPLIT(A116, ""/""), 3)"),"دانشکده مهندسی هوافضا")</f>
        <v>دانشکده مهندسی هوافضا</v>
      </c>
      <c r="V116" s="1" t="str">
        <f>IFERROR(__xludf.DUMMYFUNCTION("INDEX(SPLIT(A116, ""/""), 4)"),"اوج")</f>
        <v>اوج</v>
      </c>
    </row>
    <row r="117">
      <c r="A117" s="1" t="s">
        <v>219</v>
      </c>
      <c r="B117" s="1" t="s">
        <v>477</v>
      </c>
      <c r="C117" s="1" t="s">
        <v>21</v>
      </c>
      <c r="D117" s="4" t="s">
        <v>478</v>
      </c>
      <c r="E117" s="1" t="s">
        <v>222</v>
      </c>
      <c r="F117" s="1" t="s">
        <v>428</v>
      </c>
      <c r="G117" s="1" t="s">
        <v>470</v>
      </c>
      <c r="H117" s="1" t="s">
        <v>479</v>
      </c>
      <c r="I117" s="1" t="str">
        <f t="shared" si="1"/>
        <v>x</v>
      </c>
      <c r="J117" s="5"/>
      <c r="K117" s="1" t="str">
        <f t="shared" si="2"/>
        <v>11</v>
      </c>
      <c r="L117" s="5"/>
      <c r="M117" s="2" t="str">
        <f t="shared" si="3"/>
        <v>1403</v>
      </c>
      <c r="N117" s="5"/>
      <c r="O117" s="2">
        <v>79.0</v>
      </c>
      <c r="P117" s="5"/>
      <c r="Q117" s="5"/>
      <c r="R117" s="6" t="s">
        <v>480</v>
      </c>
      <c r="S117" s="5"/>
      <c r="T117" s="1" t="str">
        <f>IFERROR(__xludf.DUMMYFUNCTION("INDEX(SPLIT(A117, ""/""), 2)"),"انجمن‌های علمی و نشریات وابسته به دانشکده‌ها")</f>
        <v>انجمن‌های علمی و نشریات وابسته به دانشکده‌ها</v>
      </c>
      <c r="U117" s="1" t="str">
        <f>IFERROR(__xludf.DUMMYFUNCTION("INDEX(SPLIT(A117, ""/""), 3)"),"دانشکده مهندسی هوافضا")</f>
        <v>دانشکده مهندسی هوافضا</v>
      </c>
      <c r="V117" s="1" t="str">
        <f>IFERROR(__xludf.DUMMYFUNCTION("INDEX(SPLIT(A117, ""/""), 4)"),"اوج")</f>
        <v>اوج</v>
      </c>
    </row>
    <row r="118">
      <c r="A118" s="1" t="s">
        <v>481</v>
      </c>
      <c r="B118" s="1" t="s">
        <v>482</v>
      </c>
      <c r="C118" s="1" t="s">
        <v>21</v>
      </c>
      <c r="D118" s="4" t="s">
        <v>483</v>
      </c>
      <c r="E118" s="1" t="s">
        <v>484</v>
      </c>
      <c r="F118" s="1" t="s">
        <v>485</v>
      </c>
      <c r="G118" s="1" t="s">
        <v>486</v>
      </c>
      <c r="H118" s="1" t="s">
        <v>308</v>
      </c>
      <c r="I118" s="1" t="str">
        <f t="shared" si="1"/>
        <v>x</v>
      </c>
      <c r="J118" s="5"/>
      <c r="K118" s="1" t="str">
        <f t="shared" si="2"/>
        <v>7</v>
      </c>
      <c r="L118" s="5"/>
      <c r="M118" s="2" t="str">
        <f t="shared" si="3"/>
        <v>1397</v>
      </c>
      <c r="N118" s="1">
        <v>31.0</v>
      </c>
      <c r="O118" s="2">
        <v>1.0</v>
      </c>
      <c r="P118" s="5"/>
      <c r="Q118" s="5"/>
      <c r="R118" s="6" t="s">
        <v>309</v>
      </c>
      <c r="S118" s="5"/>
      <c r="T118" s="1" t="str">
        <f>IFERROR(__xludf.DUMMYFUNCTION("INDEX(SPLIT(A118, ""/""), 2)"),"انجمن‌های علمی و نشریات وابسته به دانشکده‌ها")</f>
        <v>انجمن‌های علمی و نشریات وابسته به دانشکده‌ها</v>
      </c>
      <c r="U118" s="1" t="str">
        <f>IFERROR(__xludf.DUMMYFUNCTION("INDEX(SPLIT(A118, ""/""), 3)"),"دانشکده مهندسی عمران")</f>
        <v>دانشکده مهندسی عمران</v>
      </c>
      <c r="V118" s="1" t="str">
        <f>IFERROR(__xludf.DUMMYFUNCTION("INDEX(SPLIT(A118, ""/""), 4)"),"ایستا و مجله عمران")</f>
        <v>ایستا و مجله عمران</v>
      </c>
    </row>
    <row r="119">
      <c r="A119" s="1" t="s">
        <v>481</v>
      </c>
      <c r="B119" s="1" t="s">
        <v>487</v>
      </c>
      <c r="C119" s="1" t="s">
        <v>21</v>
      </c>
      <c r="D119" s="4" t="s">
        <v>488</v>
      </c>
      <c r="E119" s="1" t="s">
        <v>484</v>
      </c>
      <c r="F119" s="1" t="s">
        <v>485</v>
      </c>
      <c r="G119" s="1" t="s">
        <v>486</v>
      </c>
      <c r="H119" s="1" t="s">
        <v>317</v>
      </c>
      <c r="I119" s="1" t="str">
        <f t="shared" si="1"/>
        <v>x</v>
      </c>
      <c r="J119" s="5"/>
      <c r="K119" s="1" t="str">
        <f t="shared" si="2"/>
        <v>9</v>
      </c>
      <c r="L119" s="5"/>
      <c r="M119" s="2" t="str">
        <f t="shared" si="3"/>
        <v>1397</v>
      </c>
      <c r="N119" s="1">
        <v>31.0</v>
      </c>
      <c r="O119" s="2">
        <v>2.0</v>
      </c>
      <c r="P119" s="5"/>
      <c r="Q119" s="5"/>
      <c r="R119" s="6" t="s">
        <v>318</v>
      </c>
      <c r="S119" s="5"/>
      <c r="T119" s="1" t="str">
        <f>IFERROR(__xludf.DUMMYFUNCTION("INDEX(SPLIT(A119, ""/""), 2)"),"انجمن‌های علمی و نشریات وابسته به دانشکده‌ها")</f>
        <v>انجمن‌های علمی و نشریات وابسته به دانشکده‌ها</v>
      </c>
      <c r="U119" s="1" t="str">
        <f>IFERROR(__xludf.DUMMYFUNCTION("INDEX(SPLIT(A119, ""/""), 3)"),"دانشکده مهندسی عمران")</f>
        <v>دانشکده مهندسی عمران</v>
      </c>
      <c r="V119" s="1" t="str">
        <f>IFERROR(__xludf.DUMMYFUNCTION("INDEX(SPLIT(A119, ""/""), 4)"),"ایستا و مجله عمران")</f>
        <v>ایستا و مجله عمران</v>
      </c>
    </row>
    <row r="120">
      <c r="A120" s="1" t="s">
        <v>481</v>
      </c>
      <c r="B120" s="1" t="s">
        <v>489</v>
      </c>
      <c r="C120" s="1" t="s">
        <v>21</v>
      </c>
      <c r="D120" s="4" t="s">
        <v>490</v>
      </c>
      <c r="E120" s="1" t="s">
        <v>484</v>
      </c>
      <c r="F120" s="1" t="s">
        <v>485</v>
      </c>
      <c r="G120" s="1" t="s">
        <v>486</v>
      </c>
      <c r="H120" s="1" t="s">
        <v>177</v>
      </c>
      <c r="I120" s="1" t="str">
        <f t="shared" si="1"/>
        <v>x</v>
      </c>
      <c r="J120" s="5"/>
      <c r="K120" s="1" t="str">
        <f t="shared" si="2"/>
        <v>11</v>
      </c>
      <c r="L120" s="5"/>
      <c r="M120" s="2" t="str">
        <f t="shared" si="3"/>
        <v>1397</v>
      </c>
      <c r="N120" s="1">
        <v>31.0</v>
      </c>
      <c r="O120" s="2">
        <v>3.0</v>
      </c>
      <c r="P120" s="5"/>
      <c r="Q120" s="5"/>
      <c r="R120" s="6" t="s">
        <v>178</v>
      </c>
      <c r="S120" s="5"/>
      <c r="T120" s="1" t="str">
        <f>IFERROR(__xludf.DUMMYFUNCTION("INDEX(SPLIT(A120, ""/""), 2)"),"انجمن‌های علمی و نشریات وابسته به دانشکده‌ها")</f>
        <v>انجمن‌های علمی و نشریات وابسته به دانشکده‌ها</v>
      </c>
      <c r="U120" s="1" t="str">
        <f>IFERROR(__xludf.DUMMYFUNCTION("INDEX(SPLIT(A120, ""/""), 3)"),"دانشکده مهندسی عمران")</f>
        <v>دانشکده مهندسی عمران</v>
      </c>
      <c r="V120" s="1" t="str">
        <f>IFERROR(__xludf.DUMMYFUNCTION("INDEX(SPLIT(A120, ""/""), 4)"),"ایستا و مجله عمران")</f>
        <v>ایستا و مجله عمران</v>
      </c>
    </row>
    <row r="121">
      <c r="A121" s="1" t="s">
        <v>481</v>
      </c>
      <c r="B121" s="1" t="s">
        <v>491</v>
      </c>
      <c r="C121" s="1" t="s">
        <v>21</v>
      </c>
      <c r="D121" s="4" t="s">
        <v>492</v>
      </c>
      <c r="E121" s="1" t="s">
        <v>484</v>
      </c>
      <c r="F121" s="1" t="s">
        <v>485</v>
      </c>
      <c r="G121" s="1" t="s">
        <v>486</v>
      </c>
      <c r="H121" s="1" t="s">
        <v>185</v>
      </c>
      <c r="I121" s="1" t="str">
        <f t="shared" si="1"/>
        <v>x</v>
      </c>
      <c r="J121" s="5"/>
      <c r="K121" s="1" t="str">
        <f t="shared" si="2"/>
        <v>1</v>
      </c>
      <c r="L121" s="5"/>
      <c r="M121" s="2" t="str">
        <f t="shared" si="3"/>
        <v>1398</v>
      </c>
      <c r="N121" s="1">
        <v>31.0</v>
      </c>
      <c r="O121" s="2">
        <v>4.0</v>
      </c>
      <c r="P121" s="5"/>
      <c r="Q121" s="5"/>
      <c r="R121" s="6" t="s">
        <v>186</v>
      </c>
      <c r="S121" s="5"/>
      <c r="T121" s="1" t="str">
        <f>IFERROR(__xludf.DUMMYFUNCTION("INDEX(SPLIT(A121, ""/""), 2)"),"انجمن‌های علمی و نشریات وابسته به دانشکده‌ها")</f>
        <v>انجمن‌های علمی و نشریات وابسته به دانشکده‌ها</v>
      </c>
      <c r="U121" s="1" t="str">
        <f>IFERROR(__xludf.DUMMYFUNCTION("INDEX(SPLIT(A121, ""/""), 3)"),"دانشکده مهندسی عمران")</f>
        <v>دانشکده مهندسی عمران</v>
      </c>
      <c r="V121" s="1" t="str">
        <f>IFERROR(__xludf.DUMMYFUNCTION("INDEX(SPLIT(A121, ""/""), 4)"),"ایستا و مجله عمران")</f>
        <v>ایستا و مجله عمران</v>
      </c>
    </row>
    <row r="122">
      <c r="A122" s="1" t="s">
        <v>481</v>
      </c>
      <c r="B122" s="1" t="s">
        <v>493</v>
      </c>
      <c r="C122" s="1" t="s">
        <v>21</v>
      </c>
      <c r="D122" s="4" t="s">
        <v>494</v>
      </c>
      <c r="E122" s="1" t="s">
        <v>484</v>
      </c>
      <c r="F122" s="1" t="s">
        <v>485</v>
      </c>
      <c r="G122" s="1" t="s">
        <v>495</v>
      </c>
      <c r="H122" s="1" t="s">
        <v>351</v>
      </c>
      <c r="I122" s="1" t="str">
        <f t="shared" si="1"/>
        <v>x</v>
      </c>
      <c r="J122" s="5"/>
      <c r="K122" s="1" t="str">
        <f t="shared" si="2"/>
        <v>8</v>
      </c>
      <c r="L122" s="5"/>
      <c r="M122" s="2" t="str">
        <f t="shared" si="3"/>
        <v>1398</v>
      </c>
      <c r="N122" s="1">
        <v>32.0</v>
      </c>
      <c r="O122" s="2">
        <v>1.0</v>
      </c>
      <c r="P122" s="5"/>
      <c r="Q122" s="5"/>
      <c r="R122" s="6" t="s">
        <v>352</v>
      </c>
      <c r="S122" s="5"/>
      <c r="T122" s="1" t="str">
        <f>IFERROR(__xludf.DUMMYFUNCTION("INDEX(SPLIT(A122, ""/""), 2)"),"انجمن‌های علمی و نشریات وابسته به دانشکده‌ها")</f>
        <v>انجمن‌های علمی و نشریات وابسته به دانشکده‌ها</v>
      </c>
      <c r="U122" s="1" t="str">
        <f>IFERROR(__xludf.DUMMYFUNCTION("INDEX(SPLIT(A122, ""/""), 3)"),"دانشکده مهندسی عمران")</f>
        <v>دانشکده مهندسی عمران</v>
      </c>
      <c r="V122" s="1" t="str">
        <f>IFERROR(__xludf.DUMMYFUNCTION("INDEX(SPLIT(A122, ""/""), 4)"),"ایستا و مجله عمران")</f>
        <v>ایستا و مجله عمران</v>
      </c>
    </row>
    <row r="123">
      <c r="A123" s="1" t="s">
        <v>481</v>
      </c>
      <c r="B123" s="1" t="s">
        <v>496</v>
      </c>
      <c r="C123" s="1" t="s">
        <v>21</v>
      </c>
      <c r="D123" s="4" t="s">
        <v>497</v>
      </c>
      <c r="E123" s="1" t="s">
        <v>484</v>
      </c>
      <c r="F123" s="1" t="s">
        <v>485</v>
      </c>
      <c r="G123" s="1" t="s">
        <v>495</v>
      </c>
      <c r="H123" s="1" t="s">
        <v>498</v>
      </c>
      <c r="I123" s="1" t="str">
        <f t="shared" si="1"/>
        <v>x</v>
      </c>
      <c r="J123" s="5"/>
      <c r="K123" s="1" t="str">
        <f t="shared" si="2"/>
        <v>9,10</v>
      </c>
      <c r="L123" s="5"/>
      <c r="M123" s="2" t="str">
        <f t="shared" si="3"/>
        <v>1398</v>
      </c>
      <c r="N123" s="1">
        <v>32.0</v>
      </c>
      <c r="O123" s="2">
        <v>2.0</v>
      </c>
      <c r="P123" s="5"/>
      <c r="Q123" s="5"/>
      <c r="R123" s="8" t="s">
        <v>108</v>
      </c>
      <c r="S123" s="1"/>
      <c r="T123" s="1" t="str">
        <f>IFERROR(__xludf.DUMMYFUNCTION("INDEX(SPLIT(A123, ""/""), 2)"),"انجمن‌های علمی و نشریات وابسته به دانشکده‌ها")</f>
        <v>انجمن‌های علمی و نشریات وابسته به دانشکده‌ها</v>
      </c>
      <c r="U123" s="1" t="str">
        <f>IFERROR(__xludf.DUMMYFUNCTION("INDEX(SPLIT(A123, ""/""), 3)"),"دانشکده مهندسی عمران")</f>
        <v>دانشکده مهندسی عمران</v>
      </c>
      <c r="V123" s="1" t="str">
        <f>IFERROR(__xludf.DUMMYFUNCTION("INDEX(SPLIT(A123, ""/""), 4)"),"ایستا و مجله عمران")</f>
        <v>ایستا و مجله عمران</v>
      </c>
    </row>
    <row r="124">
      <c r="A124" s="1" t="s">
        <v>481</v>
      </c>
      <c r="B124" s="1" t="s">
        <v>499</v>
      </c>
      <c r="C124" s="1" t="s">
        <v>21</v>
      </c>
      <c r="D124" s="4" t="s">
        <v>500</v>
      </c>
      <c r="E124" s="1" t="s">
        <v>484</v>
      </c>
      <c r="F124" s="1" t="s">
        <v>485</v>
      </c>
      <c r="G124" s="1" t="s">
        <v>495</v>
      </c>
      <c r="H124" s="1" t="s">
        <v>199</v>
      </c>
      <c r="I124" s="1" t="str">
        <f t="shared" si="1"/>
        <v>x</v>
      </c>
      <c r="J124" s="5"/>
      <c r="K124" s="1" t="str">
        <f t="shared" si="2"/>
        <v>11</v>
      </c>
      <c r="L124" s="5"/>
      <c r="M124" s="2" t="str">
        <f t="shared" si="3"/>
        <v>1398</v>
      </c>
      <c r="N124" s="1">
        <v>32.0</v>
      </c>
      <c r="O124" s="2">
        <v>3.0</v>
      </c>
      <c r="P124" s="5"/>
      <c r="Q124" s="5"/>
      <c r="R124" s="6" t="s">
        <v>200</v>
      </c>
      <c r="S124" s="5"/>
      <c r="T124" s="1" t="str">
        <f>IFERROR(__xludf.DUMMYFUNCTION("INDEX(SPLIT(A124, ""/""), 2)"),"انجمن‌های علمی و نشریات وابسته به دانشکده‌ها")</f>
        <v>انجمن‌های علمی و نشریات وابسته به دانشکده‌ها</v>
      </c>
      <c r="U124" s="1" t="str">
        <f>IFERROR(__xludf.DUMMYFUNCTION("INDEX(SPLIT(A124, ""/""), 3)"),"دانشکده مهندسی عمران")</f>
        <v>دانشکده مهندسی عمران</v>
      </c>
      <c r="V124" s="1" t="str">
        <f>IFERROR(__xludf.DUMMYFUNCTION("INDEX(SPLIT(A124, ""/""), 4)"),"ایستا و مجله عمران")</f>
        <v>ایستا و مجله عمران</v>
      </c>
    </row>
    <row r="125">
      <c r="A125" s="1" t="s">
        <v>481</v>
      </c>
      <c r="B125" s="1" t="s">
        <v>501</v>
      </c>
      <c r="C125" s="1" t="s">
        <v>21</v>
      </c>
      <c r="D125" s="4" t="s">
        <v>502</v>
      </c>
      <c r="E125" s="1" t="s">
        <v>484</v>
      </c>
      <c r="F125" s="1" t="s">
        <v>485</v>
      </c>
      <c r="G125" s="1" t="s">
        <v>495</v>
      </c>
      <c r="H125" s="1" t="s">
        <v>329</v>
      </c>
      <c r="I125" s="1" t="str">
        <f t="shared" si="1"/>
        <v>x</v>
      </c>
      <c r="J125" s="5"/>
      <c r="K125" s="1" t="str">
        <f t="shared" si="2"/>
        <v>2</v>
      </c>
      <c r="L125" s="5"/>
      <c r="M125" s="2" t="str">
        <f t="shared" si="3"/>
        <v>1398</v>
      </c>
      <c r="N125" s="1">
        <v>32.0</v>
      </c>
      <c r="O125" s="2">
        <v>4.0</v>
      </c>
      <c r="P125" s="5"/>
      <c r="Q125" s="5"/>
      <c r="R125" s="6" t="s">
        <v>330</v>
      </c>
      <c r="S125" s="5"/>
      <c r="T125" s="1" t="str">
        <f>IFERROR(__xludf.DUMMYFUNCTION("INDEX(SPLIT(A125, ""/""), 2)"),"انجمن‌های علمی و نشریات وابسته به دانشکده‌ها")</f>
        <v>انجمن‌های علمی و نشریات وابسته به دانشکده‌ها</v>
      </c>
      <c r="U125" s="1" t="str">
        <f>IFERROR(__xludf.DUMMYFUNCTION("INDEX(SPLIT(A125, ""/""), 3)"),"دانشکده مهندسی عمران")</f>
        <v>دانشکده مهندسی عمران</v>
      </c>
      <c r="V125" s="1" t="str">
        <f>IFERROR(__xludf.DUMMYFUNCTION("INDEX(SPLIT(A125, ""/""), 4)"),"ایستا و مجله عمران")</f>
        <v>ایستا و مجله عمران</v>
      </c>
    </row>
    <row r="126">
      <c r="A126" s="1" t="s">
        <v>481</v>
      </c>
      <c r="B126" s="1" t="s">
        <v>503</v>
      </c>
      <c r="C126" s="1" t="s">
        <v>21</v>
      </c>
      <c r="D126" s="4" t="s">
        <v>504</v>
      </c>
      <c r="E126" s="1" t="s">
        <v>484</v>
      </c>
      <c r="F126" s="1" t="s">
        <v>485</v>
      </c>
      <c r="G126" s="1" t="s">
        <v>495</v>
      </c>
      <c r="H126" s="1" t="s">
        <v>505</v>
      </c>
      <c r="I126" s="1" t="str">
        <f t="shared" si="1"/>
        <v>x</v>
      </c>
      <c r="J126" s="5"/>
      <c r="K126" s="1" t="str">
        <f t="shared" si="2"/>
        <v>4,5</v>
      </c>
      <c r="L126" s="5"/>
      <c r="M126" s="2" t="str">
        <f t="shared" si="3"/>
        <v>1399</v>
      </c>
      <c r="N126" s="1">
        <v>32.0</v>
      </c>
      <c r="O126" s="2">
        <v>5.0</v>
      </c>
      <c r="P126" s="5"/>
      <c r="Q126" s="5"/>
      <c r="R126" s="8" t="s">
        <v>116</v>
      </c>
      <c r="S126" s="1"/>
      <c r="T126" s="1" t="str">
        <f>IFERROR(__xludf.DUMMYFUNCTION("INDEX(SPLIT(A126, ""/""), 2)"),"انجمن‌های علمی و نشریات وابسته به دانشکده‌ها")</f>
        <v>انجمن‌های علمی و نشریات وابسته به دانشکده‌ها</v>
      </c>
      <c r="U126" s="1" t="str">
        <f>IFERROR(__xludf.DUMMYFUNCTION("INDEX(SPLIT(A126, ""/""), 3)"),"دانشکده مهندسی عمران")</f>
        <v>دانشکده مهندسی عمران</v>
      </c>
      <c r="V126" s="1" t="str">
        <f>IFERROR(__xludf.DUMMYFUNCTION("INDEX(SPLIT(A126, ""/""), 4)"),"ایستا و مجله عمران")</f>
        <v>ایستا و مجله عمران</v>
      </c>
    </row>
    <row r="127">
      <c r="A127" s="1" t="s">
        <v>481</v>
      </c>
      <c r="B127" s="1" t="s">
        <v>506</v>
      </c>
      <c r="C127" s="1" t="s">
        <v>21</v>
      </c>
      <c r="D127" s="4" t="s">
        <v>507</v>
      </c>
      <c r="E127" s="1" t="s">
        <v>484</v>
      </c>
      <c r="F127" s="1" t="s">
        <v>485</v>
      </c>
      <c r="G127" s="1" t="s">
        <v>495</v>
      </c>
      <c r="H127" s="1" t="s">
        <v>26</v>
      </c>
      <c r="I127" s="1" t="str">
        <f t="shared" si="1"/>
        <v>x</v>
      </c>
      <c r="J127" s="5"/>
      <c r="K127" s="1" t="str">
        <f t="shared" si="2"/>
        <v>7</v>
      </c>
      <c r="L127" s="5"/>
      <c r="M127" s="2" t="str">
        <f t="shared" si="3"/>
        <v>1399</v>
      </c>
      <c r="N127" s="1">
        <v>32.0</v>
      </c>
      <c r="O127" s="2">
        <v>6.0</v>
      </c>
      <c r="P127" s="5"/>
      <c r="Q127" s="5"/>
      <c r="R127" s="6" t="s">
        <v>27</v>
      </c>
      <c r="S127" s="5"/>
      <c r="T127" s="1" t="str">
        <f>IFERROR(__xludf.DUMMYFUNCTION("INDEX(SPLIT(A127, ""/""), 2)"),"انجمن‌های علمی و نشریات وابسته به دانشکده‌ها")</f>
        <v>انجمن‌های علمی و نشریات وابسته به دانشکده‌ها</v>
      </c>
      <c r="U127" s="1" t="str">
        <f>IFERROR(__xludf.DUMMYFUNCTION("INDEX(SPLIT(A127, ""/""), 3)"),"دانشکده مهندسی عمران")</f>
        <v>دانشکده مهندسی عمران</v>
      </c>
      <c r="V127" s="1" t="str">
        <f>IFERROR(__xludf.DUMMYFUNCTION("INDEX(SPLIT(A127, ""/""), 4)"),"ایستا و مجله عمران")</f>
        <v>ایستا و مجله عمران</v>
      </c>
    </row>
    <row r="128">
      <c r="A128" s="1" t="s">
        <v>481</v>
      </c>
      <c r="B128" s="1" t="s">
        <v>508</v>
      </c>
      <c r="C128" s="1" t="s">
        <v>21</v>
      </c>
      <c r="D128" s="4" t="s">
        <v>509</v>
      </c>
      <c r="E128" s="1" t="s">
        <v>484</v>
      </c>
      <c r="F128" s="1" t="s">
        <v>485</v>
      </c>
      <c r="G128" s="1" t="s">
        <v>510</v>
      </c>
      <c r="H128" s="1" t="s">
        <v>44</v>
      </c>
      <c r="I128" s="1" t="str">
        <f t="shared" si="1"/>
        <v>x</v>
      </c>
      <c r="J128" s="5"/>
      <c r="K128" s="1" t="str">
        <f t="shared" si="2"/>
        <v>10</v>
      </c>
      <c r="L128" s="5"/>
      <c r="M128" s="2" t="str">
        <f t="shared" si="3"/>
        <v>1399</v>
      </c>
      <c r="N128" s="1">
        <v>32.0</v>
      </c>
      <c r="O128" s="2">
        <v>7.0</v>
      </c>
      <c r="P128" s="5"/>
      <c r="Q128" s="5"/>
      <c r="R128" s="6" t="s">
        <v>45</v>
      </c>
      <c r="S128" s="5"/>
      <c r="T128" s="1" t="str">
        <f>IFERROR(__xludf.DUMMYFUNCTION("INDEX(SPLIT(A128, ""/""), 2)"),"انجمن‌های علمی و نشریات وابسته به دانشکده‌ها")</f>
        <v>انجمن‌های علمی و نشریات وابسته به دانشکده‌ها</v>
      </c>
      <c r="U128" s="1" t="str">
        <f>IFERROR(__xludf.DUMMYFUNCTION("INDEX(SPLIT(A128, ""/""), 3)"),"دانشکده مهندسی عمران")</f>
        <v>دانشکده مهندسی عمران</v>
      </c>
      <c r="V128" s="1" t="str">
        <f>IFERROR(__xludf.DUMMYFUNCTION("INDEX(SPLIT(A128, ""/""), 4)"),"ایستا و مجله عمران")</f>
        <v>ایستا و مجله عمران</v>
      </c>
    </row>
    <row r="129">
      <c r="A129" s="1" t="s">
        <v>481</v>
      </c>
      <c r="B129" s="1" t="s">
        <v>511</v>
      </c>
      <c r="C129" s="1" t="s">
        <v>21</v>
      </c>
      <c r="D129" s="4" t="s">
        <v>512</v>
      </c>
      <c r="E129" s="1" t="s">
        <v>484</v>
      </c>
      <c r="F129" s="1" t="s">
        <v>485</v>
      </c>
      <c r="G129" s="1" t="s">
        <v>510</v>
      </c>
      <c r="H129" s="1" t="s">
        <v>52</v>
      </c>
      <c r="I129" s="1" t="str">
        <f t="shared" si="1"/>
        <v>x</v>
      </c>
      <c r="J129" s="5"/>
      <c r="K129" s="1" t="str">
        <f t="shared" si="2"/>
        <v>1</v>
      </c>
      <c r="L129" s="5"/>
      <c r="M129" s="2" t="str">
        <f t="shared" si="3"/>
        <v>1400</v>
      </c>
      <c r="N129" s="1">
        <v>32.0</v>
      </c>
      <c r="O129" s="2">
        <v>8.0</v>
      </c>
      <c r="P129" s="5"/>
      <c r="Q129" s="5"/>
      <c r="R129" s="6" t="s">
        <v>54</v>
      </c>
      <c r="S129" s="5"/>
      <c r="T129" s="1" t="str">
        <f>IFERROR(__xludf.DUMMYFUNCTION("INDEX(SPLIT(A129, ""/""), 2)"),"انجمن‌های علمی و نشریات وابسته به دانشکده‌ها")</f>
        <v>انجمن‌های علمی و نشریات وابسته به دانشکده‌ها</v>
      </c>
      <c r="U129" s="1" t="str">
        <f>IFERROR(__xludf.DUMMYFUNCTION("INDEX(SPLIT(A129, ""/""), 3)"),"دانشکده مهندسی عمران")</f>
        <v>دانشکده مهندسی عمران</v>
      </c>
      <c r="V129" s="1" t="str">
        <f>IFERROR(__xludf.DUMMYFUNCTION("INDEX(SPLIT(A129, ""/""), 4)"),"ایستا و مجله عمران")</f>
        <v>ایستا و مجله عمران</v>
      </c>
    </row>
    <row r="130">
      <c r="A130" s="1" t="s">
        <v>481</v>
      </c>
      <c r="B130" s="1" t="s">
        <v>513</v>
      </c>
      <c r="C130" s="1" t="s">
        <v>21</v>
      </c>
      <c r="D130" s="4" t="s">
        <v>514</v>
      </c>
      <c r="E130" s="1" t="s">
        <v>484</v>
      </c>
      <c r="F130" s="1" t="s">
        <v>485</v>
      </c>
      <c r="G130" s="1" t="s">
        <v>510</v>
      </c>
      <c r="H130" s="1" t="s">
        <v>133</v>
      </c>
      <c r="I130" s="1" t="str">
        <f t="shared" si="1"/>
        <v>x</v>
      </c>
      <c r="J130" s="5"/>
      <c r="K130" s="1" t="str">
        <f t="shared" si="2"/>
        <v>5</v>
      </c>
      <c r="L130" s="5"/>
      <c r="M130" s="2" t="str">
        <f t="shared" si="3"/>
        <v>1400</v>
      </c>
      <c r="N130" s="1">
        <v>32.0</v>
      </c>
      <c r="O130" s="2">
        <v>9.0</v>
      </c>
      <c r="P130" s="5"/>
      <c r="Q130" s="5"/>
      <c r="R130" s="6" t="s">
        <v>134</v>
      </c>
      <c r="S130" s="5"/>
      <c r="T130" s="1" t="str">
        <f>IFERROR(__xludf.DUMMYFUNCTION("INDEX(SPLIT(A130, ""/""), 2)"),"انجمن‌های علمی و نشریات وابسته به دانشکده‌ها")</f>
        <v>انجمن‌های علمی و نشریات وابسته به دانشکده‌ها</v>
      </c>
      <c r="U130" s="1" t="str">
        <f>IFERROR(__xludf.DUMMYFUNCTION("INDEX(SPLIT(A130, ""/""), 3)"),"دانشکده مهندسی عمران")</f>
        <v>دانشکده مهندسی عمران</v>
      </c>
      <c r="V130" s="1" t="str">
        <f>IFERROR(__xludf.DUMMYFUNCTION("INDEX(SPLIT(A130, ""/""), 4)"),"ایستا و مجله عمران")</f>
        <v>ایستا و مجله عمران</v>
      </c>
    </row>
    <row r="131">
      <c r="A131" s="1" t="s">
        <v>481</v>
      </c>
      <c r="B131" s="1" t="s">
        <v>515</v>
      </c>
      <c r="C131" s="1" t="s">
        <v>21</v>
      </c>
      <c r="D131" s="4" t="s">
        <v>516</v>
      </c>
      <c r="E131" s="1" t="s">
        <v>484</v>
      </c>
      <c r="F131" s="1" t="s">
        <v>485</v>
      </c>
      <c r="G131" s="1" t="s">
        <v>517</v>
      </c>
      <c r="H131" s="1" t="s">
        <v>151</v>
      </c>
      <c r="I131" s="1" t="str">
        <f t="shared" si="1"/>
        <v>x</v>
      </c>
      <c r="J131" s="5"/>
      <c r="K131" s="1" t="str">
        <f t="shared" si="2"/>
        <v>8</v>
      </c>
      <c r="L131" s="5"/>
      <c r="M131" s="2" t="str">
        <f t="shared" si="3"/>
        <v>1401</v>
      </c>
      <c r="N131" s="1">
        <v>33.0</v>
      </c>
      <c r="O131" s="2">
        <v>0.0</v>
      </c>
      <c r="P131" s="5"/>
      <c r="Q131" s="5"/>
      <c r="R131" s="6" t="s">
        <v>152</v>
      </c>
      <c r="S131" s="5"/>
      <c r="T131" s="1" t="str">
        <f>IFERROR(__xludf.DUMMYFUNCTION("INDEX(SPLIT(A131, ""/""), 2)"),"انجمن‌های علمی و نشریات وابسته به دانشکده‌ها")</f>
        <v>انجمن‌های علمی و نشریات وابسته به دانشکده‌ها</v>
      </c>
      <c r="U131" s="1" t="str">
        <f>IFERROR(__xludf.DUMMYFUNCTION("INDEX(SPLIT(A131, ""/""), 3)"),"دانشکده مهندسی عمران")</f>
        <v>دانشکده مهندسی عمران</v>
      </c>
      <c r="V131" s="1" t="str">
        <f>IFERROR(__xludf.DUMMYFUNCTION("INDEX(SPLIT(A131, ""/""), 4)"),"ایستا و مجله عمران")</f>
        <v>ایستا و مجله عمران</v>
      </c>
    </row>
    <row r="132">
      <c r="A132" s="1" t="s">
        <v>481</v>
      </c>
      <c r="B132" s="1" t="s">
        <v>518</v>
      </c>
      <c r="C132" s="1" t="s">
        <v>21</v>
      </c>
      <c r="D132" s="4" t="s">
        <v>519</v>
      </c>
      <c r="E132" s="1" t="s">
        <v>484</v>
      </c>
      <c r="F132" s="1" t="s">
        <v>485</v>
      </c>
      <c r="G132" s="1" t="s">
        <v>517</v>
      </c>
      <c r="H132" s="1" t="s">
        <v>520</v>
      </c>
      <c r="I132" s="1" t="str">
        <f t="shared" si="1"/>
        <v>x</v>
      </c>
      <c r="J132" s="5"/>
      <c r="K132" s="1" t="str">
        <f t="shared" si="2"/>
        <v>x</v>
      </c>
      <c r="L132" s="1">
        <v>3.0</v>
      </c>
      <c r="M132" s="2" t="str">
        <f t="shared" si="3"/>
        <v>1401</v>
      </c>
      <c r="N132" s="1">
        <v>33.0</v>
      </c>
      <c r="O132" s="2">
        <v>1.0</v>
      </c>
      <c r="P132" s="5"/>
      <c r="Q132" s="5"/>
      <c r="R132" s="8" t="s">
        <v>521</v>
      </c>
      <c r="S132" s="5"/>
      <c r="T132" s="1" t="str">
        <f>IFERROR(__xludf.DUMMYFUNCTION("INDEX(SPLIT(A132, ""/""), 2)"),"انجمن‌های علمی و نشریات وابسته به دانشکده‌ها")</f>
        <v>انجمن‌های علمی و نشریات وابسته به دانشکده‌ها</v>
      </c>
      <c r="U132" s="1" t="str">
        <f>IFERROR(__xludf.DUMMYFUNCTION("INDEX(SPLIT(A132, ""/""), 3)"),"دانشکده مهندسی عمران")</f>
        <v>دانشکده مهندسی عمران</v>
      </c>
      <c r="V132" s="1" t="str">
        <f>IFERROR(__xludf.DUMMYFUNCTION("INDEX(SPLIT(A132, ""/""), 4)"),"ایستا و مجله عمران")</f>
        <v>ایستا و مجله عمران</v>
      </c>
    </row>
    <row r="133">
      <c r="A133" s="1" t="s">
        <v>481</v>
      </c>
      <c r="B133" s="1" t="s">
        <v>522</v>
      </c>
      <c r="C133" s="1" t="s">
        <v>21</v>
      </c>
      <c r="D133" s="4" t="s">
        <v>523</v>
      </c>
      <c r="E133" s="1" t="s">
        <v>484</v>
      </c>
      <c r="F133" s="1" t="s">
        <v>485</v>
      </c>
      <c r="G133" s="1" t="s">
        <v>517</v>
      </c>
      <c r="H133" s="1" t="s">
        <v>165</v>
      </c>
      <c r="I133" s="1" t="str">
        <f t="shared" si="1"/>
        <v>x</v>
      </c>
      <c r="J133" s="5"/>
      <c r="K133" s="1" t="str">
        <f t="shared" si="2"/>
        <v>x</v>
      </c>
      <c r="L133" s="1">
        <v>1.0</v>
      </c>
      <c r="M133" s="2" t="str">
        <f t="shared" si="3"/>
        <v>1402</v>
      </c>
      <c r="N133" s="1">
        <v>33.0</v>
      </c>
      <c r="O133" s="2">
        <v>2.0</v>
      </c>
      <c r="P133" s="5"/>
      <c r="Q133" s="5"/>
      <c r="R133" s="8" t="s">
        <v>166</v>
      </c>
      <c r="S133" s="5"/>
      <c r="T133" s="1" t="str">
        <f>IFERROR(__xludf.DUMMYFUNCTION("INDEX(SPLIT(A133, ""/""), 2)"),"انجمن‌های علمی و نشریات وابسته به دانشکده‌ها")</f>
        <v>انجمن‌های علمی و نشریات وابسته به دانشکده‌ها</v>
      </c>
      <c r="U133" s="1" t="str">
        <f>IFERROR(__xludf.DUMMYFUNCTION("INDEX(SPLIT(A133, ""/""), 3)"),"دانشکده مهندسی عمران")</f>
        <v>دانشکده مهندسی عمران</v>
      </c>
      <c r="V133" s="1" t="str">
        <f>IFERROR(__xludf.DUMMYFUNCTION("INDEX(SPLIT(A133, ""/""), 4)"),"ایستا و مجله عمران")</f>
        <v>ایستا و مجله عمران</v>
      </c>
    </row>
    <row r="134">
      <c r="A134" s="1" t="s">
        <v>481</v>
      </c>
      <c r="B134" s="1" t="s">
        <v>524</v>
      </c>
      <c r="C134" s="1" t="s">
        <v>21</v>
      </c>
      <c r="D134" s="4" t="s">
        <v>525</v>
      </c>
      <c r="E134" s="1" t="s">
        <v>484</v>
      </c>
      <c r="F134" s="1" t="s">
        <v>485</v>
      </c>
      <c r="G134" s="1" t="s">
        <v>517</v>
      </c>
      <c r="H134" s="1" t="s">
        <v>165</v>
      </c>
      <c r="I134" s="1" t="str">
        <f t="shared" si="1"/>
        <v>x</v>
      </c>
      <c r="J134" s="5"/>
      <c r="K134" s="1" t="str">
        <f t="shared" si="2"/>
        <v>x</v>
      </c>
      <c r="L134" s="1">
        <v>1.0</v>
      </c>
      <c r="M134" s="2" t="str">
        <f t="shared" si="3"/>
        <v>1402</v>
      </c>
      <c r="N134" s="1">
        <v>33.0</v>
      </c>
      <c r="O134" s="2">
        <v>3.0</v>
      </c>
      <c r="P134" s="5"/>
      <c r="Q134" s="5"/>
      <c r="R134" s="8" t="s">
        <v>166</v>
      </c>
      <c r="S134" s="5"/>
      <c r="T134" s="1" t="str">
        <f>IFERROR(__xludf.DUMMYFUNCTION("INDEX(SPLIT(A134, ""/""), 2)"),"انجمن‌های علمی و نشریات وابسته به دانشکده‌ها")</f>
        <v>انجمن‌های علمی و نشریات وابسته به دانشکده‌ها</v>
      </c>
      <c r="U134" s="1" t="str">
        <f>IFERROR(__xludf.DUMMYFUNCTION("INDEX(SPLIT(A134, ""/""), 3)"),"دانشکده مهندسی عمران")</f>
        <v>دانشکده مهندسی عمران</v>
      </c>
      <c r="V134" s="1" t="str">
        <f>IFERROR(__xludf.DUMMYFUNCTION("INDEX(SPLIT(A134, ""/""), 4)"),"ایستا و مجله عمران")</f>
        <v>ایستا و مجله عمران</v>
      </c>
    </row>
    <row r="135">
      <c r="A135" s="1" t="s">
        <v>481</v>
      </c>
      <c r="B135" s="1" t="s">
        <v>526</v>
      </c>
      <c r="C135" s="1" t="s">
        <v>21</v>
      </c>
      <c r="D135" s="4" t="s">
        <v>527</v>
      </c>
      <c r="E135" s="1" t="s">
        <v>484</v>
      </c>
      <c r="F135" s="1" t="s">
        <v>485</v>
      </c>
      <c r="G135" s="1" t="s">
        <v>528</v>
      </c>
      <c r="H135" s="1" t="s">
        <v>529</v>
      </c>
      <c r="I135" s="1" t="str">
        <f t="shared" si="1"/>
        <v>x</v>
      </c>
      <c r="J135" s="5"/>
      <c r="K135" s="1" t="str">
        <f t="shared" si="2"/>
        <v>11</v>
      </c>
      <c r="L135" s="5"/>
      <c r="M135" s="2" t="str">
        <f t="shared" si="3"/>
        <v>1402</v>
      </c>
      <c r="N135" s="1">
        <v>34.0</v>
      </c>
      <c r="O135" s="2">
        <v>1.0</v>
      </c>
      <c r="P135" s="5"/>
      <c r="Q135" s="5"/>
      <c r="R135" s="6" t="s">
        <v>530</v>
      </c>
      <c r="S135" s="5"/>
      <c r="T135" s="1" t="str">
        <f>IFERROR(__xludf.DUMMYFUNCTION("INDEX(SPLIT(A135, ""/""), 2)"),"انجمن‌های علمی و نشریات وابسته به دانشکده‌ها")</f>
        <v>انجمن‌های علمی و نشریات وابسته به دانشکده‌ها</v>
      </c>
      <c r="U135" s="1" t="str">
        <f>IFERROR(__xludf.DUMMYFUNCTION("INDEX(SPLIT(A135, ""/""), 3)"),"دانشکده مهندسی عمران")</f>
        <v>دانشکده مهندسی عمران</v>
      </c>
      <c r="V135" s="1" t="str">
        <f>IFERROR(__xludf.DUMMYFUNCTION("INDEX(SPLIT(A135, ""/""), 4)"),"ایستا و مجله عمران")</f>
        <v>ایستا و مجله عمران</v>
      </c>
    </row>
    <row r="136">
      <c r="A136" s="1" t="s">
        <v>481</v>
      </c>
      <c r="B136" s="1" t="s">
        <v>531</v>
      </c>
      <c r="C136" s="1" t="s">
        <v>21</v>
      </c>
      <c r="D136" s="4" t="s">
        <v>532</v>
      </c>
      <c r="E136" s="1" t="s">
        <v>484</v>
      </c>
      <c r="F136" s="1" t="s">
        <v>533</v>
      </c>
      <c r="G136" s="1" t="s">
        <v>528</v>
      </c>
      <c r="H136" s="1" t="s">
        <v>534</v>
      </c>
      <c r="I136" s="1" t="str">
        <f t="shared" si="1"/>
        <v>x</v>
      </c>
      <c r="J136" s="5"/>
      <c r="K136" s="1" t="str">
        <f t="shared" si="2"/>
        <v>1</v>
      </c>
      <c r="L136" s="5"/>
      <c r="M136" s="2" t="str">
        <f t="shared" si="3"/>
        <v>1403</v>
      </c>
      <c r="N136" s="1">
        <v>34.0</v>
      </c>
      <c r="O136" s="2">
        <v>2.0</v>
      </c>
      <c r="P136" s="5"/>
      <c r="Q136" s="5"/>
      <c r="R136" s="6" t="s">
        <v>535</v>
      </c>
      <c r="S136" s="5"/>
      <c r="T136" s="1" t="str">
        <f>IFERROR(__xludf.DUMMYFUNCTION("INDEX(SPLIT(A136, ""/""), 2)"),"انجمن‌های علمی و نشریات وابسته به دانشکده‌ها")</f>
        <v>انجمن‌های علمی و نشریات وابسته به دانشکده‌ها</v>
      </c>
      <c r="U136" s="1" t="str">
        <f>IFERROR(__xludf.DUMMYFUNCTION("INDEX(SPLIT(A136, ""/""), 3)"),"دانشکده مهندسی عمران")</f>
        <v>دانشکده مهندسی عمران</v>
      </c>
      <c r="V136" s="1" t="str">
        <f>IFERROR(__xludf.DUMMYFUNCTION("INDEX(SPLIT(A136, ""/""), 4)"),"ایستا و مجله عمران")</f>
        <v>ایستا و مجله عمران</v>
      </c>
    </row>
    <row r="137">
      <c r="A137" s="1" t="s">
        <v>481</v>
      </c>
      <c r="B137" s="1" t="s">
        <v>536</v>
      </c>
      <c r="C137" s="1" t="s">
        <v>21</v>
      </c>
      <c r="D137" s="4" t="s">
        <v>537</v>
      </c>
      <c r="E137" s="1" t="s">
        <v>484</v>
      </c>
      <c r="F137" s="1" t="s">
        <v>533</v>
      </c>
      <c r="G137" s="1" t="s">
        <v>528</v>
      </c>
      <c r="H137" s="1" t="s">
        <v>471</v>
      </c>
      <c r="I137" s="1" t="str">
        <f t="shared" si="1"/>
        <v>x</v>
      </c>
      <c r="J137" s="5"/>
      <c r="K137" s="1" t="str">
        <f t="shared" si="2"/>
        <v>3</v>
      </c>
      <c r="L137" s="5"/>
      <c r="M137" s="2" t="str">
        <f t="shared" si="3"/>
        <v>1403</v>
      </c>
      <c r="N137" s="1">
        <v>34.0</v>
      </c>
      <c r="O137" s="2">
        <v>3.0</v>
      </c>
      <c r="P137" s="5"/>
      <c r="Q137" s="5"/>
      <c r="R137" s="6" t="s">
        <v>472</v>
      </c>
      <c r="S137" s="5"/>
      <c r="T137" s="1" t="str">
        <f>IFERROR(__xludf.DUMMYFUNCTION("INDEX(SPLIT(A137, ""/""), 2)"),"انجمن‌های علمی و نشریات وابسته به دانشکده‌ها")</f>
        <v>انجمن‌های علمی و نشریات وابسته به دانشکده‌ها</v>
      </c>
      <c r="U137" s="1" t="str">
        <f>IFERROR(__xludf.DUMMYFUNCTION("INDEX(SPLIT(A137, ""/""), 3)"),"دانشکده مهندسی عمران")</f>
        <v>دانشکده مهندسی عمران</v>
      </c>
      <c r="V137" s="1" t="str">
        <f>IFERROR(__xludf.DUMMYFUNCTION("INDEX(SPLIT(A137, ""/""), 4)"),"ایستا و مجله عمران")</f>
        <v>ایستا و مجله عمران</v>
      </c>
    </row>
    <row r="138">
      <c r="A138" s="1" t="s">
        <v>481</v>
      </c>
      <c r="B138" s="1" t="s">
        <v>538</v>
      </c>
      <c r="C138" s="1" t="s">
        <v>21</v>
      </c>
      <c r="D138" s="4" t="s">
        <v>539</v>
      </c>
      <c r="E138" s="1" t="s">
        <v>484</v>
      </c>
      <c r="F138" s="1" t="s">
        <v>533</v>
      </c>
      <c r="G138" s="1" t="s">
        <v>528</v>
      </c>
      <c r="H138" s="1" t="s">
        <v>540</v>
      </c>
      <c r="I138" s="1" t="str">
        <f t="shared" si="1"/>
        <v>x</v>
      </c>
      <c r="J138" s="5"/>
      <c r="K138" s="1" t="str">
        <f t="shared" si="2"/>
        <v>4</v>
      </c>
      <c r="L138" s="5"/>
      <c r="M138" s="2" t="str">
        <f t="shared" si="3"/>
        <v>1403</v>
      </c>
      <c r="N138" s="1">
        <v>34.0</v>
      </c>
      <c r="O138" s="2">
        <v>4.0</v>
      </c>
      <c r="P138" s="5"/>
      <c r="Q138" s="5"/>
      <c r="R138" s="6" t="s">
        <v>541</v>
      </c>
      <c r="S138" s="5"/>
      <c r="T138" s="1" t="str">
        <f>IFERROR(__xludf.DUMMYFUNCTION("INDEX(SPLIT(A138, ""/""), 2)"),"انجمن‌های علمی و نشریات وابسته به دانشکده‌ها")</f>
        <v>انجمن‌های علمی و نشریات وابسته به دانشکده‌ها</v>
      </c>
      <c r="U138" s="1" t="str">
        <f>IFERROR(__xludf.DUMMYFUNCTION("INDEX(SPLIT(A138, ""/""), 3)"),"دانشکده مهندسی عمران")</f>
        <v>دانشکده مهندسی عمران</v>
      </c>
      <c r="V138" s="1" t="str">
        <f>IFERROR(__xludf.DUMMYFUNCTION("INDEX(SPLIT(A138, ""/""), 4)"),"ایستا و مجله عمران")</f>
        <v>ایستا و مجله عمران</v>
      </c>
    </row>
    <row r="139">
      <c r="A139" s="1" t="s">
        <v>481</v>
      </c>
      <c r="B139" s="1" t="s">
        <v>542</v>
      </c>
      <c r="C139" s="1" t="s">
        <v>21</v>
      </c>
      <c r="D139" s="4" t="s">
        <v>543</v>
      </c>
      <c r="E139" s="1" t="s">
        <v>484</v>
      </c>
      <c r="F139" s="1" t="s">
        <v>533</v>
      </c>
      <c r="G139" s="1" t="s">
        <v>544</v>
      </c>
      <c r="H139" s="7" t="s">
        <v>545</v>
      </c>
      <c r="I139" s="1" t="str">
        <f t="shared" si="1"/>
        <v>5</v>
      </c>
      <c r="J139" s="5"/>
      <c r="K139" s="1" t="str">
        <f t="shared" si="2"/>
        <v>8</v>
      </c>
      <c r="L139" s="5"/>
      <c r="M139" s="2" t="str">
        <f t="shared" si="3"/>
        <v>1403</v>
      </c>
      <c r="N139" s="1">
        <v>35.0</v>
      </c>
      <c r="O139" s="2">
        <v>1.0</v>
      </c>
      <c r="P139" s="5"/>
      <c r="Q139" s="5"/>
      <c r="R139" s="8" t="s">
        <v>545</v>
      </c>
      <c r="S139" s="5"/>
      <c r="T139" s="1" t="str">
        <f>IFERROR(__xludf.DUMMYFUNCTION("INDEX(SPLIT(A139, ""/""), 2)"),"انجمن‌های علمی و نشریات وابسته به دانشکده‌ها")</f>
        <v>انجمن‌های علمی و نشریات وابسته به دانشکده‌ها</v>
      </c>
      <c r="U139" s="1" t="str">
        <f>IFERROR(__xludf.DUMMYFUNCTION("INDEX(SPLIT(A139, ""/""), 3)"),"دانشکده مهندسی عمران")</f>
        <v>دانشکده مهندسی عمران</v>
      </c>
      <c r="V139" s="1" t="str">
        <f>IFERROR(__xludf.DUMMYFUNCTION("INDEX(SPLIT(A139, ""/""), 4)"),"ایستا و مجله عمران")</f>
        <v>ایستا و مجله عمران</v>
      </c>
    </row>
    <row r="140">
      <c r="A140" s="1" t="s">
        <v>481</v>
      </c>
      <c r="B140" s="1" t="s">
        <v>546</v>
      </c>
      <c r="C140" s="1" t="s">
        <v>21</v>
      </c>
      <c r="D140" s="4" t="s">
        <v>547</v>
      </c>
      <c r="E140" s="1" t="s">
        <v>484</v>
      </c>
      <c r="F140" s="1" t="s">
        <v>533</v>
      </c>
      <c r="G140" s="1" t="s">
        <v>544</v>
      </c>
      <c r="H140" s="1" t="s">
        <v>548</v>
      </c>
      <c r="I140" s="1" t="str">
        <f t="shared" si="1"/>
        <v>x</v>
      </c>
      <c r="J140" s="5"/>
      <c r="K140" s="1" t="str">
        <f t="shared" si="2"/>
        <v>7</v>
      </c>
      <c r="L140" s="5"/>
      <c r="M140" s="2" t="str">
        <f t="shared" si="3"/>
        <v>1403</v>
      </c>
      <c r="N140" s="1">
        <v>35.0</v>
      </c>
      <c r="O140" s="2">
        <v>2.0</v>
      </c>
      <c r="P140" s="5"/>
      <c r="Q140" s="5"/>
      <c r="R140" s="6" t="s">
        <v>549</v>
      </c>
      <c r="S140" s="5"/>
      <c r="T140" s="1" t="str">
        <f>IFERROR(__xludf.DUMMYFUNCTION("INDEX(SPLIT(A140, ""/""), 2)"),"انجمن‌های علمی و نشریات وابسته به دانشکده‌ها")</f>
        <v>انجمن‌های علمی و نشریات وابسته به دانشکده‌ها</v>
      </c>
      <c r="U140" s="1" t="str">
        <f>IFERROR(__xludf.DUMMYFUNCTION("INDEX(SPLIT(A140, ""/""), 3)"),"دانشکده مهندسی عمران")</f>
        <v>دانشکده مهندسی عمران</v>
      </c>
      <c r="V140" s="1" t="str">
        <f>IFERROR(__xludf.DUMMYFUNCTION("INDEX(SPLIT(A140, ""/""), 4)"),"ایستا و مجله عمران")</f>
        <v>ایستا و مجله عمران</v>
      </c>
    </row>
    <row r="141">
      <c r="A141" s="1" t="s">
        <v>481</v>
      </c>
      <c r="B141" s="1" t="s">
        <v>550</v>
      </c>
      <c r="C141" s="1" t="s">
        <v>21</v>
      </c>
      <c r="D141" s="4" t="s">
        <v>551</v>
      </c>
      <c r="E141" s="1" t="s">
        <v>484</v>
      </c>
      <c r="F141" s="1" t="s">
        <v>533</v>
      </c>
      <c r="G141" s="1" t="s">
        <v>544</v>
      </c>
      <c r="H141" s="1" t="s">
        <v>552</v>
      </c>
      <c r="I141" s="1" t="str">
        <f t="shared" si="1"/>
        <v>22</v>
      </c>
      <c r="J141" s="5"/>
      <c r="K141" s="1" t="str">
        <f t="shared" si="2"/>
        <v>11</v>
      </c>
      <c r="L141" s="5"/>
      <c r="M141" s="2" t="str">
        <f t="shared" si="3"/>
        <v>1403</v>
      </c>
      <c r="N141" s="1">
        <v>35.0</v>
      </c>
      <c r="O141" s="2">
        <v>3.0</v>
      </c>
      <c r="P141" s="5"/>
      <c r="Q141" s="5"/>
      <c r="R141" s="6" t="s">
        <v>552</v>
      </c>
      <c r="S141" s="5"/>
      <c r="T141" s="1" t="str">
        <f>IFERROR(__xludf.DUMMYFUNCTION("INDEX(SPLIT(A141, ""/""), 2)"),"انجمن‌های علمی و نشریات وابسته به دانشکده‌ها")</f>
        <v>انجمن‌های علمی و نشریات وابسته به دانشکده‌ها</v>
      </c>
      <c r="U141" s="1" t="str">
        <f>IFERROR(__xludf.DUMMYFUNCTION("INDEX(SPLIT(A141, ""/""), 3)"),"دانشکده مهندسی عمران")</f>
        <v>دانشکده مهندسی عمران</v>
      </c>
      <c r="V141" s="1" t="str">
        <f>IFERROR(__xludf.DUMMYFUNCTION("INDEX(SPLIT(A141, ""/""), 4)"),"ایستا و مجله عمران")</f>
        <v>ایستا و مجله عمران</v>
      </c>
    </row>
    <row r="142">
      <c r="A142" s="1" t="s">
        <v>553</v>
      </c>
      <c r="B142" s="1" t="s">
        <v>554</v>
      </c>
      <c r="C142" s="1" t="s">
        <v>21</v>
      </c>
      <c r="D142" s="4" t="s">
        <v>555</v>
      </c>
      <c r="E142" s="1" t="s">
        <v>556</v>
      </c>
      <c r="F142" s="1" t="s">
        <v>557</v>
      </c>
      <c r="G142" s="1" t="s">
        <v>558</v>
      </c>
      <c r="H142" s="1" t="s">
        <v>559</v>
      </c>
      <c r="I142" s="1" t="str">
        <f t="shared" si="1"/>
        <v>x</v>
      </c>
      <c r="J142" s="5"/>
      <c r="K142" s="1" t="str">
        <f t="shared" si="2"/>
        <v>3</v>
      </c>
      <c r="L142" s="5"/>
      <c r="M142" s="2" t="str">
        <f t="shared" si="3"/>
        <v>1391</v>
      </c>
      <c r="N142" s="5"/>
      <c r="O142" s="2">
        <v>2.0</v>
      </c>
      <c r="P142" s="5"/>
      <c r="Q142" s="5"/>
      <c r="R142" s="6" t="s">
        <v>560</v>
      </c>
      <c r="S142" s="5"/>
      <c r="T142" s="1" t="str">
        <f>IFERROR(__xludf.DUMMYFUNCTION("INDEX(SPLIT(A142, ""/""), 2)"),"انجمن‌های علمی و نشریات وابسته به دانشکده‌ها")</f>
        <v>انجمن‌های علمی و نشریات وابسته به دانشکده‌ها</v>
      </c>
      <c r="U142" s="1" t="str">
        <f>IFERROR(__xludf.DUMMYFUNCTION("INDEX(SPLIT(A142, ""/""), 3)"),"دانشکده مهندسی برق")</f>
        <v>دانشکده مهندسی برق</v>
      </c>
      <c r="V142" s="1" t="str">
        <f>IFERROR(__xludf.DUMMYFUNCTION("INDEX(SPLIT(A142, ""/""), 4)"),"بارقه")</f>
        <v>بارقه</v>
      </c>
    </row>
    <row r="143">
      <c r="A143" s="1" t="s">
        <v>553</v>
      </c>
      <c r="B143" s="1" t="s">
        <v>561</v>
      </c>
      <c r="C143" s="1" t="s">
        <v>21</v>
      </c>
      <c r="D143" s="4" t="s">
        <v>562</v>
      </c>
      <c r="E143" s="1" t="s">
        <v>563</v>
      </c>
      <c r="F143" s="1" t="s">
        <v>557</v>
      </c>
      <c r="G143" s="1" t="s">
        <v>564</v>
      </c>
      <c r="H143" s="1" t="s">
        <v>291</v>
      </c>
      <c r="I143" s="1" t="str">
        <f t="shared" si="1"/>
        <v>x</v>
      </c>
      <c r="J143" s="5"/>
      <c r="K143" s="1" t="str">
        <f t="shared" si="2"/>
        <v>x</v>
      </c>
      <c r="L143" s="5"/>
      <c r="M143" s="2" t="str">
        <f t="shared" si="3"/>
        <v>x</v>
      </c>
      <c r="N143" s="5"/>
      <c r="O143" s="2">
        <v>3.0</v>
      </c>
      <c r="P143" s="7" t="s">
        <v>565</v>
      </c>
      <c r="Q143" s="1" t="s">
        <v>566</v>
      </c>
      <c r="R143" s="6" t="s">
        <v>567</v>
      </c>
      <c r="S143" s="5"/>
      <c r="T143" s="1" t="str">
        <f>IFERROR(__xludf.DUMMYFUNCTION("INDEX(SPLIT(A143, ""/""), 2)"),"انجمن‌های علمی و نشریات وابسته به دانشکده‌ها")</f>
        <v>انجمن‌های علمی و نشریات وابسته به دانشکده‌ها</v>
      </c>
      <c r="U143" s="1" t="str">
        <f>IFERROR(__xludf.DUMMYFUNCTION("INDEX(SPLIT(A143, ""/""), 3)"),"دانشکده مهندسی برق")</f>
        <v>دانشکده مهندسی برق</v>
      </c>
      <c r="V143" s="1" t="str">
        <f>IFERROR(__xludf.DUMMYFUNCTION("INDEX(SPLIT(A143, ""/""), 4)"),"بارقه")</f>
        <v>بارقه</v>
      </c>
    </row>
    <row r="144">
      <c r="A144" s="1" t="s">
        <v>553</v>
      </c>
      <c r="B144" s="1" t="s">
        <v>568</v>
      </c>
      <c r="C144" s="1" t="s">
        <v>21</v>
      </c>
      <c r="D144" s="4" t="s">
        <v>569</v>
      </c>
      <c r="E144" s="1" t="s">
        <v>563</v>
      </c>
      <c r="F144" s="1" t="s">
        <v>557</v>
      </c>
      <c r="G144" s="1" t="s">
        <v>564</v>
      </c>
      <c r="H144" s="1" t="s">
        <v>291</v>
      </c>
      <c r="I144" s="1" t="str">
        <f t="shared" si="1"/>
        <v>x</v>
      </c>
      <c r="J144" s="5"/>
      <c r="K144" s="1" t="str">
        <f t="shared" si="2"/>
        <v>x</v>
      </c>
      <c r="L144" s="5"/>
      <c r="M144" s="2" t="str">
        <f t="shared" si="3"/>
        <v>x</v>
      </c>
      <c r="N144" s="5"/>
      <c r="O144" s="2" t="s">
        <v>570</v>
      </c>
      <c r="P144" s="7" t="s">
        <v>565</v>
      </c>
      <c r="Q144" s="1" t="s">
        <v>566</v>
      </c>
      <c r="R144" s="6" t="s">
        <v>567</v>
      </c>
      <c r="S144" s="5"/>
      <c r="T144" s="1" t="str">
        <f>IFERROR(__xludf.DUMMYFUNCTION("INDEX(SPLIT(A144, ""/""), 2)"),"انجمن‌های علمی و نشریات وابسته به دانشکده‌ها")</f>
        <v>انجمن‌های علمی و نشریات وابسته به دانشکده‌ها</v>
      </c>
      <c r="U144" s="1" t="str">
        <f>IFERROR(__xludf.DUMMYFUNCTION("INDEX(SPLIT(A144, ""/""), 3)"),"دانشکده مهندسی برق")</f>
        <v>دانشکده مهندسی برق</v>
      </c>
      <c r="V144" s="1" t="str">
        <f>IFERROR(__xludf.DUMMYFUNCTION("INDEX(SPLIT(A144, ""/""), 4)"),"بارقه")</f>
        <v>بارقه</v>
      </c>
    </row>
    <row r="145">
      <c r="A145" s="1" t="s">
        <v>553</v>
      </c>
      <c r="B145" s="1" t="s">
        <v>571</v>
      </c>
      <c r="C145" s="1" t="s">
        <v>21</v>
      </c>
      <c r="D145" s="4" t="s">
        <v>572</v>
      </c>
      <c r="E145" s="1" t="s">
        <v>563</v>
      </c>
      <c r="F145" s="1" t="s">
        <v>563</v>
      </c>
      <c r="G145" s="1" t="s">
        <v>564</v>
      </c>
      <c r="H145" s="1" t="s">
        <v>291</v>
      </c>
      <c r="I145" s="1" t="str">
        <f t="shared" si="1"/>
        <v>x</v>
      </c>
      <c r="J145" s="5"/>
      <c r="K145" s="1" t="str">
        <f t="shared" si="2"/>
        <v>x</v>
      </c>
      <c r="L145" s="5"/>
      <c r="M145" s="2" t="str">
        <f t="shared" si="3"/>
        <v>x</v>
      </c>
      <c r="N145" s="5"/>
      <c r="O145" s="2">
        <v>4.0</v>
      </c>
      <c r="P145" s="7" t="s">
        <v>565</v>
      </c>
      <c r="Q145" s="1" t="s">
        <v>566</v>
      </c>
      <c r="R145" s="6" t="s">
        <v>567</v>
      </c>
      <c r="S145" s="5"/>
      <c r="T145" s="1" t="str">
        <f>IFERROR(__xludf.DUMMYFUNCTION("INDEX(SPLIT(A145, ""/""), 2)"),"انجمن‌های علمی و نشریات وابسته به دانشکده‌ها")</f>
        <v>انجمن‌های علمی و نشریات وابسته به دانشکده‌ها</v>
      </c>
      <c r="U145" s="1" t="str">
        <f>IFERROR(__xludf.DUMMYFUNCTION("INDEX(SPLIT(A145, ""/""), 3)"),"دانشکده مهندسی برق")</f>
        <v>دانشکده مهندسی برق</v>
      </c>
      <c r="V145" s="1" t="str">
        <f>IFERROR(__xludf.DUMMYFUNCTION("INDEX(SPLIT(A145, ""/""), 4)"),"بارقه")</f>
        <v>بارقه</v>
      </c>
    </row>
    <row r="146">
      <c r="A146" s="1" t="s">
        <v>553</v>
      </c>
      <c r="B146" s="1" t="s">
        <v>573</v>
      </c>
      <c r="C146" s="1" t="s">
        <v>21</v>
      </c>
      <c r="D146" s="4" t="s">
        <v>574</v>
      </c>
      <c r="E146" s="1" t="s">
        <v>575</v>
      </c>
      <c r="F146" s="1" t="s">
        <v>575</v>
      </c>
      <c r="G146" s="1" t="s">
        <v>576</v>
      </c>
      <c r="H146" s="1" t="s">
        <v>291</v>
      </c>
      <c r="I146" s="1" t="str">
        <f t="shared" si="1"/>
        <v>x</v>
      </c>
      <c r="J146" s="5"/>
      <c r="K146" s="1" t="str">
        <f t="shared" si="2"/>
        <v>x</v>
      </c>
      <c r="L146" s="5"/>
      <c r="M146" s="2" t="str">
        <f t="shared" si="3"/>
        <v>x</v>
      </c>
      <c r="N146" s="5"/>
      <c r="O146" s="2">
        <v>5.0</v>
      </c>
      <c r="P146" s="7" t="s">
        <v>565</v>
      </c>
      <c r="Q146" s="1" t="s">
        <v>566</v>
      </c>
      <c r="R146" s="6" t="s">
        <v>567</v>
      </c>
      <c r="S146" s="5"/>
      <c r="T146" s="1" t="str">
        <f>IFERROR(__xludf.DUMMYFUNCTION("INDEX(SPLIT(A146, ""/""), 2)"),"انجمن‌های علمی و نشریات وابسته به دانشکده‌ها")</f>
        <v>انجمن‌های علمی و نشریات وابسته به دانشکده‌ها</v>
      </c>
      <c r="U146" s="1" t="str">
        <f>IFERROR(__xludf.DUMMYFUNCTION("INDEX(SPLIT(A146, ""/""), 3)"),"دانشکده مهندسی برق")</f>
        <v>دانشکده مهندسی برق</v>
      </c>
      <c r="V146" s="1" t="str">
        <f>IFERROR(__xludf.DUMMYFUNCTION("INDEX(SPLIT(A146, ""/""), 4)"),"بارقه")</f>
        <v>بارقه</v>
      </c>
    </row>
    <row r="147">
      <c r="A147" s="1" t="s">
        <v>553</v>
      </c>
      <c r="B147" s="1" t="s">
        <v>577</v>
      </c>
      <c r="C147" s="1" t="s">
        <v>21</v>
      </c>
      <c r="D147" s="4" t="s">
        <v>578</v>
      </c>
      <c r="E147" s="1" t="s">
        <v>575</v>
      </c>
      <c r="F147" s="1" t="s">
        <v>575</v>
      </c>
      <c r="G147" s="1" t="s">
        <v>576</v>
      </c>
      <c r="H147" s="1" t="s">
        <v>579</v>
      </c>
      <c r="I147" s="1" t="str">
        <f t="shared" si="1"/>
        <v>x</v>
      </c>
      <c r="J147" s="5"/>
      <c r="K147" s="1" t="str">
        <f t="shared" si="2"/>
        <v>3</v>
      </c>
      <c r="L147" s="5"/>
      <c r="M147" s="2" t="str">
        <f t="shared" si="3"/>
        <v>1393</v>
      </c>
      <c r="N147" s="5"/>
      <c r="O147" s="2">
        <v>6.0</v>
      </c>
      <c r="P147" s="5"/>
      <c r="Q147" s="5"/>
      <c r="R147" s="6" t="s">
        <v>580</v>
      </c>
      <c r="S147" s="5"/>
      <c r="T147" s="1" t="str">
        <f>IFERROR(__xludf.DUMMYFUNCTION("INDEX(SPLIT(A147, ""/""), 2)"),"انجمن‌های علمی و نشریات وابسته به دانشکده‌ها")</f>
        <v>انجمن‌های علمی و نشریات وابسته به دانشکده‌ها</v>
      </c>
      <c r="U147" s="1" t="str">
        <f>IFERROR(__xludf.DUMMYFUNCTION("INDEX(SPLIT(A147, ""/""), 3)"),"دانشکده مهندسی برق")</f>
        <v>دانشکده مهندسی برق</v>
      </c>
      <c r="V147" s="1" t="str">
        <f>IFERROR(__xludf.DUMMYFUNCTION("INDEX(SPLIT(A147, ""/""), 4)"),"بارقه")</f>
        <v>بارقه</v>
      </c>
    </row>
    <row r="148">
      <c r="A148" s="1" t="s">
        <v>553</v>
      </c>
      <c r="B148" s="1" t="s">
        <v>581</v>
      </c>
      <c r="C148" s="1" t="s">
        <v>21</v>
      </c>
      <c r="D148" s="4" t="s">
        <v>582</v>
      </c>
      <c r="E148" s="1" t="s">
        <v>575</v>
      </c>
      <c r="F148" s="1" t="s">
        <v>575</v>
      </c>
      <c r="G148" s="1" t="s">
        <v>576</v>
      </c>
      <c r="H148" s="1" t="s">
        <v>291</v>
      </c>
      <c r="I148" s="1" t="str">
        <f t="shared" si="1"/>
        <v>x</v>
      </c>
      <c r="J148" s="5"/>
      <c r="K148" s="1" t="str">
        <f t="shared" si="2"/>
        <v>x</v>
      </c>
      <c r="L148" s="5"/>
      <c r="M148" s="2" t="str">
        <f t="shared" si="3"/>
        <v>x</v>
      </c>
      <c r="N148" s="5"/>
      <c r="O148" s="2">
        <v>7.0</v>
      </c>
      <c r="P148" s="7" t="s">
        <v>583</v>
      </c>
      <c r="Q148" s="1" t="s">
        <v>584</v>
      </c>
      <c r="R148" s="6" t="s">
        <v>585</v>
      </c>
      <c r="S148" s="5"/>
      <c r="T148" s="1" t="str">
        <f>IFERROR(__xludf.DUMMYFUNCTION("INDEX(SPLIT(A148, ""/""), 2)"),"انجمن‌های علمی و نشریات وابسته به دانشکده‌ها")</f>
        <v>انجمن‌های علمی و نشریات وابسته به دانشکده‌ها</v>
      </c>
      <c r="U148" s="1" t="str">
        <f>IFERROR(__xludf.DUMMYFUNCTION("INDEX(SPLIT(A148, ""/""), 3)"),"دانشکده مهندسی برق")</f>
        <v>دانشکده مهندسی برق</v>
      </c>
      <c r="V148" s="1" t="str">
        <f>IFERROR(__xludf.DUMMYFUNCTION("INDEX(SPLIT(A148, ""/""), 4)"),"بارقه")</f>
        <v>بارقه</v>
      </c>
    </row>
    <row r="149">
      <c r="A149" s="1" t="s">
        <v>553</v>
      </c>
      <c r="B149" s="1" t="s">
        <v>586</v>
      </c>
      <c r="C149" s="1" t="s">
        <v>21</v>
      </c>
      <c r="D149" s="4" t="s">
        <v>587</v>
      </c>
      <c r="E149" s="1" t="s">
        <v>588</v>
      </c>
      <c r="F149" s="1" t="s">
        <v>588</v>
      </c>
      <c r="G149" s="1" t="s">
        <v>576</v>
      </c>
      <c r="H149" s="1" t="s">
        <v>291</v>
      </c>
      <c r="I149" s="1" t="str">
        <f t="shared" si="1"/>
        <v>x</v>
      </c>
      <c r="J149" s="5"/>
      <c r="K149" s="1" t="str">
        <f t="shared" si="2"/>
        <v>x</v>
      </c>
      <c r="L149" s="5"/>
      <c r="M149" s="2" t="str">
        <f t="shared" si="3"/>
        <v>x</v>
      </c>
      <c r="N149" s="5"/>
      <c r="O149" s="2">
        <v>8.0</v>
      </c>
      <c r="P149" s="7" t="s">
        <v>583</v>
      </c>
      <c r="Q149" s="1" t="s">
        <v>584</v>
      </c>
      <c r="R149" s="6" t="s">
        <v>585</v>
      </c>
      <c r="S149" s="5"/>
      <c r="T149" s="1" t="str">
        <f>IFERROR(__xludf.DUMMYFUNCTION("INDEX(SPLIT(A149, ""/""), 2)"),"انجمن‌های علمی و نشریات وابسته به دانشکده‌ها")</f>
        <v>انجمن‌های علمی و نشریات وابسته به دانشکده‌ها</v>
      </c>
      <c r="U149" s="1" t="str">
        <f>IFERROR(__xludf.DUMMYFUNCTION("INDEX(SPLIT(A149, ""/""), 3)"),"دانشکده مهندسی برق")</f>
        <v>دانشکده مهندسی برق</v>
      </c>
      <c r="V149" s="1" t="str">
        <f>IFERROR(__xludf.DUMMYFUNCTION("INDEX(SPLIT(A149, ""/""), 4)"),"بارقه")</f>
        <v>بارقه</v>
      </c>
    </row>
    <row r="150">
      <c r="A150" s="1" t="s">
        <v>553</v>
      </c>
      <c r="B150" s="1" t="s">
        <v>589</v>
      </c>
      <c r="C150" s="1" t="s">
        <v>21</v>
      </c>
      <c r="D150" s="4" t="s">
        <v>590</v>
      </c>
      <c r="E150" s="1" t="s">
        <v>588</v>
      </c>
      <c r="F150" s="1" t="s">
        <v>588</v>
      </c>
      <c r="G150" s="1" t="s">
        <v>576</v>
      </c>
      <c r="H150" s="1" t="s">
        <v>591</v>
      </c>
      <c r="I150" s="1" t="str">
        <f t="shared" si="1"/>
        <v>x</v>
      </c>
      <c r="J150" s="5"/>
      <c r="K150" s="1" t="str">
        <f t="shared" si="2"/>
        <v>2</v>
      </c>
      <c r="L150" s="5"/>
      <c r="M150" s="2" t="str">
        <f t="shared" si="3"/>
        <v>1394</v>
      </c>
      <c r="N150" s="5"/>
      <c r="O150" s="2">
        <v>9.0</v>
      </c>
      <c r="P150" s="5"/>
      <c r="Q150" s="5"/>
      <c r="R150" s="6" t="s">
        <v>592</v>
      </c>
      <c r="S150" s="5"/>
      <c r="T150" s="1" t="str">
        <f>IFERROR(__xludf.DUMMYFUNCTION("INDEX(SPLIT(A150, ""/""), 2)"),"انجمن‌های علمی و نشریات وابسته به دانشکده‌ها")</f>
        <v>انجمن‌های علمی و نشریات وابسته به دانشکده‌ها</v>
      </c>
      <c r="U150" s="1" t="str">
        <f>IFERROR(__xludf.DUMMYFUNCTION("INDEX(SPLIT(A150, ""/""), 3)"),"دانشکده مهندسی برق")</f>
        <v>دانشکده مهندسی برق</v>
      </c>
      <c r="V150" s="1" t="str">
        <f>IFERROR(__xludf.DUMMYFUNCTION("INDEX(SPLIT(A150, ""/""), 4)"),"بارقه")</f>
        <v>بارقه</v>
      </c>
    </row>
    <row r="151">
      <c r="A151" s="1" t="s">
        <v>553</v>
      </c>
      <c r="B151" s="1" t="s">
        <v>593</v>
      </c>
      <c r="C151" s="1" t="s">
        <v>21</v>
      </c>
      <c r="D151" s="4" t="s">
        <v>594</v>
      </c>
      <c r="E151" s="1" t="s">
        <v>71</v>
      </c>
      <c r="F151" s="1" t="s">
        <v>595</v>
      </c>
      <c r="G151" s="1" t="s">
        <v>596</v>
      </c>
      <c r="H151" s="1" t="s">
        <v>291</v>
      </c>
      <c r="I151" s="1" t="str">
        <f t="shared" si="1"/>
        <v>x</v>
      </c>
      <c r="J151" s="5"/>
      <c r="K151" s="1" t="str">
        <f t="shared" si="2"/>
        <v>x</v>
      </c>
      <c r="L151" s="5"/>
      <c r="M151" s="2" t="str">
        <f t="shared" si="3"/>
        <v>x</v>
      </c>
      <c r="N151" s="5"/>
      <c r="O151" s="2">
        <v>10.0</v>
      </c>
      <c r="P151" s="7" t="s">
        <v>597</v>
      </c>
      <c r="Q151" s="1" t="s">
        <v>598</v>
      </c>
      <c r="R151" s="6" t="s">
        <v>599</v>
      </c>
      <c r="S151" s="5"/>
      <c r="T151" s="1" t="str">
        <f>IFERROR(__xludf.DUMMYFUNCTION("INDEX(SPLIT(A151, ""/""), 2)"),"انجمن‌های علمی و نشریات وابسته به دانشکده‌ها")</f>
        <v>انجمن‌های علمی و نشریات وابسته به دانشکده‌ها</v>
      </c>
      <c r="U151" s="1" t="str">
        <f>IFERROR(__xludf.DUMMYFUNCTION("INDEX(SPLIT(A151, ""/""), 3)"),"دانشکده مهندسی برق")</f>
        <v>دانشکده مهندسی برق</v>
      </c>
      <c r="V151" s="1" t="str">
        <f>IFERROR(__xludf.DUMMYFUNCTION("INDEX(SPLIT(A151, ""/""), 4)"),"بارقه")</f>
        <v>بارقه</v>
      </c>
    </row>
    <row r="152">
      <c r="A152" s="1" t="s">
        <v>553</v>
      </c>
      <c r="B152" s="1" t="s">
        <v>600</v>
      </c>
      <c r="C152" s="1" t="s">
        <v>21</v>
      </c>
      <c r="D152" s="4" t="s">
        <v>601</v>
      </c>
      <c r="E152" s="1" t="s">
        <v>602</v>
      </c>
      <c r="F152" s="1" t="s">
        <v>603</v>
      </c>
      <c r="G152" s="1" t="s">
        <v>603</v>
      </c>
      <c r="H152" s="1" t="s">
        <v>270</v>
      </c>
      <c r="I152" s="1" t="str">
        <f t="shared" si="1"/>
        <v>x</v>
      </c>
      <c r="J152" s="5"/>
      <c r="K152" s="1" t="str">
        <f t="shared" si="2"/>
        <v>7</v>
      </c>
      <c r="L152" s="5"/>
      <c r="M152" s="2" t="str">
        <f t="shared" si="3"/>
        <v>1396</v>
      </c>
      <c r="N152" s="5"/>
      <c r="O152" s="2">
        <v>19.0</v>
      </c>
      <c r="P152" s="5"/>
      <c r="Q152" s="5"/>
      <c r="R152" s="6" t="s">
        <v>271</v>
      </c>
      <c r="S152" s="5"/>
      <c r="T152" s="1" t="str">
        <f>IFERROR(__xludf.DUMMYFUNCTION("INDEX(SPLIT(A152, ""/""), 2)"),"انجمن‌های علمی و نشریات وابسته به دانشکده‌ها")</f>
        <v>انجمن‌های علمی و نشریات وابسته به دانشکده‌ها</v>
      </c>
      <c r="U152" s="1" t="str">
        <f>IFERROR(__xludf.DUMMYFUNCTION("INDEX(SPLIT(A152, ""/""), 3)"),"دانشکده مهندسی برق")</f>
        <v>دانشکده مهندسی برق</v>
      </c>
      <c r="V152" s="1" t="str">
        <f>IFERROR(__xludf.DUMMYFUNCTION("INDEX(SPLIT(A152, ""/""), 4)"),"بارقه")</f>
        <v>بارقه</v>
      </c>
    </row>
    <row r="153">
      <c r="A153" s="1" t="s">
        <v>553</v>
      </c>
      <c r="B153" s="1" t="s">
        <v>604</v>
      </c>
      <c r="C153" s="1" t="s">
        <v>21</v>
      </c>
      <c r="D153" s="4" t="s">
        <v>605</v>
      </c>
      <c r="E153" s="1" t="s">
        <v>602</v>
      </c>
      <c r="F153" s="1" t="s">
        <v>603</v>
      </c>
      <c r="G153" s="1" t="s">
        <v>603</v>
      </c>
      <c r="H153" s="1" t="s">
        <v>270</v>
      </c>
      <c r="I153" s="1" t="str">
        <f t="shared" si="1"/>
        <v>x</v>
      </c>
      <c r="J153" s="5"/>
      <c r="K153" s="1" t="str">
        <f t="shared" si="2"/>
        <v>7</v>
      </c>
      <c r="L153" s="5"/>
      <c r="M153" s="2" t="str">
        <f t="shared" si="3"/>
        <v>1396</v>
      </c>
      <c r="N153" s="5"/>
      <c r="O153" s="2">
        <v>20.0</v>
      </c>
      <c r="P153" s="5"/>
      <c r="Q153" s="5"/>
      <c r="R153" s="6" t="s">
        <v>271</v>
      </c>
      <c r="S153" s="5"/>
      <c r="T153" s="1" t="str">
        <f>IFERROR(__xludf.DUMMYFUNCTION("INDEX(SPLIT(A153, ""/""), 2)"),"انجمن‌های علمی و نشریات وابسته به دانشکده‌ها")</f>
        <v>انجمن‌های علمی و نشریات وابسته به دانشکده‌ها</v>
      </c>
      <c r="U153" s="1" t="str">
        <f>IFERROR(__xludf.DUMMYFUNCTION("INDEX(SPLIT(A153, ""/""), 3)"),"دانشکده مهندسی برق")</f>
        <v>دانشکده مهندسی برق</v>
      </c>
      <c r="V153" s="1" t="str">
        <f>IFERROR(__xludf.DUMMYFUNCTION("INDEX(SPLIT(A153, ""/""), 4)"),"بارقه")</f>
        <v>بارقه</v>
      </c>
    </row>
    <row r="154">
      <c r="A154" s="1" t="s">
        <v>553</v>
      </c>
      <c r="B154" s="1" t="s">
        <v>606</v>
      </c>
      <c r="C154" s="1" t="s">
        <v>21</v>
      </c>
      <c r="D154" s="4" t="s">
        <v>607</v>
      </c>
      <c r="E154" s="1" t="s">
        <v>602</v>
      </c>
      <c r="F154" s="1" t="s">
        <v>603</v>
      </c>
      <c r="G154" s="1" t="s">
        <v>603</v>
      </c>
      <c r="H154" s="1" t="s">
        <v>608</v>
      </c>
      <c r="I154" s="1" t="str">
        <f t="shared" si="1"/>
        <v>x</v>
      </c>
      <c r="J154" s="5"/>
      <c r="K154" s="1" t="str">
        <f t="shared" si="2"/>
        <v>11</v>
      </c>
      <c r="L154" s="5"/>
      <c r="M154" s="2" t="str">
        <f t="shared" si="3"/>
        <v>1396</v>
      </c>
      <c r="N154" s="5"/>
      <c r="O154" s="2">
        <v>21.0</v>
      </c>
      <c r="P154" s="5"/>
      <c r="Q154" s="5"/>
      <c r="R154" s="6" t="s">
        <v>609</v>
      </c>
      <c r="S154" s="5"/>
      <c r="T154" s="1" t="str">
        <f>IFERROR(__xludf.DUMMYFUNCTION("INDEX(SPLIT(A154, ""/""), 2)"),"انجمن‌های علمی و نشریات وابسته به دانشکده‌ها")</f>
        <v>انجمن‌های علمی و نشریات وابسته به دانشکده‌ها</v>
      </c>
      <c r="U154" s="1" t="str">
        <f>IFERROR(__xludf.DUMMYFUNCTION("INDEX(SPLIT(A154, ""/""), 3)"),"دانشکده مهندسی برق")</f>
        <v>دانشکده مهندسی برق</v>
      </c>
      <c r="V154" s="1" t="str">
        <f>IFERROR(__xludf.DUMMYFUNCTION("INDEX(SPLIT(A154, ""/""), 4)"),"بارقه")</f>
        <v>بارقه</v>
      </c>
    </row>
    <row r="155">
      <c r="A155" s="1" t="s">
        <v>553</v>
      </c>
      <c r="B155" s="1" t="s">
        <v>610</v>
      </c>
      <c r="C155" s="1" t="s">
        <v>21</v>
      </c>
      <c r="D155" s="4" t="s">
        <v>611</v>
      </c>
      <c r="E155" s="1" t="s">
        <v>602</v>
      </c>
      <c r="F155" s="1" t="s">
        <v>612</v>
      </c>
      <c r="G155" s="1" t="s">
        <v>613</v>
      </c>
      <c r="H155" s="1" t="s">
        <v>308</v>
      </c>
      <c r="I155" s="1" t="str">
        <f t="shared" si="1"/>
        <v>x</v>
      </c>
      <c r="J155" s="5"/>
      <c r="K155" s="1" t="str">
        <f t="shared" si="2"/>
        <v>7</v>
      </c>
      <c r="L155" s="5"/>
      <c r="M155" s="2" t="str">
        <f t="shared" si="3"/>
        <v>1397</v>
      </c>
      <c r="N155" s="5"/>
      <c r="O155" s="2">
        <v>22.0</v>
      </c>
      <c r="P155" s="5"/>
      <c r="Q155" s="5"/>
      <c r="R155" s="6" t="s">
        <v>309</v>
      </c>
      <c r="S155" s="5"/>
      <c r="T155" s="1" t="str">
        <f>IFERROR(__xludf.DUMMYFUNCTION("INDEX(SPLIT(A155, ""/""), 2)"),"انجمن‌های علمی و نشریات وابسته به دانشکده‌ها")</f>
        <v>انجمن‌های علمی و نشریات وابسته به دانشکده‌ها</v>
      </c>
      <c r="U155" s="1" t="str">
        <f>IFERROR(__xludf.DUMMYFUNCTION("INDEX(SPLIT(A155, ""/""), 3)"),"دانشکده مهندسی برق")</f>
        <v>دانشکده مهندسی برق</v>
      </c>
      <c r="V155" s="1" t="str">
        <f>IFERROR(__xludf.DUMMYFUNCTION("INDEX(SPLIT(A155, ""/""), 4)"),"بارقه")</f>
        <v>بارقه</v>
      </c>
    </row>
    <row r="156">
      <c r="A156" s="1" t="s">
        <v>553</v>
      </c>
      <c r="B156" s="1" t="s">
        <v>614</v>
      </c>
      <c r="C156" s="1" t="s">
        <v>21</v>
      </c>
      <c r="D156" s="4" t="s">
        <v>615</v>
      </c>
      <c r="E156" s="1" t="s">
        <v>602</v>
      </c>
      <c r="F156" s="1" t="s">
        <v>612</v>
      </c>
      <c r="G156" s="1" t="s">
        <v>613</v>
      </c>
      <c r="H156" s="1" t="s">
        <v>317</v>
      </c>
      <c r="I156" s="1" t="str">
        <f t="shared" si="1"/>
        <v>x</v>
      </c>
      <c r="J156" s="5"/>
      <c r="K156" s="1" t="str">
        <f t="shared" si="2"/>
        <v>9</v>
      </c>
      <c r="L156" s="5"/>
      <c r="M156" s="2" t="str">
        <f t="shared" si="3"/>
        <v>1397</v>
      </c>
      <c r="N156" s="5"/>
      <c r="O156" s="2">
        <v>23.0</v>
      </c>
      <c r="P156" s="5"/>
      <c r="Q156" s="5"/>
      <c r="R156" s="6" t="s">
        <v>318</v>
      </c>
      <c r="S156" s="5"/>
      <c r="T156" s="1" t="str">
        <f>IFERROR(__xludf.DUMMYFUNCTION("INDEX(SPLIT(A156, ""/""), 2)"),"انجمن‌های علمی و نشریات وابسته به دانشکده‌ها")</f>
        <v>انجمن‌های علمی و نشریات وابسته به دانشکده‌ها</v>
      </c>
      <c r="U156" s="1" t="str">
        <f>IFERROR(__xludf.DUMMYFUNCTION("INDEX(SPLIT(A156, ""/""), 3)"),"دانشکده مهندسی برق")</f>
        <v>دانشکده مهندسی برق</v>
      </c>
      <c r="V156" s="1" t="str">
        <f>IFERROR(__xludf.DUMMYFUNCTION("INDEX(SPLIT(A156, ""/""), 4)"),"بارقه")</f>
        <v>بارقه</v>
      </c>
    </row>
    <row r="157">
      <c r="A157" s="1" t="s">
        <v>553</v>
      </c>
      <c r="B157" s="1" t="s">
        <v>616</v>
      </c>
      <c r="C157" s="1" t="s">
        <v>21</v>
      </c>
      <c r="D157" s="4" t="s">
        <v>617</v>
      </c>
      <c r="E157" s="1" t="s">
        <v>602</v>
      </c>
      <c r="F157" s="1" t="s">
        <v>612</v>
      </c>
      <c r="G157" s="1" t="s">
        <v>613</v>
      </c>
      <c r="H157" s="1" t="s">
        <v>181</v>
      </c>
      <c r="I157" s="1" t="str">
        <f t="shared" si="1"/>
        <v>x</v>
      </c>
      <c r="J157" s="5"/>
      <c r="K157" s="1" t="str">
        <f t="shared" si="2"/>
        <v>12</v>
      </c>
      <c r="L157" s="5"/>
      <c r="M157" s="2" t="str">
        <f t="shared" si="3"/>
        <v>1397</v>
      </c>
      <c r="N157" s="5"/>
      <c r="O157" s="2">
        <v>24.0</v>
      </c>
      <c r="P157" s="5"/>
      <c r="Q157" s="5"/>
      <c r="R157" s="6" t="s">
        <v>182</v>
      </c>
      <c r="S157" s="5"/>
      <c r="T157" s="1" t="str">
        <f>IFERROR(__xludf.DUMMYFUNCTION("INDEX(SPLIT(A157, ""/""), 2)"),"انجمن‌های علمی و نشریات وابسته به دانشکده‌ها")</f>
        <v>انجمن‌های علمی و نشریات وابسته به دانشکده‌ها</v>
      </c>
      <c r="U157" s="1" t="str">
        <f>IFERROR(__xludf.DUMMYFUNCTION("INDEX(SPLIT(A157, ""/""), 3)"),"دانشکده مهندسی برق")</f>
        <v>دانشکده مهندسی برق</v>
      </c>
      <c r="V157" s="1" t="str">
        <f>IFERROR(__xludf.DUMMYFUNCTION("INDEX(SPLIT(A157, ""/""), 4)"),"بارقه")</f>
        <v>بارقه</v>
      </c>
    </row>
    <row r="158">
      <c r="A158" s="1" t="s">
        <v>553</v>
      </c>
      <c r="B158" s="1" t="s">
        <v>618</v>
      </c>
      <c r="C158" s="1" t="s">
        <v>21</v>
      </c>
      <c r="D158" s="4" t="s">
        <v>619</v>
      </c>
      <c r="E158" s="1" t="s">
        <v>602</v>
      </c>
      <c r="F158" s="1" t="s">
        <v>612</v>
      </c>
      <c r="G158" s="1" t="s">
        <v>613</v>
      </c>
      <c r="H158" s="1" t="s">
        <v>189</v>
      </c>
      <c r="I158" s="1" t="str">
        <f t="shared" si="1"/>
        <v>x</v>
      </c>
      <c r="J158" s="5"/>
      <c r="K158" s="1" t="str">
        <f t="shared" si="2"/>
        <v>3</v>
      </c>
      <c r="L158" s="5"/>
      <c r="M158" s="2" t="str">
        <f t="shared" si="3"/>
        <v>1398</v>
      </c>
      <c r="N158" s="5"/>
      <c r="O158" s="2">
        <v>25.0</v>
      </c>
      <c r="P158" s="5"/>
      <c r="Q158" s="5"/>
      <c r="R158" s="6" t="s">
        <v>190</v>
      </c>
      <c r="S158" s="5"/>
      <c r="T158" s="1" t="str">
        <f>IFERROR(__xludf.DUMMYFUNCTION("INDEX(SPLIT(A158, ""/""), 2)"),"انجمن‌های علمی و نشریات وابسته به دانشکده‌ها")</f>
        <v>انجمن‌های علمی و نشریات وابسته به دانشکده‌ها</v>
      </c>
      <c r="U158" s="1" t="str">
        <f>IFERROR(__xludf.DUMMYFUNCTION("INDEX(SPLIT(A158, ""/""), 3)"),"دانشکده مهندسی برق")</f>
        <v>دانشکده مهندسی برق</v>
      </c>
      <c r="V158" s="1" t="str">
        <f>IFERROR(__xludf.DUMMYFUNCTION("INDEX(SPLIT(A158, ""/""), 4)"),"بارقه")</f>
        <v>بارقه</v>
      </c>
    </row>
    <row r="159">
      <c r="A159" s="1" t="s">
        <v>553</v>
      </c>
      <c r="B159" s="1" t="s">
        <v>620</v>
      </c>
      <c r="C159" s="1" t="s">
        <v>21</v>
      </c>
      <c r="D159" s="4" t="s">
        <v>621</v>
      </c>
      <c r="E159" s="1" t="s">
        <v>602</v>
      </c>
      <c r="F159" s="1" t="s">
        <v>622</v>
      </c>
      <c r="G159" s="1" t="s">
        <v>622</v>
      </c>
      <c r="H159" s="1" t="s">
        <v>195</v>
      </c>
      <c r="I159" s="1" t="str">
        <f t="shared" si="1"/>
        <v>x</v>
      </c>
      <c r="J159" s="5"/>
      <c r="K159" s="1" t="str">
        <f t="shared" si="2"/>
        <v>9</v>
      </c>
      <c r="L159" s="5"/>
      <c r="M159" s="2" t="str">
        <f t="shared" si="3"/>
        <v>1398</v>
      </c>
      <c r="N159" s="5"/>
      <c r="O159" s="2">
        <v>26.0</v>
      </c>
      <c r="P159" s="5"/>
      <c r="Q159" s="5"/>
      <c r="R159" s="6" t="s">
        <v>196</v>
      </c>
      <c r="S159" s="5"/>
      <c r="T159" s="1" t="str">
        <f>IFERROR(__xludf.DUMMYFUNCTION("INDEX(SPLIT(A159, ""/""), 2)"),"انجمن‌های علمی و نشریات وابسته به دانشکده‌ها")</f>
        <v>انجمن‌های علمی و نشریات وابسته به دانشکده‌ها</v>
      </c>
      <c r="U159" s="1" t="str">
        <f>IFERROR(__xludf.DUMMYFUNCTION("INDEX(SPLIT(A159, ""/""), 3)"),"دانشکده مهندسی برق")</f>
        <v>دانشکده مهندسی برق</v>
      </c>
      <c r="V159" s="1" t="str">
        <f>IFERROR(__xludf.DUMMYFUNCTION("INDEX(SPLIT(A159, ""/""), 4)"),"بارقه")</f>
        <v>بارقه</v>
      </c>
    </row>
    <row r="160">
      <c r="A160" s="1" t="s">
        <v>553</v>
      </c>
      <c r="B160" s="1" t="s">
        <v>623</v>
      </c>
      <c r="C160" s="1" t="s">
        <v>21</v>
      </c>
      <c r="D160" s="4" t="s">
        <v>624</v>
      </c>
      <c r="E160" s="1" t="s">
        <v>602</v>
      </c>
      <c r="F160" s="1" t="s">
        <v>622</v>
      </c>
      <c r="G160" s="1" t="s">
        <v>622</v>
      </c>
      <c r="H160" s="1" t="s">
        <v>195</v>
      </c>
      <c r="I160" s="1" t="str">
        <f t="shared" si="1"/>
        <v>x</v>
      </c>
      <c r="J160" s="5"/>
      <c r="K160" s="1" t="str">
        <f t="shared" si="2"/>
        <v>9</v>
      </c>
      <c r="L160" s="5"/>
      <c r="M160" s="2" t="str">
        <f t="shared" si="3"/>
        <v>1398</v>
      </c>
      <c r="N160" s="5"/>
      <c r="O160" s="2">
        <v>27.0</v>
      </c>
      <c r="P160" s="5"/>
      <c r="Q160" s="5"/>
      <c r="R160" s="6" t="s">
        <v>196</v>
      </c>
      <c r="S160" s="5"/>
      <c r="T160" s="1" t="str">
        <f>IFERROR(__xludf.DUMMYFUNCTION("INDEX(SPLIT(A160, ""/""), 2)"),"انجمن‌های علمی و نشریات وابسته به دانشکده‌ها")</f>
        <v>انجمن‌های علمی و نشریات وابسته به دانشکده‌ها</v>
      </c>
      <c r="U160" s="1" t="str">
        <f>IFERROR(__xludf.DUMMYFUNCTION("INDEX(SPLIT(A160, ""/""), 3)"),"دانشکده مهندسی برق")</f>
        <v>دانشکده مهندسی برق</v>
      </c>
      <c r="V160" s="1" t="str">
        <f>IFERROR(__xludf.DUMMYFUNCTION("INDEX(SPLIT(A160, ""/""), 4)"),"بارقه")</f>
        <v>بارقه</v>
      </c>
    </row>
    <row r="161">
      <c r="A161" s="1" t="s">
        <v>553</v>
      </c>
      <c r="B161" s="1" t="s">
        <v>625</v>
      </c>
      <c r="C161" s="1" t="s">
        <v>21</v>
      </c>
      <c r="D161" s="4" t="s">
        <v>626</v>
      </c>
      <c r="E161" s="1" t="s">
        <v>602</v>
      </c>
      <c r="F161" s="1" t="s">
        <v>622</v>
      </c>
      <c r="G161" s="1" t="s">
        <v>622</v>
      </c>
      <c r="H161" s="1" t="s">
        <v>217</v>
      </c>
      <c r="I161" s="1" t="str">
        <f t="shared" si="1"/>
        <v>x</v>
      </c>
      <c r="J161" s="5"/>
      <c r="K161" s="1" t="str">
        <f t="shared" si="2"/>
        <v>12</v>
      </c>
      <c r="L161" s="5"/>
      <c r="M161" s="2" t="str">
        <f t="shared" si="3"/>
        <v>1398</v>
      </c>
      <c r="N161" s="5"/>
      <c r="O161" s="2">
        <v>28.0</v>
      </c>
      <c r="P161" s="5"/>
      <c r="Q161" s="5"/>
      <c r="R161" s="6" t="s">
        <v>218</v>
      </c>
      <c r="S161" s="5"/>
      <c r="T161" s="1" t="str">
        <f>IFERROR(__xludf.DUMMYFUNCTION("INDEX(SPLIT(A161, ""/""), 2)"),"انجمن‌های علمی و نشریات وابسته به دانشکده‌ها")</f>
        <v>انجمن‌های علمی و نشریات وابسته به دانشکده‌ها</v>
      </c>
      <c r="U161" s="1" t="str">
        <f>IFERROR(__xludf.DUMMYFUNCTION("INDEX(SPLIT(A161, ""/""), 3)"),"دانشکده مهندسی برق")</f>
        <v>دانشکده مهندسی برق</v>
      </c>
      <c r="V161" s="1" t="str">
        <f>IFERROR(__xludf.DUMMYFUNCTION("INDEX(SPLIT(A161, ""/""), 4)"),"بارقه")</f>
        <v>بارقه</v>
      </c>
    </row>
    <row r="162">
      <c r="A162" s="1" t="s">
        <v>553</v>
      </c>
      <c r="B162" s="1" t="s">
        <v>627</v>
      </c>
      <c r="C162" s="1" t="s">
        <v>21</v>
      </c>
      <c r="D162" s="4" t="s">
        <v>628</v>
      </c>
      <c r="E162" s="1" t="s">
        <v>602</v>
      </c>
      <c r="F162" s="1" t="s">
        <v>629</v>
      </c>
      <c r="G162" s="1" t="s">
        <v>629</v>
      </c>
      <c r="H162" s="1" t="s">
        <v>383</v>
      </c>
      <c r="I162" s="1" t="str">
        <f t="shared" si="1"/>
        <v>x</v>
      </c>
      <c r="J162" s="5"/>
      <c r="K162" s="1" t="str">
        <f t="shared" si="2"/>
        <v>6</v>
      </c>
      <c r="L162" s="5"/>
      <c r="M162" s="2" t="str">
        <f t="shared" si="3"/>
        <v>1399</v>
      </c>
      <c r="N162" s="5"/>
      <c r="O162" s="2">
        <v>29.0</v>
      </c>
      <c r="P162" s="5"/>
      <c r="Q162" s="5"/>
      <c r="R162" s="6" t="s">
        <v>384</v>
      </c>
      <c r="S162" s="5"/>
      <c r="T162" s="1" t="str">
        <f>IFERROR(__xludf.DUMMYFUNCTION("INDEX(SPLIT(A162, ""/""), 2)"),"انجمن‌های علمی و نشریات وابسته به دانشکده‌ها")</f>
        <v>انجمن‌های علمی و نشریات وابسته به دانشکده‌ها</v>
      </c>
      <c r="U162" s="1" t="str">
        <f>IFERROR(__xludf.DUMMYFUNCTION("INDEX(SPLIT(A162, ""/""), 3)"),"دانشکده مهندسی برق")</f>
        <v>دانشکده مهندسی برق</v>
      </c>
      <c r="V162" s="1" t="str">
        <f>IFERROR(__xludf.DUMMYFUNCTION("INDEX(SPLIT(A162, ""/""), 4)"),"بارقه")</f>
        <v>بارقه</v>
      </c>
    </row>
    <row r="163">
      <c r="A163" s="1" t="s">
        <v>553</v>
      </c>
      <c r="B163" s="1" t="s">
        <v>630</v>
      </c>
      <c r="C163" s="1" t="s">
        <v>21</v>
      </c>
      <c r="D163" s="4" t="s">
        <v>631</v>
      </c>
      <c r="E163" s="1" t="s">
        <v>602</v>
      </c>
      <c r="F163" s="1" t="s">
        <v>629</v>
      </c>
      <c r="G163" s="1" t="s">
        <v>629</v>
      </c>
      <c r="H163" s="1" t="s">
        <v>26</v>
      </c>
      <c r="I163" s="1" t="str">
        <f t="shared" si="1"/>
        <v>x</v>
      </c>
      <c r="J163" s="5"/>
      <c r="K163" s="1" t="str">
        <f t="shared" si="2"/>
        <v>7</v>
      </c>
      <c r="L163" s="5"/>
      <c r="M163" s="2" t="str">
        <f t="shared" si="3"/>
        <v>1399</v>
      </c>
      <c r="N163" s="5"/>
      <c r="O163" s="2">
        <v>30.0</v>
      </c>
      <c r="P163" s="5"/>
      <c r="Q163" s="5"/>
      <c r="R163" s="6" t="s">
        <v>27</v>
      </c>
      <c r="S163" s="5"/>
      <c r="T163" s="1" t="str">
        <f>IFERROR(__xludf.DUMMYFUNCTION("INDEX(SPLIT(A163, ""/""), 2)"),"انجمن‌های علمی و نشریات وابسته به دانشکده‌ها")</f>
        <v>انجمن‌های علمی و نشریات وابسته به دانشکده‌ها</v>
      </c>
      <c r="U163" s="1" t="str">
        <f>IFERROR(__xludf.DUMMYFUNCTION("INDEX(SPLIT(A163, ""/""), 3)"),"دانشکده مهندسی برق")</f>
        <v>دانشکده مهندسی برق</v>
      </c>
      <c r="V163" s="1" t="str">
        <f>IFERROR(__xludf.DUMMYFUNCTION("INDEX(SPLIT(A163, ""/""), 4)"),"بارقه")</f>
        <v>بارقه</v>
      </c>
    </row>
    <row r="164">
      <c r="A164" s="1" t="s">
        <v>553</v>
      </c>
      <c r="B164" s="1" t="s">
        <v>632</v>
      </c>
      <c r="C164" s="1" t="s">
        <v>21</v>
      </c>
      <c r="D164" s="4" t="s">
        <v>633</v>
      </c>
      <c r="E164" s="1" t="s">
        <v>602</v>
      </c>
      <c r="F164" s="1" t="s">
        <v>629</v>
      </c>
      <c r="G164" s="1" t="s">
        <v>629</v>
      </c>
      <c r="H164" s="1" t="s">
        <v>32</v>
      </c>
      <c r="I164" s="1" t="str">
        <f t="shared" si="1"/>
        <v>x</v>
      </c>
      <c r="J164" s="5"/>
      <c r="K164" s="1" t="str">
        <f t="shared" si="2"/>
        <v>8</v>
      </c>
      <c r="L164" s="5"/>
      <c r="M164" s="2" t="str">
        <f t="shared" si="3"/>
        <v>1399</v>
      </c>
      <c r="N164" s="5"/>
      <c r="O164" s="2">
        <v>31.0</v>
      </c>
      <c r="P164" s="5"/>
      <c r="Q164" s="5"/>
      <c r="R164" s="6" t="s">
        <v>33</v>
      </c>
      <c r="S164" s="5"/>
      <c r="T164" s="1" t="str">
        <f>IFERROR(__xludf.DUMMYFUNCTION("INDEX(SPLIT(A164, ""/""), 2)"),"انجمن‌های علمی و نشریات وابسته به دانشکده‌ها")</f>
        <v>انجمن‌های علمی و نشریات وابسته به دانشکده‌ها</v>
      </c>
      <c r="U164" s="1" t="str">
        <f>IFERROR(__xludf.DUMMYFUNCTION("INDEX(SPLIT(A164, ""/""), 3)"),"دانشکده مهندسی برق")</f>
        <v>دانشکده مهندسی برق</v>
      </c>
      <c r="V164" s="1" t="str">
        <f>IFERROR(__xludf.DUMMYFUNCTION("INDEX(SPLIT(A164, ""/""), 4)"),"بارقه")</f>
        <v>بارقه</v>
      </c>
    </row>
    <row r="165">
      <c r="A165" s="1" t="s">
        <v>553</v>
      </c>
      <c r="B165" s="1" t="s">
        <v>634</v>
      </c>
      <c r="C165" s="1" t="s">
        <v>21</v>
      </c>
      <c r="D165" s="4" t="s">
        <v>635</v>
      </c>
      <c r="E165" s="1" t="s">
        <v>602</v>
      </c>
      <c r="F165" s="1" t="s">
        <v>629</v>
      </c>
      <c r="G165" s="1" t="s">
        <v>629</v>
      </c>
      <c r="H165" s="1" t="s">
        <v>32</v>
      </c>
      <c r="I165" s="1" t="str">
        <f t="shared" si="1"/>
        <v>x</v>
      </c>
      <c r="J165" s="5"/>
      <c r="K165" s="1" t="str">
        <f t="shared" si="2"/>
        <v>8</v>
      </c>
      <c r="L165" s="5"/>
      <c r="M165" s="2" t="str">
        <f t="shared" si="3"/>
        <v>1399</v>
      </c>
      <c r="N165" s="5"/>
      <c r="O165" s="2">
        <v>32.0</v>
      </c>
      <c r="P165" s="5"/>
      <c r="Q165" s="5"/>
      <c r="R165" s="6" t="s">
        <v>33</v>
      </c>
      <c r="S165" s="5"/>
      <c r="T165" s="1" t="str">
        <f>IFERROR(__xludf.DUMMYFUNCTION("INDEX(SPLIT(A165, ""/""), 2)"),"انجمن‌های علمی و نشریات وابسته به دانشکده‌ها")</f>
        <v>انجمن‌های علمی و نشریات وابسته به دانشکده‌ها</v>
      </c>
      <c r="U165" s="1" t="str">
        <f>IFERROR(__xludf.DUMMYFUNCTION("INDEX(SPLIT(A165, ""/""), 3)"),"دانشکده مهندسی برق")</f>
        <v>دانشکده مهندسی برق</v>
      </c>
      <c r="V165" s="1" t="str">
        <f>IFERROR(__xludf.DUMMYFUNCTION("INDEX(SPLIT(A165, ""/""), 4)"),"بارقه")</f>
        <v>بارقه</v>
      </c>
    </row>
    <row r="166">
      <c r="A166" s="1" t="s">
        <v>553</v>
      </c>
      <c r="B166" s="1" t="s">
        <v>636</v>
      </c>
      <c r="C166" s="1" t="s">
        <v>21</v>
      </c>
      <c r="D166" s="4" t="s">
        <v>637</v>
      </c>
      <c r="E166" s="1" t="s">
        <v>602</v>
      </c>
      <c r="F166" s="1" t="s">
        <v>629</v>
      </c>
      <c r="G166" s="1" t="s">
        <v>629</v>
      </c>
      <c r="H166" s="1" t="s">
        <v>44</v>
      </c>
      <c r="I166" s="1" t="str">
        <f t="shared" si="1"/>
        <v>x</v>
      </c>
      <c r="J166" s="5"/>
      <c r="K166" s="1" t="str">
        <f t="shared" si="2"/>
        <v>10</v>
      </c>
      <c r="L166" s="5"/>
      <c r="M166" s="2" t="str">
        <f t="shared" si="3"/>
        <v>1399</v>
      </c>
      <c r="N166" s="5"/>
      <c r="O166" s="2">
        <v>33.0</v>
      </c>
      <c r="P166" s="5"/>
      <c r="Q166" s="5"/>
      <c r="R166" s="6" t="s">
        <v>45</v>
      </c>
      <c r="S166" s="5"/>
      <c r="T166" s="1" t="str">
        <f>IFERROR(__xludf.DUMMYFUNCTION("INDEX(SPLIT(A166, ""/""), 2)"),"انجمن‌های علمی و نشریات وابسته به دانشکده‌ها")</f>
        <v>انجمن‌های علمی و نشریات وابسته به دانشکده‌ها</v>
      </c>
      <c r="U166" s="1" t="str">
        <f>IFERROR(__xludf.DUMMYFUNCTION("INDEX(SPLIT(A166, ""/""), 3)"),"دانشکده مهندسی برق")</f>
        <v>دانشکده مهندسی برق</v>
      </c>
      <c r="V166" s="1" t="str">
        <f>IFERROR(__xludf.DUMMYFUNCTION("INDEX(SPLIT(A166, ""/""), 4)"),"بارقه")</f>
        <v>بارقه</v>
      </c>
    </row>
    <row r="167">
      <c r="A167" s="1" t="s">
        <v>553</v>
      </c>
      <c r="B167" s="1" t="s">
        <v>638</v>
      </c>
      <c r="C167" s="1" t="s">
        <v>21</v>
      </c>
      <c r="D167" s="4" t="s">
        <v>639</v>
      </c>
      <c r="E167" s="1" t="s">
        <v>602</v>
      </c>
      <c r="F167" s="1" t="s">
        <v>640</v>
      </c>
      <c r="G167" s="1" t="s">
        <v>640</v>
      </c>
      <c r="H167" s="1" t="s">
        <v>48</v>
      </c>
      <c r="I167" s="1" t="str">
        <f t="shared" si="1"/>
        <v>x</v>
      </c>
      <c r="J167" s="5"/>
      <c r="K167" s="1" t="str">
        <f t="shared" si="2"/>
        <v>12</v>
      </c>
      <c r="L167" s="5"/>
      <c r="M167" s="2" t="str">
        <f t="shared" si="3"/>
        <v>1399</v>
      </c>
      <c r="N167" s="5"/>
      <c r="O167" s="2">
        <v>34.0</v>
      </c>
      <c r="P167" s="5"/>
      <c r="Q167" s="5"/>
      <c r="R167" s="6" t="s">
        <v>49</v>
      </c>
      <c r="S167" s="5"/>
      <c r="T167" s="1" t="str">
        <f>IFERROR(__xludf.DUMMYFUNCTION("INDEX(SPLIT(A167, ""/""), 2)"),"انجمن‌های علمی و نشریات وابسته به دانشکده‌ها")</f>
        <v>انجمن‌های علمی و نشریات وابسته به دانشکده‌ها</v>
      </c>
      <c r="U167" s="1" t="str">
        <f>IFERROR(__xludf.DUMMYFUNCTION("INDEX(SPLIT(A167, ""/""), 3)"),"دانشکده مهندسی برق")</f>
        <v>دانشکده مهندسی برق</v>
      </c>
      <c r="V167" s="1" t="str">
        <f>IFERROR(__xludf.DUMMYFUNCTION("INDEX(SPLIT(A167, ""/""), 4)"),"بارقه")</f>
        <v>بارقه</v>
      </c>
    </row>
    <row r="168">
      <c r="A168" s="1" t="s">
        <v>553</v>
      </c>
      <c r="B168" s="1" t="s">
        <v>641</v>
      </c>
      <c r="C168" s="1" t="s">
        <v>21</v>
      </c>
      <c r="D168" s="4" t="s">
        <v>642</v>
      </c>
      <c r="E168" s="1" t="s">
        <v>602</v>
      </c>
      <c r="F168" s="1" t="s">
        <v>640</v>
      </c>
      <c r="G168" s="1" t="s">
        <v>640</v>
      </c>
      <c r="H168" s="1" t="s">
        <v>66</v>
      </c>
      <c r="I168" s="1" t="str">
        <f t="shared" si="1"/>
        <v>x</v>
      </c>
      <c r="J168" s="5"/>
      <c r="K168" s="1" t="str">
        <f t="shared" si="2"/>
        <v>3</v>
      </c>
      <c r="L168" s="5"/>
      <c r="M168" s="2" t="str">
        <f t="shared" si="3"/>
        <v>1400</v>
      </c>
      <c r="N168" s="5"/>
      <c r="O168" s="2">
        <v>35.0</v>
      </c>
      <c r="P168" s="5"/>
      <c r="Q168" s="5"/>
      <c r="R168" s="6" t="s">
        <v>67</v>
      </c>
      <c r="S168" s="5"/>
      <c r="T168" s="1" t="str">
        <f>IFERROR(__xludf.DUMMYFUNCTION("INDEX(SPLIT(A168, ""/""), 2)"),"انجمن‌های علمی و نشریات وابسته به دانشکده‌ها")</f>
        <v>انجمن‌های علمی و نشریات وابسته به دانشکده‌ها</v>
      </c>
      <c r="U168" s="1" t="str">
        <f>IFERROR(__xludf.DUMMYFUNCTION("INDEX(SPLIT(A168, ""/""), 3)"),"دانشکده مهندسی برق")</f>
        <v>دانشکده مهندسی برق</v>
      </c>
      <c r="V168" s="1" t="str">
        <f>IFERROR(__xludf.DUMMYFUNCTION("INDEX(SPLIT(A168, ""/""), 4)"),"بارقه")</f>
        <v>بارقه</v>
      </c>
    </row>
    <row r="169">
      <c r="A169" s="1" t="s">
        <v>553</v>
      </c>
      <c r="B169" s="1" t="s">
        <v>643</v>
      </c>
      <c r="C169" s="1" t="s">
        <v>21</v>
      </c>
      <c r="D169" s="4" t="s">
        <v>644</v>
      </c>
      <c r="E169" s="1" t="s">
        <v>602</v>
      </c>
      <c r="F169" s="1" t="s">
        <v>645</v>
      </c>
      <c r="G169" s="1" t="s">
        <v>645</v>
      </c>
      <c r="H169" s="1" t="s">
        <v>414</v>
      </c>
      <c r="I169" s="1" t="str">
        <f t="shared" si="1"/>
        <v>x</v>
      </c>
      <c r="J169" s="5"/>
      <c r="K169" s="1" t="str">
        <f t="shared" si="2"/>
        <v>9</v>
      </c>
      <c r="L169" s="5"/>
      <c r="M169" s="2" t="str">
        <f t="shared" si="3"/>
        <v>1400</v>
      </c>
      <c r="N169" s="5"/>
      <c r="O169" s="2">
        <v>36.0</v>
      </c>
      <c r="P169" s="5"/>
      <c r="Q169" s="5"/>
      <c r="R169" s="6" t="s">
        <v>415</v>
      </c>
      <c r="S169" s="5"/>
      <c r="T169" s="1" t="str">
        <f>IFERROR(__xludf.DUMMYFUNCTION("INDEX(SPLIT(A169, ""/""), 2)"),"انجمن‌های علمی و نشریات وابسته به دانشکده‌ها")</f>
        <v>انجمن‌های علمی و نشریات وابسته به دانشکده‌ها</v>
      </c>
      <c r="U169" s="1" t="str">
        <f>IFERROR(__xludf.DUMMYFUNCTION("INDEX(SPLIT(A169, ""/""), 3)"),"دانشکده مهندسی برق")</f>
        <v>دانشکده مهندسی برق</v>
      </c>
      <c r="V169" s="1" t="str">
        <f>IFERROR(__xludf.DUMMYFUNCTION("INDEX(SPLIT(A169, ""/""), 4)"),"بارقه")</f>
        <v>بارقه</v>
      </c>
    </row>
    <row r="170">
      <c r="A170" s="1" t="s">
        <v>553</v>
      </c>
      <c r="B170" s="1" t="s">
        <v>646</v>
      </c>
      <c r="C170" s="1" t="s">
        <v>21</v>
      </c>
      <c r="D170" s="4" t="s">
        <v>647</v>
      </c>
      <c r="E170" s="1" t="s">
        <v>602</v>
      </c>
      <c r="F170" s="1" t="s">
        <v>645</v>
      </c>
      <c r="G170" s="1" t="s">
        <v>645</v>
      </c>
      <c r="H170" s="1" t="s">
        <v>146</v>
      </c>
      <c r="I170" s="1" t="str">
        <f t="shared" si="1"/>
        <v>x</v>
      </c>
      <c r="J170" s="5"/>
      <c r="K170" s="1" t="str">
        <f t="shared" si="2"/>
        <v>5</v>
      </c>
      <c r="L170" s="5"/>
      <c r="M170" s="2" t="str">
        <f t="shared" si="3"/>
        <v>1401</v>
      </c>
      <c r="N170" s="5"/>
      <c r="O170" s="2">
        <v>37.0</v>
      </c>
      <c r="P170" s="5"/>
      <c r="Q170" s="5"/>
      <c r="R170" s="6" t="s">
        <v>147</v>
      </c>
      <c r="S170" s="5"/>
      <c r="T170" s="1" t="str">
        <f>IFERROR(__xludf.DUMMYFUNCTION("INDEX(SPLIT(A170, ""/""), 2)"),"انجمن‌های علمی و نشریات وابسته به دانشکده‌ها")</f>
        <v>انجمن‌های علمی و نشریات وابسته به دانشکده‌ها</v>
      </c>
      <c r="U170" s="1" t="str">
        <f>IFERROR(__xludf.DUMMYFUNCTION("INDEX(SPLIT(A170, ""/""), 3)"),"دانشکده مهندسی برق")</f>
        <v>دانشکده مهندسی برق</v>
      </c>
      <c r="V170" s="1" t="str">
        <f>IFERROR(__xludf.DUMMYFUNCTION("INDEX(SPLIT(A170, ""/""), 4)"),"بارقه")</f>
        <v>بارقه</v>
      </c>
    </row>
    <row r="171">
      <c r="A171" s="1" t="s">
        <v>553</v>
      </c>
      <c r="B171" s="1" t="s">
        <v>648</v>
      </c>
      <c r="C171" s="1" t="s">
        <v>21</v>
      </c>
      <c r="D171" s="4" t="s">
        <v>649</v>
      </c>
      <c r="E171" s="1" t="s">
        <v>602</v>
      </c>
      <c r="F171" s="1" t="s">
        <v>650</v>
      </c>
      <c r="G171" s="1" t="s">
        <v>651</v>
      </c>
      <c r="H171" s="1" t="s">
        <v>151</v>
      </c>
      <c r="I171" s="1" t="str">
        <f t="shared" si="1"/>
        <v>x</v>
      </c>
      <c r="J171" s="5"/>
      <c r="K171" s="1" t="str">
        <f t="shared" si="2"/>
        <v>8</v>
      </c>
      <c r="L171" s="5"/>
      <c r="M171" s="2" t="str">
        <f t="shared" si="3"/>
        <v>1401</v>
      </c>
      <c r="N171" s="5"/>
      <c r="O171" s="2">
        <v>38.0</v>
      </c>
      <c r="P171" s="5"/>
      <c r="Q171" s="5"/>
      <c r="R171" s="6" t="s">
        <v>152</v>
      </c>
      <c r="S171" s="5"/>
      <c r="T171" s="1" t="str">
        <f>IFERROR(__xludf.DUMMYFUNCTION("INDEX(SPLIT(A171, ""/""), 2)"),"انجمن‌های علمی و نشریات وابسته به دانشکده‌ها")</f>
        <v>انجمن‌های علمی و نشریات وابسته به دانشکده‌ها</v>
      </c>
      <c r="U171" s="1" t="str">
        <f>IFERROR(__xludf.DUMMYFUNCTION("INDEX(SPLIT(A171, ""/""), 3)"),"دانشکده مهندسی برق")</f>
        <v>دانشکده مهندسی برق</v>
      </c>
      <c r="V171" s="1" t="str">
        <f>IFERROR(__xludf.DUMMYFUNCTION("INDEX(SPLIT(A171, ""/""), 4)"),"بارقه")</f>
        <v>بارقه</v>
      </c>
    </row>
    <row r="172">
      <c r="A172" s="1" t="s">
        <v>553</v>
      </c>
      <c r="B172" s="1" t="s">
        <v>652</v>
      </c>
      <c r="C172" s="1" t="s">
        <v>21</v>
      </c>
      <c r="D172" s="4" t="s">
        <v>653</v>
      </c>
      <c r="E172" s="1" t="s">
        <v>602</v>
      </c>
      <c r="F172" s="1" t="s">
        <v>650</v>
      </c>
      <c r="G172" s="1" t="s">
        <v>651</v>
      </c>
      <c r="H172" s="1" t="s">
        <v>443</v>
      </c>
      <c r="I172" s="1" t="str">
        <f t="shared" si="1"/>
        <v>x</v>
      </c>
      <c r="J172" s="5"/>
      <c r="K172" s="1" t="str">
        <f t="shared" si="2"/>
        <v>11</v>
      </c>
      <c r="L172" s="5"/>
      <c r="M172" s="2" t="str">
        <f t="shared" si="3"/>
        <v>1401</v>
      </c>
      <c r="N172" s="5"/>
      <c r="O172" s="2">
        <v>39.0</v>
      </c>
      <c r="P172" s="5"/>
      <c r="Q172" s="5"/>
      <c r="R172" s="6" t="s">
        <v>444</v>
      </c>
      <c r="S172" s="5"/>
      <c r="T172" s="1" t="str">
        <f>IFERROR(__xludf.DUMMYFUNCTION("INDEX(SPLIT(A172, ""/""), 2)"),"انجمن‌های علمی و نشریات وابسته به دانشکده‌ها")</f>
        <v>انجمن‌های علمی و نشریات وابسته به دانشکده‌ها</v>
      </c>
      <c r="U172" s="1" t="str">
        <f>IFERROR(__xludf.DUMMYFUNCTION("INDEX(SPLIT(A172, ""/""), 3)"),"دانشکده مهندسی برق")</f>
        <v>دانشکده مهندسی برق</v>
      </c>
      <c r="V172" s="1" t="str">
        <f>IFERROR(__xludf.DUMMYFUNCTION("INDEX(SPLIT(A172, ""/""), 4)"),"بارقه")</f>
        <v>بارقه</v>
      </c>
    </row>
    <row r="173">
      <c r="A173" s="1" t="s">
        <v>553</v>
      </c>
      <c r="B173" s="1" t="s">
        <v>654</v>
      </c>
      <c r="C173" s="1" t="s">
        <v>21</v>
      </c>
      <c r="D173" s="4" t="s">
        <v>655</v>
      </c>
      <c r="E173" s="1" t="s">
        <v>602</v>
      </c>
      <c r="F173" s="1" t="s">
        <v>650</v>
      </c>
      <c r="G173" s="1" t="s">
        <v>651</v>
      </c>
      <c r="H173" s="1" t="s">
        <v>447</v>
      </c>
      <c r="I173" s="1" t="str">
        <f t="shared" si="1"/>
        <v>x</v>
      </c>
      <c r="J173" s="5"/>
      <c r="K173" s="1" t="str">
        <f t="shared" si="2"/>
        <v>1</v>
      </c>
      <c r="L173" s="5"/>
      <c r="M173" s="2" t="str">
        <f t="shared" si="3"/>
        <v>1402</v>
      </c>
      <c r="N173" s="5"/>
      <c r="O173" s="2">
        <v>40.0</v>
      </c>
      <c r="P173" s="5"/>
      <c r="Q173" s="5"/>
      <c r="R173" s="6" t="s">
        <v>448</v>
      </c>
      <c r="S173" s="5"/>
      <c r="T173" s="1" t="str">
        <f>IFERROR(__xludf.DUMMYFUNCTION("INDEX(SPLIT(A173, ""/""), 2)"),"انجمن‌های علمی و نشریات وابسته به دانشکده‌ها")</f>
        <v>انجمن‌های علمی و نشریات وابسته به دانشکده‌ها</v>
      </c>
      <c r="U173" s="1" t="str">
        <f>IFERROR(__xludf.DUMMYFUNCTION("INDEX(SPLIT(A173, ""/""), 3)"),"دانشکده مهندسی برق")</f>
        <v>دانشکده مهندسی برق</v>
      </c>
      <c r="V173" s="1" t="str">
        <f>IFERROR(__xludf.DUMMYFUNCTION("INDEX(SPLIT(A173, ""/""), 4)"),"بارقه")</f>
        <v>بارقه</v>
      </c>
    </row>
    <row r="174">
      <c r="A174" s="1" t="s">
        <v>553</v>
      </c>
      <c r="B174" s="1" t="s">
        <v>656</v>
      </c>
      <c r="C174" s="1" t="s">
        <v>21</v>
      </c>
      <c r="D174" s="4" t="s">
        <v>657</v>
      </c>
      <c r="E174" s="1" t="s">
        <v>602</v>
      </c>
      <c r="F174" s="1" t="s">
        <v>650</v>
      </c>
      <c r="G174" s="1" t="s">
        <v>651</v>
      </c>
      <c r="H174" s="1" t="s">
        <v>160</v>
      </c>
      <c r="I174" s="1" t="str">
        <f t="shared" si="1"/>
        <v>x</v>
      </c>
      <c r="J174" s="5"/>
      <c r="K174" s="1" t="str">
        <f t="shared" si="2"/>
        <v>5</v>
      </c>
      <c r="L174" s="5"/>
      <c r="M174" s="2" t="str">
        <f t="shared" si="3"/>
        <v>1402</v>
      </c>
      <c r="N174" s="5"/>
      <c r="O174" s="2">
        <v>41.0</v>
      </c>
      <c r="P174" s="5"/>
      <c r="Q174" s="5"/>
      <c r="R174" s="6" t="s">
        <v>161</v>
      </c>
      <c r="S174" s="5"/>
      <c r="T174" s="1" t="str">
        <f>IFERROR(__xludf.DUMMYFUNCTION("INDEX(SPLIT(A174, ""/""), 2)"),"انجمن‌های علمی و نشریات وابسته به دانشکده‌ها")</f>
        <v>انجمن‌های علمی و نشریات وابسته به دانشکده‌ها</v>
      </c>
      <c r="U174" s="1" t="str">
        <f>IFERROR(__xludf.DUMMYFUNCTION("INDEX(SPLIT(A174, ""/""), 3)"),"دانشکده مهندسی برق")</f>
        <v>دانشکده مهندسی برق</v>
      </c>
      <c r="V174" s="1" t="str">
        <f>IFERROR(__xludf.DUMMYFUNCTION("INDEX(SPLIT(A174, ""/""), 4)"),"بارقه")</f>
        <v>بارقه</v>
      </c>
    </row>
    <row r="175">
      <c r="A175" s="1" t="s">
        <v>553</v>
      </c>
      <c r="B175" s="1" t="s">
        <v>658</v>
      </c>
      <c r="C175" s="1" t="s">
        <v>21</v>
      </c>
      <c r="D175" s="4" t="s">
        <v>659</v>
      </c>
      <c r="E175" s="1" t="s">
        <v>602</v>
      </c>
      <c r="F175" s="1" t="s">
        <v>660</v>
      </c>
      <c r="G175" s="1" t="s">
        <v>660</v>
      </c>
      <c r="H175" s="1" t="s">
        <v>462</v>
      </c>
      <c r="I175" s="1" t="str">
        <f t="shared" si="1"/>
        <v>x</v>
      </c>
      <c r="J175" s="5"/>
      <c r="K175" s="1" t="str">
        <f t="shared" si="2"/>
        <v>8</v>
      </c>
      <c r="L175" s="5"/>
      <c r="M175" s="2" t="str">
        <f t="shared" si="3"/>
        <v>1402</v>
      </c>
      <c r="N175" s="5"/>
      <c r="O175" s="2">
        <v>42.0</v>
      </c>
      <c r="P175" s="5"/>
      <c r="Q175" s="5"/>
      <c r="R175" s="6" t="s">
        <v>463</v>
      </c>
      <c r="S175" s="5"/>
      <c r="T175" s="1" t="str">
        <f>IFERROR(__xludf.DUMMYFUNCTION("INDEX(SPLIT(A175, ""/""), 2)"),"انجمن‌های علمی و نشریات وابسته به دانشکده‌ها")</f>
        <v>انجمن‌های علمی و نشریات وابسته به دانشکده‌ها</v>
      </c>
      <c r="U175" s="1" t="str">
        <f>IFERROR(__xludf.DUMMYFUNCTION("INDEX(SPLIT(A175, ""/""), 3)"),"دانشکده مهندسی برق")</f>
        <v>دانشکده مهندسی برق</v>
      </c>
      <c r="V175" s="1" t="str">
        <f>IFERROR(__xludf.DUMMYFUNCTION("INDEX(SPLIT(A175, ""/""), 4)"),"بارقه")</f>
        <v>بارقه</v>
      </c>
    </row>
    <row r="176">
      <c r="A176" s="1" t="s">
        <v>553</v>
      </c>
      <c r="B176" s="1" t="s">
        <v>661</v>
      </c>
      <c r="C176" s="1" t="s">
        <v>21</v>
      </c>
      <c r="D176" s="4" t="s">
        <v>662</v>
      </c>
      <c r="E176" s="1" t="s">
        <v>602</v>
      </c>
      <c r="F176" s="1" t="s">
        <v>660</v>
      </c>
      <c r="G176" s="1" t="s">
        <v>660</v>
      </c>
      <c r="H176" s="1" t="s">
        <v>663</v>
      </c>
      <c r="I176" s="1" t="str">
        <f t="shared" si="1"/>
        <v>x</v>
      </c>
      <c r="J176" s="5"/>
      <c r="K176" s="1" t="str">
        <f t="shared" si="2"/>
        <v>10</v>
      </c>
      <c r="L176" s="5"/>
      <c r="M176" s="2" t="str">
        <f t="shared" si="3"/>
        <v>1402</v>
      </c>
      <c r="N176" s="5"/>
      <c r="O176" s="2">
        <v>43.0</v>
      </c>
      <c r="P176" s="5"/>
      <c r="Q176" s="5"/>
      <c r="R176" s="6" t="s">
        <v>664</v>
      </c>
      <c r="S176" s="5"/>
      <c r="T176" s="1" t="str">
        <f>IFERROR(__xludf.DUMMYFUNCTION("INDEX(SPLIT(A176, ""/""), 2)"),"انجمن‌های علمی و نشریات وابسته به دانشکده‌ها")</f>
        <v>انجمن‌های علمی و نشریات وابسته به دانشکده‌ها</v>
      </c>
      <c r="U176" s="1" t="str">
        <f>IFERROR(__xludf.DUMMYFUNCTION("INDEX(SPLIT(A176, ""/""), 3)"),"دانشکده مهندسی برق")</f>
        <v>دانشکده مهندسی برق</v>
      </c>
      <c r="V176" s="1" t="str">
        <f>IFERROR(__xludf.DUMMYFUNCTION("INDEX(SPLIT(A176, ""/""), 4)"),"بارقه")</f>
        <v>بارقه</v>
      </c>
    </row>
    <row r="177">
      <c r="A177" s="1" t="s">
        <v>553</v>
      </c>
      <c r="B177" s="1" t="s">
        <v>665</v>
      </c>
      <c r="C177" s="1" t="s">
        <v>21</v>
      </c>
      <c r="D177" s="4" t="s">
        <v>666</v>
      </c>
      <c r="E177" s="1" t="s">
        <v>602</v>
      </c>
      <c r="F177" s="1" t="s">
        <v>667</v>
      </c>
      <c r="G177" s="1" t="s">
        <v>668</v>
      </c>
      <c r="H177" s="1" t="s">
        <v>548</v>
      </c>
      <c r="I177" s="1" t="str">
        <f t="shared" si="1"/>
        <v>x</v>
      </c>
      <c r="J177" s="5"/>
      <c r="K177" s="1" t="str">
        <f t="shared" si="2"/>
        <v>7</v>
      </c>
      <c r="L177" s="5"/>
      <c r="M177" s="2" t="str">
        <f t="shared" si="3"/>
        <v>1403</v>
      </c>
      <c r="N177" s="5"/>
      <c r="O177" s="2">
        <v>44.0</v>
      </c>
      <c r="P177" s="5"/>
      <c r="Q177" s="5"/>
      <c r="R177" s="6" t="s">
        <v>549</v>
      </c>
      <c r="S177" s="5"/>
      <c r="T177" s="1" t="str">
        <f>IFERROR(__xludf.DUMMYFUNCTION("INDEX(SPLIT(A177, ""/""), 2)"),"انجمن‌های علمی و نشریات وابسته به دانشکده‌ها")</f>
        <v>انجمن‌های علمی و نشریات وابسته به دانشکده‌ها</v>
      </c>
      <c r="U177" s="1" t="str">
        <f>IFERROR(__xludf.DUMMYFUNCTION("INDEX(SPLIT(A177, ""/""), 3)"),"دانشکده مهندسی برق")</f>
        <v>دانشکده مهندسی برق</v>
      </c>
      <c r="V177" s="1" t="str">
        <f>IFERROR(__xludf.DUMMYFUNCTION("INDEX(SPLIT(A177, ""/""), 4)"),"بارقه")</f>
        <v>بارقه</v>
      </c>
    </row>
    <row r="178">
      <c r="A178" s="1" t="s">
        <v>553</v>
      </c>
      <c r="B178" s="1" t="s">
        <v>669</v>
      </c>
      <c r="C178" s="1" t="s">
        <v>21</v>
      </c>
      <c r="D178" s="4" t="s">
        <v>670</v>
      </c>
      <c r="E178" s="1" t="s">
        <v>602</v>
      </c>
      <c r="F178" s="1" t="s">
        <v>667</v>
      </c>
      <c r="G178" s="1" t="s">
        <v>667</v>
      </c>
      <c r="H178" s="1" t="s">
        <v>671</v>
      </c>
      <c r="I178" s="1" t="str">
        <f t="shared" si="1"/>
        <v>x</v>
      </c>
      <c r="J178" s="5"/>
      <c r="K178" s="1" t="str">
        <f t="shared" si="2"/>
        <v>9</v>
      </c>
      <c r="L178" s="5"/>
      <c r="M178" s="2" t="str">
        <f t="shared" si="3"/>
        <v>1403</v>
      </c>
      <c r="N178" s="5"/>
      <c r="O178" s="2">
        <v>45.0</v>
      </c>
      <c r="P178" s="5"/>
      <c r="Q178" s="5"/>
      <c r="R178" s="6" t="s">
        <v>672</v>
      </c>
      <c r="S178" s="5"/>
      <c r="T178" s="1" t="str">
        <f>IFERROR(__xludf.DUMMYFUNCTION("INDEX(SPLIT(A178, ""/""), 2)"),"انجمن‌های علمی و نشریات وابسته به دانشکده‌ها")</f>
        <v>انجمن‌های علمی و نشریات وابسته به دانشکده‌ها</v>
      </c>
      <c r="U178" s="1" t="str">
        <f>IFERROR(__xludf.DUMMYFUNCTION("INDEX(SPLIT(A178, ""/""), 3)"),"دانشکده مهندسی برق")</f>
        <v>دانشکده مهندسی برق</v>
      </c>
      <c r="V178" s="1" t="str">
        <f>IFERROR(__xludf.DUMMYFUNCTION("INDEX(SPLIT(A178, ""/""), 4)"),"بارقه")</f>
        <v>بارقه</v>
      </c>
    </row>
    <row r="179">
      <c r="A179" s="1" t="s">
        <v>553</v>
      </c>
      <c r="B179" s="1" t="s">
        <v>673</v>
      </c>
      <c r="C179" s="1" t="s">
        <v>21</v>
      </c>
      <c r="D179" s="4" t="s">
        <v>674</v>
      </c>
      <c r="E179" s="1" t="s">
        <v>602</v>
      </c>
      <c r="F179" s="1" t="s">
        <v>667</v>
      </c>
      <c r="G179" s="1" t="s">
        <v>667</v>
      </c>
      <c r="H179" s="1" t="s">
        <v>675</v>
      </c>
      <c r="I179" s="1" t="str">
        <f t="shared" si="1"/>
        <v>x</v>
      </c>
      <c r="J179" s="5"/>
      <c r="K179" s="1" t="str">
        <f t="shared" si="2"/>
        <v>10</v>
      </c>
      <c r="L179" s="5"/>
      <c r="M179" s="2" t="str">
        <f t="shared" si="3"/>
        <v>1403</v>
      </c>
      <c r="N179" s="5"/>
      <c r="O179" s="2">
        <v>46.0</v>
      </c>
      <c r="P179" s="5"/>
      <c r="Q179" s="5"/>
      <c r="R179" s="6" t="s">
        <v>676</v>
      </c>
      <c r="S179" s="5"/>
      <c r="T179" s="1" t="str">
        <f>IFERROR(__xludf.DUMMYFUNCTION("INDEX(SPLIT(A179, ""/""), 2)"),"انجمن‌های علمی و نشریات وابسته به دانشکده‌ها")</f>
        <v>انجمن‌های علمی و نشریات وابسته به دانشکده‌ها</v>
      </c>
      <c r="U179" s="1" t="str">
        <f>IFERROR(__xludf.DUMMYFUNCTION("INDEX(SPLIT(A179, ""/""), 3)"),"دانشکده مهندسی برق")</f>
        <v>دانشکده مهندسی برق</v>
      </c>
      <c r="V179" s="1" t="str">
        <f>IFERROR(__xludf.DUMMYFUNCTION("INDEX(SPLIT(A179, ""/""), 4)"),"بارقه")</f>
        <v>بارقه</v>
      </c>
    </row>
    <row r="180">
      <c r="A180" s="1" t="s">
        <v>553</v>
      </c>
      <c r="B180" s="1" t="s">
        <v>677</v>
      </c>
      <c r="C180" s="1" t="s">
        <v>21</v>
      </c>
      <c r="D180" s="4" t="s">
        <v>678</v>
      </c>
      <c r="E180" s="1" t="s">
        <v>602</v>
      </c>
      <c r="F180" s="1" t="s">
        <v>667</v>
      </c>
      <c r="G180" s="1" t="s">
        <v>679</v>
      </c>
      <c r="H180" s="1" t="s">
        <v>479</v>
      </c>
      <c r="I180" s="1" t="str">
        <f t="shared" si="1"/>
        <v>x</v>
      </c>
      <c r="J180" s="5"/>
      <c r="K180" s="1" t="str">
        <f t="shared" si="2"/>
        <v>11</v>
      </c>
      <c r="L180" s="5"/>
      <c r="M180" s="2" t="str">
        <f t="shared" si="3"/>
        <v>1403</v>
      </c>
      <c r="N180" s="5"/>
      <c r="O180" s="2">
        <v>47.0</v>
      </c>
      <c r="P180" s="5"/>
      <c r="Q180" s="5"/>
      <c r="R180" s="6" t="s">
        <v>480</v>
      </c>
      <c r="S180" s="5"/>
      <c r="T180" s="1" t="str">
        <f>IFERROR(__xludf.DUMMYFUNCTION("INDEX(SPLIT(A180, ""/""), 2)"),"انجمن‌های علمی و نشریات وابسته به دانشکده‌ها")</f>
        <v>انجمن‌های علمی و نشریات وابسته به دانشکده‌ها</v>
      </c>
      <c r="U180" s="1" t="str">
        <f>IFERROR(__xludf.DUMMYFUNCTION("INDEX(SPLIT(A180, ""/""), 3)"),"دانشکده مهندسی برق")</f>
        <v>دانشکده مهندسی برق</v>
      </c>
      <c r="V180" s="1" t="str">
        <f>IFERROR(__xludf.DUMMYFUNCTION("INDEX(SPLIT(A180, ""/""), 4)"),"بارقه")</f>
        <v>بارقه</v>
      </c>
    </row>
    <row r="181">
      <c r="A181" s="1" t="s">
        <v>553</v>
      </c>
      <c r="B181" s="1" t="s">
        <v>680</v>
      </c>
      <c r="C181" s="1" t="s">
        <v>21</v>
      </c>
      <c r="D181" s="4" t="s">
        <v>681</v>
      </c>
      <c r="E181" s="1" t="s">
        <v>602</v>
      </c>
      <c r="F181" s="1" t="s">
        <v>667</v>
      </c>
      <c r="G181" s="1" t="s">
        <v>679</v>
      </c>
      <c r="H181" s="1" t="s">
        <v>682</v>
      </c>
      <c r="I181" s="1" t="str">
        <f t="shared" si="1"/>
        <v>x</v>
      </c>
      <c r="J181" s="5"/>
      <c r="K181" s="1" t="str">
        <f t="shared" si="2"/>
        <v>1</v>
      </c>
      <c r="L181" s="5"/>
      <c r="M181" s="2" t="str">
        <f t="shared" si="3"/>
        <v>1404</v>
      </c>
      <c r="N181" s="5"/>
      <c r="O181" s="2">
        <v>48.0</v>
      </c>
      <c r="P181" s="5"/>
      <c r="Q181" s="5"/>
      <c r="R181" s="6" t="s">
        <v>683</v>
      </c>
      <c r="S181" s="5"/>
      <c r="T181" s="1" t="str">
        <f>IFERROR(__xludf.DUMMYFUNCTION("INDEX(SPLIT(A181, ""/""), 2)"),"انجمن‌های علمی و نشریات وابسته به دانشکده‌ها")</f>
        <v>انجمن‌های علمی و نشریات وابسته به دانشکده‌ها</v>
      </c>
      <c r="U181" s="1" t="str">
        <f>IFERROR(__xludf.DUMMYFUNCTION("INDEX(SPLIT(A181, ""/""), 3)"),"دانشکده مهندسی برق")</f>
        <v>دانشکده مهندسی برق</v>
      </c>
      <c r="V181" s="1" t="str">
        <f>IFERROR(__xludf.DUMMYFUNCTION("INDEX(SPLIT(A181, ""/""), 4)"),"بارقه")</f>
        <v>بارقه</v>
      </c>
    </row>
    <row r="182">
      <c r="A182" s="1" t="s">
        <v>553</v>
      </c>
      <c r="B182" s="1" t="s">
        <v>684</v>
      </c>
      <c r="C182" s="1" t="s">
        <v>21</v>
      </c>
      <c r="D182" s="4" t="s">
        <v>685</v>
      </c>
      <c r="E182" s="1" t="s">
        <v>602</v>
      </c>
      <c r="F182" s="1" t="s">
        <v>667</v>
      </c>
      <c r="G182" s="1" t="s">
        <v>679</v>
      </c>
      <c r="H182" s="1" t="s">
        <v>686</v>
      </c>
      <c r="I182" s="1" t="str">
        <f t="shared" si="1"/>
        <v>x</v>
      </c>
      <c r="J182" s="5"/>
      <c r="K182" s="1" t="str">
        <f t="shared" si="2"/>
        <v>4</v>
      </c>
      <c r="L182" s="5"/>
      <c r="M182" s="2" t="str">
        <f t="shared" si="3"/>
        <v>1404</v>
      </c>
      <c r="N182" s="5"/>
      <c r="O182" s="2">
        <v>49.0</v>
      </c>
      <c r="P182" s="5"/>
      <c r="Q182" s="5"/>
      <c r="R182" s="6" t="s">
        <v>687</v>
      </c>
      <c r="S182" s="5"/>
      <c r="T182" s="1" t="str">
        <f>IFERROR(__xludf.DUMMYFUNCTION("INDEX(SPLIT(A182, ""/""), 2)"),"انجمن‌های علمی و نشریات وابسته به دانشکده‌ها")</f>
        <v>انجمن‌های علمی و نشریات وابسته به دانشکده‌ها</v>
      </c>
      <c r="U182" s="1" t="str">
        <f>IFERROR(__xludf.DUMMYFUNCTION("INDEX(SPLIT(A182, ""/""), 3)"),"دانشکده مهندسی برق")</f>
        <v>دانشکده مهندسی برق</v>
      </c>
      <c r="V182" s="1" t="str">
        <f>IFERROR(__xludf.DUMMYFUNCTION("INDEX(SPLIT(A182, ""/""), 4)"),"بارقه")</f>
        <v>بارقه</v>
      </c>
    </row>
    <row r="183">
      <c r="A183" s="1" t="s">
        <v>688</v>
      </c>
      <c r="B183" s="1" t="s">
        <v>689</v>
      </c>
      <c r="C183" s="1" t="s">
        <v>21</v>
      </c>
      <c r="D183" s="4" t="s">
        <v>690</v>
      </c>
      <c r="E183" s="1" t="s">
        <v>691</v>
      </c>
      <c r="F183" s="1" t="s">
        <v>692</v>
      </c>
      <c r="G183" s="1" t="s">
        <v>693</v>
      </c>
      <c r="H183" s="1" t="s">
        <v>694</v>
      </c>
      <c r="I183" s="1" t="str">
        <f t="shared" si="1"/>
        <v>31</v>
      </c>
      <c r="J183" s="5"/>
      <c r="K183" s="1" t="str">
        <f t="shared" si="2"/>
        <v>6</v>
      </c>
      <c r="L183" s="5"/>
      <c r="M183" s="2" t="str">
        <f t="shared" si="3"/>
        <v>1397</v>
      </c>
      <c r="N183" s="5"/>
      <c r="O183" s="2">
        <v>1.0</v>
      </c>
      <c r="P183" s="5"/>
      <c r="Q183" s="5"/>
      <c r="R183" s="6" t="s">
        <v>694</v>
      </c>
      <c r="S183" s="5"/>
      <c r="T183" s="1" t="str">
        <f>IFERROR(__xludf.DUMMYFUNCTION("INDEX(SPLIT(A183, ""/""), 2)"),"انجمن‌های علمی و نشریات وابسته به دانشکده‌ها")</f>
        <v>انجمن‌های علمی و نشریات وابسته به دانشکده‌ها</v>
      </c>
      <c r="U183" s="1" t="str">
        <f>IFERROR(__xludf.DUMMYFUNCTION("INDEX(SPLIT(A183, ""/""), 3)"),"طرشت ۳")</f>
        <v>طرشت ۳</v>
      </c>
      <c r="V183" s="1" t="str">
        <f>IFERROR(__xludf.DUMMYFUNCTION("INDEX(SPLIT(A183, ""/""), 4)"),"باغ کاج")</f>
        <v>باغ کاج</v>
      </c>
    </row>
    <row r="184">
      <c r="A184" s="1" t="s">
        <v>688</v>
      </c>
      <c r="B184" s="1" t="s">
        <v>695</v>
      </c>
      <c r="C184" s="1" t="s">
        <v>21</v>
      </c>
      <c r="D184" s="4" t="s">
        <v>696</v>
      </c>
      <c r="E184" s="1" t="s">
        <v>691</v>
      </c>
      <c r="F184" s="1" t="s">
        <v>692</v>
      </c>
      <c r="G184" s="1" t="s">
        <v>693</v>
      </c>
      <c r="H184" s="7" t="s">
        <v>697</v>
      </c>
      <c r="I184" s="1" t="str">
        <f t="shared" si="1"/>
        <v>8</v>
      </c>
      <c r="J184" s="5"/>
      <c r="K184" s="1" t="str">
        <f t="shared" si="2"/>
        <v>7</v>
      </c>
      <c r="L184" s="5"/>
      <c r="M184" s="2" t="str">
        <f t="shared" si="3"/>
        <v>1397</v>
      </c>
      <c r="N184" s="5"/>
      <c r="O184" s="2" t="s">
        <v>698</v>
      </c>
      <c r="P184" s="5"/>
      <c r="Q184" s="5"/>
      <c r="R184" s="8" t="s">
        <v>697</v>
      </c>
      <c r="S184" s="5"/>
      <c r="T184" s="1" t="str">
        <f>IFERROR(__xludf.DUMMYFUNCTION("INDEX(SPLIT(A184, ""/""), 2)"),"انجمن‌های علمی و نشریات وابسته به دانشکده‌ها")</f>
        <v>انجمن‌های علمی و نشریات وابسته به دانشکده‌ها</v>
      </c>
      <c r="U184" s="1" t="str">
        <f>IFERROR(__xludf.DUMMYFUNCTION("INDEX(SPLIT(A184, ""/""), 3)"),"طرشت ۳")</f>
        <v>طرشت ۳</v>
      </c>
      <c r="V184" s="1" t="str">
        <f>IFERROR(__xludf.DUMMYFUNCTION("INDEX(SPLIT(A184, ""/""), 4)"),"باغ کاج")</f>
        <v>باغ کاج</v>
      </c>
    </row>
    <row r="185">
      <c r="A185" s="1" t="s">
        <v>688</v>
      </c>
      <c r="B185" s="1" t="s">
        <v>699</v>
      </c>
      <c r="C185" s="1" t="s">
        <v>21</v>
      </c>
      <c r="D185" s="4" t="s">
        <v>700</v>
      </c>
      <c r="E185" s="1" t="s">
        <v>691</v>
      </c>
      <c r="F185" s="1" t="s">
        <v>692</v>
      </c>
      <c r="G185" s="1" t="s">
        <v>693</v>
      </c>
      <c r="H185" s="7" t="s">
        <v>701</v>
      </c>
      <c r="I185" s="1" t="str">
        <f t="shared" si="1"/>
        <v>5</v>
      </c>
      <c r="J185" s="5"/>
      <c r="K185" s="1" t="str">
        <f t="shared" si="2"/>
        <v>8</v>
      </c>
      <c r="L185" s="5"/>
      <c r="M185" s="2" t="str">
        <f t="shared" si="3"/>
        <v>1397</v>
      </c>
      <c r="N185" s="5"/>
      <c r="O185" s="2">
        <v>2.0</v>
      </c>
      <c r="P185" s="5"/>
      <c r="Q185" s="5"/>
      <c r="R185" s="8" t="s">
        <v>701</v>
      </c>
      <c r="S185" s="5"/>
      <c r="T185" s="1" t="str">
        <f>IFERROR(__xludf.DUMMYFUNCTION("INDEX(SPLIT(A185, ""/""), 2)"),"انجمن‌های علمی و نشریات وابسته به دانشکده‌ها")</f>
        <v>انجمن‌های علمی و نشریات وابسته به دانشکده‌ها</v>
      </c>
      <c r="U185" s="1" t="str">
        <f>IFERROR(__xludf.DUMMYFUNCTION("INDEX(SPLIT(A185, ""/""), 3)"),"طرشت ۳")</f>
        <v>طرشت ۳</v>
      </c>
      <c r="V185" s="1" t="str">
        <f>IFERROR(__xludf.DUMMYFUNCTION("INDEX(SPLIT(A185, ""/""), 4)"),"باغ کاج")</f>
        <v>باغ کاج</v>
      </c>
    </row>
    <row r="186">
      <c r="A186" s="1" t="s">
        <v>688</v>
      </c>
      <c r="B186" s="1" t="s">
        <v>702</v>
      </c>
      <c r="C186" s="1" t="s">
        <v>21</v>
      </c>
      <c r="D186" s="4" t="s">
        <v>703</v>
      </c>
      <c r="E186" s="1" t="s">
        <v>691</v>
      </c>
      <c r="F186" s="1" t="s">
        <v>692</v>
      </c>
      <c r="G186" s="1" t="s">
        <v>693</v>
      </c>
      <c r="H186" s="7" t="s">
        <v>704</v>
      </c>
      <c r="I186" s="1" t="str">
        <f t="shared" si="1"/>
        <v>6</v>
      </c>
      <c r="J186" s="5"/>
      <c r="K186" s="1" t="str">
        <f t="shared" si="2"/>
        <v>9</v>
      </c>
      <c r="L186" s="5"/>
      <c r="M186" s="2" t="str">
        <f t="shared" si="3"/>
        <v>1397</v>
      </c>
      <c r="N186" s="5"/>
      <c r="O186" s="2">
        <v>3.0</v>
      </c>
      <c r="P186" s="5"/>
      <c r="Q186" s="5"/>
      <c r="R186" s="8" t="s">
        <v>704</v>
      </c>
      <c r="S186" s="5"/>
      <c r="T186" s="1" t="str">
        <f>IFERROR(__xludf.DUMMYFUNCTION("INDEX(SPLIT(A186, ""/""), 2)"),"انجمن‌های علمی و نشریات وابسته به دانشکده‌ها")</f>
        <v>انجمن‌های علمی و نشریات وابسته به دانشکده‌ها</v>
      </c>
      <c r="U186" s="1" t="str">
        <f>IFERROR(__xludf.DUMMYFUNCTION("INDEX(SPLIT(A186, ""/""), 3)"),"طرشت ۳")</f>
        <v>طرشت ۳</v>
      </c>
      <c r="V186" s="1" t="str">
        <f>IFERROR(__xludf.DUMMYFUNCTION("INDEX(SPLIT(A186, ""/""), 4)"),"باغ کاج")</f>
        <v>باغ کاج</v>
      </c>
    </row>
    <row r="187">
      <c r="A187" s="1" t="s">
        <v>688</v>
      </c>
      <c r="B187" s="1" t="s">
        <v>705</v>
      </c>
      <c r="C187" s="1" t="s">
        <v>21</v>
      </c>
      <c r="D187" s="4" t="s">
        <v>706</v>
      </c>
      <c r="E187" s="1" t="s">
        <v>691</v>
      </c>
      <c r="F187" s="1" t="s">
        <v>692</v>
      </c>
      <c r="G187" s="1" t="s">
        <v>693</v>
      </c>
      <c r="H187" s="7" t="s">
        <v>701</v>
      </c>
      <c r="I187" s="1" t="str">
        <f t="shared" si="1"/>
        <v>5</v>
      </c>
      <c r="J187" s="5"/>
      <c r="K187" s="1" t="str">
        <f t="shared" si="2"/>
        <v>8</v>
      </c>
      <c r="L187" s="5"/>
      <c r="M187" s="2" t="str">
        <f t="shared" si="3"/>
        <v>1397</v>
      </c>
      <c r="N187" s="5"/>
      <c r="O187" s="2">
        <v>4.0</v>
      </c>
      <c r="P187" s="5"/>
      <c r="Q187" s="5"/>
      <c r="R187" s="8" t="s">
        <v>701</v>
      </c>
      <c r="S187" s="5"/>
      <c r="T187" s="1" t="str">
        <f>IFERROR(__xludf.DUMMYFUNCTION("INDEX(SPLIT(A187, ""/""), 2)"),"انجمن‌های علمی و نشریات وابسته به دانشکده‌ها")</f>
        <v>انجمن‌های علمی و نشریات وابسته به دانشکده‌ها</v>
      </c>
      <c r="U187" s="1" t="str">
        <f>IFERROR(__xludf.DUMMYFUNCTION("INDEX(SPLIT(A187, ""/""), 3)"),"طرشت ۳")</f>
        <v>طرشت ۳</v>
      </c>
      <c r="V187" s="1" t="str">
        <f>IFERROR(__xludf.DUMMYFUNCTION("INDEX(SPLIT(A187, ""/""), 4)"),"باغ کاج")</f>
        <v>باغ کاج</v>
      </c>
    </row>
    <row r="188">
      <c r="A188" s="1" t="s">
        <v>688</v>
      </c>
      <c r="B188" s="1" t="s">
        <v>707</v>
      </c>
      <c r="C188" s="1" t="s">
        <v>21</v>
      </c>
      <c r="D188" s="4" t="s">
        <v>708</v>
      </c>
      <c r="E188" s="1" t="s">
        <v>691</v>
      </c>
      <c r="F188" s="1" t="s">
        <v>692</v>
      </c>
      <c r="G188" s="1" t="s">
        <v>693</v>
      </c>
      <c r="H188" s="1" t="s">
        <v>709</v>
      </c>
      <c r="I188" s="1" t="str">
        <f t="shared" si="1"/>
        <v>16</v>
      </c>
      <c r="J188" s="5"/>
      <c r="K188" s="1" t="str">
        <f t="shared" si="2"/>
        <v>9</v>
      </c>
      <c r="L188" s="5"/>
      <c r="M188" s="2" t="str">
        <f t="shared" si="3"/>
        <v>1398</v>
      </c>
      <c r="N188" s="5"/>
      <c r="O188" s="2">
        <v>5.0</v>
      </c>
      <c r="P188" s="5"/>
      <c r="Q188" s="5"/>
      <c r="R188" s="6" t="s">
        <v>709</v>
      </c>
      <c r="S188" s="5"/>
      <c r="T188" s="1" t="str">
        <f>IFERROR(__xludf.DUMMYFUNCTION("INDEX(SPLIT(A188, ""/""), 2)"),"انجمن‌های علمی و نشریات وابسته به دانشکده‌ها")</f>
        <v>انجمن‌های علمی و نشریات وابسته به دانشکده‌ها</v>
      </c>
      <c r="U188" s="1" t="str">
        <f>IFERROR(__xludf.DUMMYFUNCTION("INDEX(SPLIT(A188, ""/""), 3)"),"طرشت ۳")</f>
        <v>طرشت ۳</v>
      </c>
      <c r="V188" s="1" t="str">
        <f>IFERROR(__xludf.DUMMYFUNCTION("INDEX(SPLIT(A188, ""/""), 4)"),"باغ کاج")</f>
        <v>باغ کاج</v>
      </c>
    </row>
    <row r="189">
      <c r="A189" s="1" t="s">
        <v>688</v>
      </c>
      <c r="B189" s="1" t="s">
        <v>710</v>
      </c>
      <c r="C189" s="1" t="s">
        <v>21</v>
      </c>
      <c r="D189" s="4" t="s">
        <v>711</v>
      </c>
      <c r="E189" s="1" t="s">
        <v>691</v>
      </c>
      <c r="F189" s="1" t="s">
        <v>692</v>
      </c>
      <c r="G189" s="1" t="s">
        <v>693</v>
      </c>
      <c r="H189" s="1" t="s">
        <v>712</v>
      </c>
      <c r="I189" s="1" t="str">
        <f t="shared" si="1"/>
        <v>x</v>
      </c>
      <c r="J189" s="5"/>
      <c r="K189" s="1" t="str">
        <f t="shared" si="2"/>
        <v>10</v>
      </c>
      <c r="L189" s="5"/>
      <c r="M189" s="2" t="str">
        <f t="shared" si="3"/>
        <v>1400</v>
      </c>
      <c r="N189" s="5"/>
      <c r="O189" s="2">
        <v>6.0</v>
      </c>
      <c r="P189" s="5"/>
      <c r="Q189" s="5"/>
      <c r="R189" s="6" t="s">
        <v>713</v>
      </c>
      <c r="S189" s="5"/>
      <c r="T189" s="1" t="str">
        <f>IFERROR(__xludf.DUMMYFUNCTION("INDEX(SPLIT(A189, ""/""), 2)"),"انجمن‌های علمی و نشریات وابسته به دانشکده‌ها")</f>
        <v>انجمن‌های علمی و نشریات وابسته به دانشکده‌ها</v>
      </c>
      <c r="U189" s="1" t="str">
        <f>IFERROR(__xludf.DUMMYFUNCTION("INDEX(SPLIT(A189, ""/""), 3)"),"طرشت ۳")</f>
        <v>طرشت ۳</v>
      </c>
      <c r="V189" s="1" t="str">
        <f>IFERROR(__xludf.DUMMYFUNCTION("INDEX(SPLIT(A189, ""/""), 4)"),"باغ کاج")</f>
        <v>باغ کاج</v>
      </c>
    </row>
    <row r="190">
      <c r="A190" s="1" t="s">
        <v>688</v>
      </c>
      <c r="B190" s="1" t="s">
        <v>714</v>
      </c>
      <c r="C190" s="1" t="s">
        <v>21</v>
      </c>
      <c r="D190" s="4" t="s">
        <v>715</v>
      </c>
      <c r="E190" s="1" t="s">
        <v>691</v>
      </c>
      <c r="F190" s="1" t="s">
        <v>716</v>
      </c>
      <c r="G190" s="1" t="s">
        <v>717</v>
      </c>
      <c r="H190" s="1" t="s">
        <v>155</v>
      </c>
      <c r="I190" s="1" t="str">
        <f t="shared" si="1"/>
        <v>x</v>
      </c>
      <c r="J190" s="5"/>
      <c r="K190" s="1" t="str">
        <f t="shared" si="2"/>
        <v>12</v>
      </c>
      <c r="L190" s="5"/>
      <c r="M190" s="2" t="str">
        <f t="shared" si="3"/>
        <v>1401</v>
      </c>
      <c r="N190" s="5"/>
      <c r="O190" s="2">
        <v>7.0</v>
      </c>
      <c r="P190" s="5"/>
      <c r="Q190" s="5"/>
      <c r="R190" s="6" t="s">
        <v>156</v>
      </c>
      <c r="S190" s="5"/>
      <c r="T190" s="1" t="str">
        <f>IFERROR(__xludf.DUMMYFUNCTION("INDEX(SPLIT(A190, ""/""), 2)"),"انجمن‌های علمی و نشریات وابسته به دانشکده‌ها")</f>
        <v>انجمن‌های علمی و نشریات وابسته به دانشکده‌ها</v>
      </c>
      <c r="U190" s="1" t="str">
        <f>IFERROR(__xludf.DUMMYFUNCTION("INDEX(SPLIT(A190, ""/""), 3)"),"طرشت ۳")</f>
        <v>طرشت ۳</v>
      </c>
      <c r="V190" s="1" t="str">
        <f>IFERROR(__xludf.DUMMYFUNCTION("INDEX(SPLIT(A190, ""/""), 4)"),"باغ کاج")</f>
        <v>باغ کاج</v>
      </c>
    </row>
    <row r="191">
      <c r="A191" s="1" t="s">
        <v>718</v>
      </c>
      <c r="B191" s="1" t="s">
        <v>719</v>
      </c>
      <c r="C191" s="1" t="s">
        <v>21</v>
      </c>
      <c r="D191" s="4" t="s">
        <v>720</v>
      </c>
      <c r="E191" s="1" t="s">
        <v>721</v>
      </c>
      <c r="F191" s="1" t="s">
        <v>722</v>
      </c>
      <c r="G191" s="1" t="s">
        <v>722</v>
      </c>
      <c r="H191" s="1" t="s">
        <v>663</v>
      </c>
      <c r="I191" s="1" t="str">
        <f t="shared" si="1"/>
        <v>x</v>
      </c>
      <c r="J191" s="5"/>
      <c r="K191" s="1" t="str">
        <f t="shared" si="2"/>
        <v>10</v>
      </c>
      <c r="L191" s="5"/>
      <c r="M191" s="2" t="str">
        <f t="shared" si="3"/>
        <v>1402</v>
      </c>
      <c r="N191" s="5"/>
      <c r="O191" s="2">
        <v>1.0</v>
      </c>
      <c r="P191" s="5"/>
      <c r="Q191" s="5"/>
      <c r="R191" s="6" t="s">
        <v>664</v>
      </c>
      <c r="S191" s="5"/>
      <c r="T191" s="1" t="str">
        <f>IFERROR(__xludf.DUMMYFUNCTION("INDEX(SPLIT(A191, ""/""), 2)"),"انجمن‌های علمی و نشریات وابسته به دانشکده‌ها")</f>
        <v>انجمن‌های علمی و نشریات وابسته به دانشکده‌ها</v>
      </c>
      <c r="U191" s="1" t="str">
        <f>IFERROR(__xludf.DUMMYFUNCTION("INDEX(SPLIT(A191, ""/""), 3)"),"دانشکده مهندسی مواد و متالورژی")</f>
        <v>دانشکده مهندسی مواد و متالورژی</v>
      </c>
      <c r="V191" s="1" t="str">
        <f>IFERROR(__xludf.DUMMYFUNCTION("INDEX(SPLIT(A191, ""/""), 4)"),"بلور")</f>
        <v>بلور</v>
      </c>
    </row>
    <row r="192">
      <c r="A192" s="1" t="s">
        <v>718</v>
      </c>
      <c r="B192" s="1" t="s">
        <v>723</v>
      </c>
      <c r="C192" s="1" t="s">
        <v>21</v>
      </c>
      <c r="D192" s="4" t="s">
        <v>724</v>
      </c>
      <c r="E192" s="1" t="s">
        <v>721</v>
      </c>
      <c r="F192" s="1" t="s">
        <v>722</v>
      </c>
      <c r="G192" s="1" t="s">
        <v>722</v>
      </c>
      <c r="H192" s="1" t="s">
        <v>471</v>
      </c>
      <c r="I192" s="1" t="str">
        <f t="shared" si="1"/>
        <v>x</v>
      </c>
      <c r="J192" s="5"/>
      <c r="K192" s="1" t="str">
        <f t="shared" si="2"/>
        <v>3</v>
      </c>
      <c r="L192" s="5"/>
      <c r="M192" s="2" t="str">
        <f t="shared" si="3"/>
        <v>1403</v>
      </c>
      <c r="N192" s="5"/>
      <c r="O192" s="2">
        <v>2.0</v>
      </c>
      <c r="P192" s="5"/>
      <c r="Q192" s="5"/>
      <c r="R192" s="6" t="s">
        <v>472</v>
      </c>
      <c r="S192" s="5"/>
      <c r="T192" s="1" t="str">
        <f>IFERROR(__xludf.DUMMYFUNCTION("INDEX(SPLIT(A192, ""/""), 2)"),"انجمن‌های علمی و نشریات وابسته به دانشکده‌ها")</f>
        <v>انجمن‌های علمی و نشریات وابسته به دانشکده‌ها</v>
      </c>
      <c r="U192" s="1" t="str">
        <f>IFERROR(__xludf.DUMMYFUNCTION("INDEX(SPLIT(A192, ""/""), 3)"),"دانشکده مهندسی مواد و متالورژی")</f>
        <v>دانشکده مهندسی مواد و متالورژی</v>
      </c>
      <c r="V192" s="1" t="str">
        <f>IFERROR(__xludf.DUMMYFUNCTION("INDEX(SPLIT(A192, ""/""), 4)"),"بلور")</f>
        <v>بلور</v>
      </c>
    </row>
    <row r="193">
      <c r="A193" s="1" t="s">
        <v>718</v>
      </c>
      <c r="B193" s="1" t="s">
        <v>725</v>
      </c>
      <c r="C193" s="1" t="s">
        <v>21</v>
      </c>
      <c r="D193" s="4" t="s">
        <v>726</v>
      </c>
      <c r="E193" s="1" t="s">
        <v>721</v>
      </c>
      <c r="F193" s="1" t="s">
        <v>727</v>
      </c>
      <c r="G193" s="1" t="s">
        <v>722</v>
      </c>
      <c r="H193" s="1" t="s">
        <v>728</v>
      </c>
      <c r="I193" s="1" t="str">
        <f t="shared" si="1"/>
        <v>x</v>
      </c>
      <c r="J193" s="5"/>
      <c r="K193" s="1" t="str">
        <f t="shared" si="2"/>
        <v>8</v>
      </c>
      <c r="L193" s="5"/>
      <c r="M193" s="2" t="str">
        <f t="shared" si="3"/>
        <v>1403</v>
      </c>
      <c r="N193" s="5"/>
      <c r="O193" s="2">
        <v>3.0</v>
      </c>
      <c r="P193" s="5"/>
      <c r="Q193" s="5"/>
      <c r="R193" s="6" t="s">
        <v>729</v>
      </c>
      <c r="S193" s="5"/>
      <c r="T193" s="1" t="str">
        <f>IFERROR(__xludf.DUMMYFUNCTION("INDEX(SPLIT(A193, ""/""), 2)"),"انجمن‌های علمی و نشریات وابسته به دانشکده‌ها")</f>
        <v>انجمن‌های علمی و نشریات وابسته به دانشکده‌ها</v>
      </c>
      <c r="U193" s="1" t="str">
        <f>IFERROR(__xludf.DUMMYFUNCTION("INDEX(SPLIT(A193, ""/""), 3)"),"دانشکده مهندسی مواد و متالورژی")</f>
        <v>دانشکده مهندسی مواد و متالورژی</v>
      </c>
      <c r="V193" s="1" t="str">
        <f>IFERROR(__xludf.DUMMYFUNCTION("INDEX(SPLIT(A193, ""/""), 4)"),"بلور")</f>
        <v>بلور</v>
      </c>
    </row>
    <row r="194">
      <c r="A194" s="1" t="s">
        <v>730</v>
      </c>
      <c r="B194" s="1" t="s">
        <v>731</v>
      </c>
      <c r="C194" s="1" t="s">
        <v>21</v>
      </c>
      <c r="D194" s="4" t="s">
        <v>732</v>
      </c>
      <c r="E194" s="1" t="s">
        <v>733</v>
      </c>
      <c r="F194" s="1" t="s">
        <v>734</v>
      </c>
      <c r="G194" s="1" t="s">
        <v>735</v>
      </c>
      <c r="H194" s="1" t="s">
        <v>48</v>
      </c>
      <c r="I194" s="1" t="str">
        <f t="shared" si="1"/>
        <v>x</v>
      </c>
      <c r="J194" s="5"/>
      <c r="K194" s="1" t="str">
        <f t="shared" si="2"/>
        <v>12</v>
      </c>
      <c r="L194" s="5"/>
      <c r="M194" s="2" t="str">
        <f t="shared" si="3"/>
        <v>1399</v>
      </c>
      <c r="N194" s="5"/>
      <c r="O194" s="2">
        <v>1.0</v>
      </c>
      <c r="P194" s="5"/>
      <c r="Q194" s="5"/>
      <c r="R194" s="6" t="s">
        <v>49</v>
      </c>
      <c r="S194" s="5"/>
      <c r="T194" s="1" t="str">
        <f>IFERROR(__xludf.DUMMYFUNCTION("INDEX(SPLIT(A194, ""/""), 2)"),"انجمن‌های علمی و نشریات وابسته به دانشکده‌ها")</f>
        <v>انجمن‌های علمی و نشریات وابسته به دانشکده‌ها</v>
      </c>
      <c r="U194" s="1" t="str">
        <f>IFERROR(__xludf.DUMMYFUNCTION("INDEX(SPLIT(A194, ""/""), 3)"),"دانشکده مهندسی مواد و متالورژی")</f>
        <v>دانشکده مهندسی مواد و متالورژی</v>
      </c>
      <c r="V194" s="1" t="str">
        <f>IFERROR(__xludf.DUMMYFUNCTION("INDEX(SPLIT(A194, ""/""), 4)"),"پراش")</f>
        <v>پراش</v>
      </c>
    </row>
    <row r="195">
      <c r="A195" s="1" t="s">
        <v>730</v>
      </c>
      <c r="B195" s="1" t="s">
        <v>736</v>
      </c>
      <c r="C195" s="1" t="s">
        <v>21</v>
      </c>
      <c r="D195" s="4" t="s">
        <v>737</v>
      </c>
      <c r="E195" s="1" t="s">
        <v>733</v>
      </c>
      <c r="F195" s="1" t="s">
        <v>734</v>
      </c>
      <c r="G195" s="1" t="s">
        <v>735</v>
      </c>
      <c r="H195" s="1" t="s">
        <v>60</v>
      </c>
      <c r="I195" s="1" t="str">
        <f t="shared" si="1"/>
        <v>x</v>
      </c>
      <c r="J195" s="5"/>
      <c r="K195" s="1" t="str">
        <f t="shared" si="2"/>
        <v>2</v>
      </c>
      <c r="L195" s="5"/>
      <c r="M195" s="2" t="str">
        <f t="shared" si="3"/>
        <v>1400</v>
      </c>
      <c r="N195" s="5"/>
      <c r="O195" s="2">
        <v>2.0</v>
      </c>
      <c r="P195" s="5"/>
      <c r="Q195" s="5"/>
      <c r="R195" s="6" t="s">
        <v>61</v>
      </c>
      <c r="S195" s="5"/>
      <c r="T195" s="1" t="str">
        <f>IFERROR(__xludf.DUMMYFUNCTION("INDEX(SPLIT(A195, ""/""), 2)"),"انجمن‌های علمی و نشریات وابسته به دانشکده‌ها")</f>
        <v>انجمن‌های علمی و نشریات وابسته به دانشکده‌ها</v>
      </c>
      <c r="U195" s="1" t="str">
        <f>IFERROR(__xludf.DUMMYFUNCTION("INDEX(SPLIT(A195, ""/""), 3)"),"دانشکده مهندسی مواد و متالورژی")</f>
        <v>دانشکده مهندسی مواد و متالورژی</v>
      </c>
      <c r="V195" s="1" t="str">
        <f>IFERROR(__xludf.DUMMYFUNCTION("INDEX(SPLIT(A195, ""/""), 4)"),"پراش")</f>
        <v>پراش</v>
      </c>
    </row>
    <row r="196">
      <c r="A196" s="1" t="s">
        <v>730</v>
      </c>
      <c r="B196" s="1" t="s">
        <v>738</v>
      </c>
      <c r="C196" s="1" t="s">
        <v>21</v>
      </c>
      <c r="D196" s="4" t="s">
        <v>739</v>
      </c>
      <c r="E196" s="1" t="s">
        <v>733</v>
      </c>
      <c r="F196" s="1" t="s">
        <v>734</v>
      </c>
      <c r="G196" s="1" t="s">
        <v>735</v>
      </c>
      <c r="H196" s="1" t="s">
        <v>408</v>
      </c>
      <c r="I196" s="1" t="str">
        <f t="shared" si="1"/>
        <v>x</v>
      </c>
      <c r="J196" s="5"/>
      <c r="K196" s="1" t="str">
        <f t="shared" si="2"/>
        <v>7</v>
      </c>
      <c r="L196" s="5"/>
      <c r="M196" s="2" t="str">
        <f t="shared" si="3"/>
        <v>1400</v>
      </c>
      <c r="N196" s="5"/>
      <c r="O196" s="2">
        <v>3.0</v>
      </c>
      <c r="P196" s="5"/>
      <c r="Q196" s="5"/>
      <c r="R196" s="6" t="s">
        <v>409</v>
      </c>
      <c r="S196" s="5"/>
      <c r="T196" s="1" t="str">
        <f>IFERROR(__xludf.DUMMYFUNCTION("INDEX(SPLIT(A196, ""/""), 2)"),"انجمن‌های علمی و نشریات وابسته به دانشکده‌ها")</f>
        <v>انجمن‌های علمی و نشریات وابسته به دانشکده‌ها</v>
      </c>
      <c r="U196" s="1" t="str">
        <f>IFERROR(__xludf.DUMMYFUNCTION("INDEX(SPLIT(A196, ""/""), 3)"),"دانشکده مهندسی مواد و متالورژی")</f>
        <v>دانشکده مهندسی مواد و متالورژی</v>
      </c>
      <c r="V196" s="1" t="str">
        <f>IFERROR(__xludf.DUMMYFUNCTION("INDEX(SPLIT(A196, ""/""), 4)"),"پراش")</f>
        <v>پراش</v>
      </c>
    </row>
    <row r="197">
      <c r="A197" s="1" t="s">
        <v>730</v>
      </c>
      <c r="B197" s="1" t="s">
        <v>740</v>
      </c>
      <c r="C197" s="1" t="s">
        <v>21</v>
      </c>
      <c r="D197" s="4" t="s">
        <v>741</v>
      </c>
      <c r="E197" s="1" t="s">
        <v>733</v>
      </c>
      <c r="F197" s="1" t="s">
        <v>734</v>
      </c>
      <c r="G197" s="1" t="s">
        <v>735</v>
      </c>
      <c r="H197" s="1" t="s">
        <v>742</v>
      </c>
      <c r="I197" s="1" t="str">
        <f t="shared" si="1"/>
        <v>x</v>
      </c>
      <c r="J197" s="5"/>
      <c r="K197" s="1" t="str">
        <f t="shared" si="2"/>
        <v>x</v>
      </c>
      <c r="L197" s="5"/>
      <c r="M197" s="2" t="str">
        <f t="shared" si="3"/>
        <v>1400</v>
      </c>
      <c r="N197" s="5"/>
      <c r="O197" s="2" t="s">
        <v>743</v>
      </c>
      <c r="P197" s="5"/>
      <c r="Q197" s="5"/>
      <c r="R197" s="8" t="s">
        <v>744</v>
      </c>
      <c r="S197" s="5"/>
      <c r="T197" s="1" t="str">
        <f>IFERROR(__xludf.DUMMYFUNCTION("INDEX(SPLIT(A197, ""/""), 2)"),"انجمن‌های علمی و نشریات وابسته به دانشکده‌ها")</f>
        <v>انجمن‌های علمی و نشریات وابسته به دانشکده‌ها</v>
      </c>
      <c r="U197" s="1" t="str">
        <f>IFERROR(__xludf.DUMMYFUNCTION("INDEX(SPLIT(A197, ""/""), 3)"),"دانشکده مهندسی مواد و متالورژی")</f>
        <v>دانشکده مهندسی مواد و متالورژی</v>
      </c>
      <c r="V197" s="1" t="str">
        <f>IFERROR(__xludf.DUMMYFUNCTION("INDEX(SPLIT(A197, ""/""), 4)"),"پراش")</f>
        <v>پراش</v>
      </c>
    </row>
    <row r="198">
      <c r="A198" s="1" t="s">
        <v>730</v>
      </c>
      <c r="B198" s="1" t="s">
        <v>745</v>
      </c>
      <c r="C198" s="1" t="s">
        <v>21</v>
      </c>
      <c r="D198" s="4" t="s">
        <v>746</v>
      </c>
      <c r="E198" s="1" t="s">
        <v>733</v>
      </c>
      <c r="F198" s="1" t="s">
        <v>734</v>
      </c>
      <c r="G198" s="1" t="s">
        <v>735</v>
      </c>
      <c r="H198" s="1" t="s">
        <v>142</v>
      </c>
      <c r="I198" s="1" t="str">
        <f t="shared" si="1"/>
        <v>x</v>
      </c>
      <c r="J198" s="5"/>
      <c r="K198" s="1" t="str">
        <f t="shared" si="2"/>
        <v>12</v>
      </c>
      <c r="L198" s="5"/>
      <c r="M198" s="2" t="str">
        <f t="shared" si="3"/>
        <v>1400</v>
      </c>
      <c r="N198" s="5"/>
      <c r="O198" s="2">
        <v>4.0</v>
      </c>
      <c r="P198" s="5"/>
      <c r="Q198" s="5"/>
      <c r="R198" s="6" t="s">
        <v>143</v>
      </c>
      <c r="S198" s="5"/>
      <c r="T198" s="1" t="str">
        <f>IFERROR(__xludf.DUMMYFUNCTION("INDEX(SPLIT(A198, ""/""), 2)"),"انجمن‌های علمی و نشریات وابسته به دانشکده‌ها")</f>
        <v>انجمن‌های علمی و نشریات وابسته به دانشکده‌ها</v>
      </c>
      <c r="U198" s="1" t="str">
        <f>IFERROR(__xludf.DUMMYFUNCTION("INDEX(SPLIT(A198, ""/""), 3)"),"دانشکده مهندسی مواد و متالورژی")</f>
        <v>دانشکده مهندسی مواد و متالورژی</v>
      </c>
      <c r="V198" s="1" t="str">
        <f>IFERROR(__xludf.DUMMYFUNCTION("INDEX(SPLIT(A198, ""/""), 4)"),"پراش")</f>
        <v>پراش</v>
      </c>
    </row>
    <row r="199">
      <c r="A199" s="1" t="s">
        <v>747</v>
      </c>
      <c r="B199" s="1" t="s">
        <v>748</v>
      </c>
      <c r="C199" s="1" t="s">
        <v>21</v>
      </c>
      <c r="D199" s="4" t="s">
        <v>749</v>
      </c>
      <c r="E199" s="1" t="s">
        <v>750</v>
      </c>
      <c r="F199" s="1" t="s">
        <v>751</v>
      </c>
      <c r="G199" s="1" t="s">
        <v>752</v>
      </c>
      <c r="H199" s="1" t="s">
        <v>753</v>
      </c>
      <c r="I199" s="1" t="str">
        <f t="shared" si="1"/>
        <v>x</v>
      </c>
      <c r="J199" s="5"/>
      <c r="K199" s="1" t="str">
        <f t="shared" si="2"/>
        <v>12</v>
      </c>
      <c r="L199" s="5"/>
      <c r="M199" s="2" t="str">
        <f t="shared" si="3"/>
        <v>1395</v>
      </c>
      <c r="N199" s="5"/>
      <c r="O199" s="2">
        <v>1.0</v>
      </c>
      <c r="P199" s="5"/>
      <c r="Q199" s="5"/>
      <c r="R199" s="6" t="s">
        <v>754</v>
      </c>
      <c r="S199" s="5"/>
      <c r="T199" s="1" t="str">
        <f>IFERROR(__xludf.DUMMYFUNCTION("INDEX(SPLIT(A199, ""/""), 2)"),"تشکل‌های اسلامی و سیاسی")</f>
        <v>تشکل‌های اسلامی و سیاسی</v>
      </c>
      <c r="U199" s="1" t="str">
        <f>IFERROR(__xludf.DUMMYFUNCTION("INDEX(SPLIT(A199, ""/""), 3)"),"انجمن اسلامی دانشجویان")</f>
        <v>انجمن اسلامی دانشجویان</v>
      </c>
      <c r="V199" s="1" t="str">
        <f>IFERROR(__xludf.DUMMYFUNCTION("INDEX(SPLIT(A199, ""/""), 4)"),"ترنج")</f>
        <v>ترنج</v>
      </c>
    </row>
    <row r="200">
      <c r="A200" s="1" t="s">
        <v>747</v>
      </c>
      <c r="B200" s="1" t="s">
        <v>755</v>
      </c>
      <c r="C200" s="1" t="s">
        <v>21</v>
      </c>
      <c r="D200" s="4" t="s">
        <v>756</v>
      </c>
      <c r="E200" s="1" t="s">
        <v>750</v>
      </c>
      <c r="F200" s="1" t="s">
        <v>751</v>
      </c>
      <c r="G200" s="1" t="s">
        <v>752</v>
      </c>
      <c r="H200" s="1" t="s">
        <v>753</v>
      </c>
      <c r="I200" s="1" t="str">
        <f t="shared" si="1"/>
        <v>x</v>
      </c>
      <c r="J200" s="5"/>
      <c r="K200" s="1" t="str">
        <f t="shared" si="2"/>
        <v>12</v>
      </c>
      <c r="L200" s="5"/>
      <c r="M200" s="2" t="str">
        <f t="shared" si="3"/>
        <v>1395</v>
      </c>
      <c r="N200" s="5"/>
      <c r="O200" s="2">
        <v>2.0</v>
      </c>
      <c r="P200" s="5"/>
      <c r="Q200" s="5"/>
      <c r="R200" s="6" t="s">
        <v>754</v>
      </c>
      <c r="S200" s="5"/>
      <c r="T200" s="1" t="str">
        <f>IFERROR(__xludf.DUMMYFUNCTION("INDEX(SPLIT(A200, ""/""), 2)"),"تشکل‌های اسلامی و سیاسی")</f>
        <v>تشکل‌های اسلامی و سیاسی</v>
      </c>
      <c r="U200" s="1" t="str">
        <f>IFERROR(__xludf.DUMMYFUNCTION("INDEX(SPLIT(A200, ""/""), 3)"),"انجمن اسلامی دانشجویان")</f>
        <v>انجمن اسلامی دانشجویان</v>
      </c>
      <c r="V200" s="1" t="str">
        <f>IFERROR(__xludf.DUMMYFUNCTION("INDEX(SPLIT(A200, ""/""), 4)"),"ترنج")</f>
        <v>ترنج</v>
      </c>
    </row>
    <row r="201">
      <c r="A201" s="1" t="s">
        <v>747</v>
      </c>
      <c r="B201" s="1" t="s">
        <v>757</v>
      </c>
      <c r="C201" s="1" t="s">
        <v>21</v>
      </c>
      <c r="D201" s="4" t="s">
        <v>758</v>
      </c>
      <c r="E201" s="1" t="s">
        <v>750</v>
      </c>
      <c r="F201" s="1" t="s">
        <v>751</v>
      </c>
      <c r="G201" s="1" t="s">
        <v>752</v>
      </c>
      <c r="H201" s="1" t="s">
        <v>759</v>
      </c>
      <c r="I201" s="1" t="str">
        <f t="shared" si="1"/>
        <v>x</v>
      </c>
      <c r="J201" s="5"/>
      <c r="K201" s="1" t="str">
        <f t="shared" si="2"/>
        <v>1</v>
      </c>
      <c r="L201" s="5"/>
      <c r="M201" s="2" t="str">
        <f t="shared" si="3"/>
        <v>1396</v>
      </c>
      <c r="N201" s="5"/>
      <c r="O201" s="2">
        <v>3.0</v>
      </c>
      <c r="P201" s="5"/>
      <c r="Q201" s="5"/>
      <c r="R201" s="6" t="s">
        <v>760</v>
      </c>
      <c r="S201" s="5"/>
      <c r="T201" s="1" t="str">
        <f>IFERROR(__xludf.DUMMYFUNCTION("INDEX(SPLIT(A201, ""/""), 2)"),"تشکل‌های اسلامی و سیاسی")</f>
        <v>تشکل‌های اسلامی و سیاسی</v>
      </c>
      <c r="U201" s="1" t="str">
        <f>IFERROR(__xludf.DUMMYFUNCTION("INDEX(SPLIT(A201, ""/""), 3)"),"انجمن اسلامی دانشجویان")</f>
        <v>انجمن اسلامی دانشجویان</v>
      </c>
      <c r="V201" s="1" t="str">
        <f>IFERROR(__xludf.DUMMYFUNCTION("INDEX(SPLIT(A201, ""/""), 4)"),"ترنج")</f>
        <v>ترنج</v>
      </c>
    </row>
    <row r="202">
      <c r="A202" s="1" t="s">
        <v>747</v>
      </c>
      <c r="B202" s="1" t="s">
        <v>761</v>
      </c>
      <c r="C202" s="1" t="s">
        <v>21</v>
      </c>
      <c r="D202" s="4" t="s">
        <v>762</v>
      </c>
      <c r="E202" s="1" t="s">
        <v>750</v>
      </c>
      <c r="F202" s="1" t="s">
        <v>751</v>
      </c>
      <c r="G202" s="1" t="s">
        <v>752</v>
      </c>
      <c r="H202" s="1" t="s">
        <v>256</v>
      </c>
      <c r="I202" s="1" t="str">
        <f t="shared" si="1"/>
        <v>x</v>
      </c>
      <c r="J202" s="5"/>
      <c r="K202" s="1" t="str">
        <f t="shared" si="2"/>
        <v>2</v>
      </c>
      <c r="L202" s="5"/>
      <c r="M202" s="2" t="str">
        <f t="shared" si="3"/>
        <v>1396</v>
      </c>
      <c r="N202" s="5"/>
      <c r="O202" s="2">
        <v>4.0</v>
      </c>
      <c r="P202" s="5"/>
      <c r="Q202" s="5"/>
      <c r="R202" s="6" t="s">
        <v>257</v>
      </c>
      <c r="S202" s="5"/>
      <c r="T202" s="1" t="str">
        <f>IFERROR(__xludf.DUMMYFUNCTION("INDEX(SPLIT(A202, ""/""), 2)"),"تشکل‌های اسلامی و سیاسی")</f>
        <v>تشکل‌های اسلامی و سیاسی</v>
      </c>
      <c r="U202" s="1" t="str">
        <f>IFERROR(__xludf.DUMMYFUNCTION("INDEX(SPLIT(A202, ""/""), 3)"),"انجمن اسلامی دانشجویان")</f>
        <v>انجمن اسلامی دانشجویان</v>
      </c>
      <c r="V202" s="1" t="str">
        <f>IFERROR(__xludf.DUMMYFUNCTION("INDEX(SPLIT(A202, ""/""), 4)"),"ترنج")</f>
        <v>ترنج</v>
      </c>
    </row>
    <row r="203">
      <c r="A203" s="1" t="s">
        <v>747</v>
      </c>
      <c r="B203" s="1" t="s">
        <v>763</v>
      </c>
      <c r="C203" s="1" t="s">
        <v>21</v>
      </c>
      <c r="D203" s="4" t="s">
        <v>764</v>
      </c>
      <c r="E203" s="1" t="s">
        <v>750</v>
      </c>
      <c r="F203" s="1" t="s">
        <v>751</v>
      </c>
      <c r="G203" s="1" t="s">
        <v>752</v>
      </c>
      <c r="H203" s="1" t="s">
        <v>270</v>
      </c>
      <c r="I203" s="1" t="str">
        <f t="shared" si="1"/>
        <v>x</v>
      </c>
      <c r="J203" s="5"/>
      <c r="K203" s="1" t="str">
        <f t="shared" si="2"/>
        <v>7</v>
      </c>
      <c r="L203" s="5"/>
      <c r="M203" s="2" t="str">
        <f t="shared" si="3"/>
        <v>1396</v>
      </c>
      <c r="N203" s="5"/>
      <c r="O203" s="2">
        <v>5.0</v>
      </c>
      <c r="P203" s="5"/>
      <c r="Q203" s="5"/>
      <c r="R203" s="6" t="s">
        <v>271</v>
      </c>
      <c r="S203" s="5"/>
      <c r="T203" s="1" t="str">
        <f>IFERROR(__xludf.DUMMYFUNCTION("INDEX(SPLIT(A203, ""/""), 2)"),"تشکل‌های اسلامی و سیاسی")</f>
        <v>تشکل‌های اسلامی و سیاسی</v>
      </c>
      <c r="U203" s="1" t="str">
        <f>IFERROR(__xludf.DUMMYFUNCTION("INDEX(SPLIT(A203, ""/""), 3)"),"انجمن اسلامی دانشجویان")</f>
        <v>انجمن اسلامی دانشجویان</v>
      </c>
      <c r="V203" s="1" t="str">
        <f>IFERROR(__xludf.DUMMYFUNCTION("INDEX(SPLIT(A203, ""/""), 4)"),"ترنج")</f>
        <v>ترنج</v>
      </c>
    </row>
    <row r="204">
      <c r="A204" s="1" t="s">
        <v>747</v>
      </c>
      <c r="B204" s="1" t="s">
        <v>765</v>
      </c>
      <c r="C204" s="1" t="s">
        <v>21</v>
      </c>
      <c r="D204" s="4" t="s">
        <v>766</v>
      </c>
      <c r="E204" s="1" t="s">
        <v>750</v>
      </c>
      <c r="F204" s="1" t="s">
        <v>751</v>
      </c>
      <c r="G204" s="1" t="s">
        <v>752</v>
      </c>
      <c r="H204" s="1" t="s">
        <v>274</v>
      </c>
      <c r="I204" s="1" t="str">
        <f t="shared" si="1"/>
        <v>x</v>
      </c>
      <c r="J204" s="5"/>
      <c r="K204" s="1" t="str">
        <f t="shared" si="2"/>
        <v>8</v>
      </c>
      <c r="L204" s="5"/>
      <c r="M204" s="2" t="str">
        <f t="shared" si="3"/>
        <v>1396</v>
      </c>
      <c r="N204" s="5"/>
      <c r="O204" s="2">
        <v>6.0</v>
      </c>
      <c r="P204" s="5"/>
      <c r="Q204" s="5"/>
      <c r="R204" s="6" t="s">
        <v>275</v>
      </c>
      <c r="S204" s="5"/>
      <c r="T204" s="1" t="str">
        <f>IFERROR(__xludf.DUMMYFUNCTION("INDEX(SPLIT(A204, ""/""), 2)"),"تشکل‌های اسلامی و سیاسی")</f>
        <v>تشکل‌های اسلامی و سیاسی</v>
      </c>
      <c r="U204" s="1" t="str">
        <f>IFERROR(__xludf.DUMMYFUNCTION("INDEX(SPLIT(A204, ""/""), 3)"),"انجمن اسلامی دانشجویان")</f>
        <v>انجمن اسلامی دانشجویان</v>
      </c>
      <c r="V204" s="1" t="str">
        <f>IFERROR(__xludf.DUMMYFUNCTION("INDEX(SPLIT(A204, ""/""), 4)"),"ترنج")</f>
        <v>ترنج</v>
      </c>
    </row>
    <row r="205">
      <c r="A205" s="1" t="s">
        <v>747</v>
      </c>
      <c r="B205" s="1" t="s">
        <v>767</v>
      </c>
      <c r="C205" s="1" t="s">
        <v>21</v>
      </c>
      <c r="D205" s="4" t="s">
        <v>768</v>
      </c>
      <c r="E205" s="1" t="s">
        <v>750</v>
      </c>
      <c r="F205" s="1" t="s">
        <v>751</v>
      </c>
      <c r="G205" s="1" t="s">
        <v>752</v>
      </c>
      <c r="H205" s="1" t="s">
        <v>608</v>
      </c>
      <c r="I205" s="1" t="str">
        <f t="shared" si="1"/>
        <v>x</v>
      </c>
      <c r="J205" s="5"/>
      <c r="K205" s="1" t="str">
        <f t="shared" si="2"/>
        <v>11</v>
      </c>
      <c r="L205" s="5"/>
      <c r="M205" s="2" t="str">
        <f t="shared" si="3"/>
        <v>1396</v>
      </c>
      <c r="N205" s="5"/>
      <c r="O205" s="2">
        <v>7.0</v>
      </c>
      <c r="P205" s="5"/>
      <c r="Q205" s="5"/>
      <c r="R205" s="6" t="s">
        <v>609</v>
      </c>
      <c r="S205" s="5"/>
      <c r="T205" s="1" t="str">
        <f>IFERROR(__xludf.DUMMYFUNCTION("INDEX(SPLIT(A205, ""/""), 2)"),"تشکل‌های اسلامی و سیاسی")</f>
        <v>تشکل‌های اسلامی و سیاسی</v>
      </c>
      <c r="U205" s="1" t="str">
        <f>IFERROR(__xludf.DUMMYFUNCTION("INDEX(SPLIT(A205, ""/""), 3)"),"انجمن اسلامی دانشجویان")</f>
        <v>انجمن اسلامی دانشجویان</v>
      </c>
      <c r="V205" s="1" t="str">
        <f>IFERROR(__xludf.DUMMYFUNCTION("INDEX(SPLIT(A205, ""/""), 4)"),"ترنج")</f>
        <v>ترنج</v>
      </c>
    </row>
    <row r="206">
      <c r="A206" s="1" t="s">
        <v>747</v>
      </c>
      <c r="B206" s="1" t="s">
        <v>769</v>
      </c>
      <c r="C206" s="1" t="s">
        <v>21</v>
      </c>
      <c r="D206" s="4" t="s">
        <v>770</v>
      </c>
      <c r="E206" s="1" t="s">
        <v>750</v>
      </c>
      <c r="F206" s="1" t="s">
        <v>771</v>
      </c>
      <c r="G206" s="1" t="s">
        <v>772</v>
      </c>
      <c r="H206" s="7" t="s">
        <v>773</v>
      </c>
      <c r="I206" s="1" t="str">
        <f t="shared" si="1"/>
        <v>6</v>
      </c>
      <c r="J206" s="5"/>
      <c r="K206" s="1" t="str">
        <f t="shared" si="2"/>
        <v>12</v>
      </c>
      <c r="L206" s="5"/>
      <c r="M206" s="2" t="str">
        <f t="shared" si="3"/>
        <v>1396</v>
      </c>
      <c r="N206" s="5"/>
      <c r="O206" s="2">
        <v>8.0</v>
      </c>
      <c r="P206" s="5"/>
      <c r="Q206" s="5"/>
      <c r="R206" s="8" t="s">
        <v>773</v>
      </c>
      <c r="S206" s="5"/>
      <c r="T206" s="1" t="str">
        <f>IFERROR(__xludf.DUMMYFUNCTION("INDEX(SPLIT(A206, ""/""), 2)"),"تشکل‌های اسلامی و سیاسی")</f>
        <v>تشکل‌های اسلامی و سیاسی</v>
      </c>
      <c r="U206" s="1" t="str">
        <f>IFERROR(__xludf.DUMMYFUNCTION("INDEX(SPLIT(A206, ""/""), 3)"),"انجمن اسلامی دانشجویان")</f>
        <v>انجمن اسلامی دانشجویان</v>
      </c>
      <c r="V206" s="1" t="str">
        <f>IFERROR(__xludf.DUMMYFUNCTION("INDEX(SPLIT(A206, ""/""), 4)"),"ترنج")</f>
        <v>ترنج</v>
      </c>
    </row>
    <row r="207">
      <c r="A207" s="1" t="s">
        <v>747</v>
      </c>
      <c r="B207" s="1" t="s">
        <v>774</v>
      </c>
      <c r="C207" s="1" t="s">
        <v>21</v>
      </c>
      <c r="D207" s="4" t="s">
        <v>775</v>
      </c>
      <c r="E207" s="1" t="s">
        <v>750</v>
      </c>
      <c r="F207" s="1" t="s">
        <v>771</v>
      </c>
      <c r="G207" s="1" t="s">
        <v>772</v>
      </c>
      <c r="H207" s="1" t="s">
        <v>776</v>
      </c>
      <c r="I207" s="1" t="str">
        <f t="shared" si="1"/>
        <v>19</v>
      </c>
      <c r="J207" s="5"/>
      <c r="K207" s="1" t="str">
        <f t="shared" si="2"/>
        <v>1</v>
      </c>
      <c r="L207" s="5"/>
      <c r="M207" s="2" t="str">
        <f t="shared" si="3"/>
        <v>1398</v>
      </c>
      <c r="N207" s="5"/>
      <c r="O207" s="2">
        <v>9.0</v>
      </c>
      <c r="P207" s="5"/>
      <c r="Q207" s="5"/>
      <c r="R207" s="6" t="s">
        <v>776</v>
      </c>
      <c r="S207" s="5"/>
      <c r="T207" s="1" t="str">
        <f>IFERROR(__xludf.DUMMYFUNCTION("INDEX(SPLIT(A207, ""/""), 2)"),"تشکل‌های اسلامی و سیاسی")</f>
        <v>تشکل‌های اسلامی و سیاسی</v>
      </c>
      <c r="U207" s="1" t="str">
        <f>IFERROR(__xludf.DUMMYFUNCTION("INDEX(SPLIT(A207, ""/""), 3)"),"انجمن اسلامی دانشجویان")</f>
        <v>انجمن اسلامی دانشجویان</v>
      </c>
      <c r="V207" s="1" t="str">
        <f>IFERROR(__xludf.DUMMYFUNCTION("INDEX(SPLIT(A207, ""/""), 4)"),"ترنج")</f>
        <v>ترنج</v>
      </c>
    </row>
    <row r="208">
      <c r="A208" s="1" t="s">
        <v>747</v>
      </c>
      <c r="B208" s="1" t="s">
        <v>777</v>
      </c>
      <c r="C208" s="1" t="s">
        <v>21</v>
      </c>
      <c r="D208" s="4" t="s">
        <v>778</v>
      </c>
      <c r="E208" s="1" t="s">
        <v>750</v>
      </c>
      <c r="F208" s="1" t="s">
        <v>771</v>
      </c>
      <c r="G208" s="1" t="s">
        <v>772</v>
      </c>
      <c r="H208" s="7" t="s">
        <v>779</v>
      </c>
      <c r="I208" s="1" t="str">
        <f t="shared" si="1"/>
        <v>9</v>
      </c>
      <c r="J208" s="5"/>
      <c r="K208" s="1" t="str">
        <f t="shared" si="2"/>
        <v>2</v>
      </c>
      <c r="L208" s="5"/>
      <c r="M208" s="2" t="str">
        <f t="shared" si="3"/>
        <v>1398</v>
      </c>
      <c r="N208" s="5"/>
      <c r="O208" s="2">
        <v>10.0</v>
      </c>
      <c r="P208" s="5"/>
      <c r="Q208" s="5"/>
      <c r="R208" s="8" t="s">
        <v>779</v>
      </c>
      <c r="S208" s="5"/>
      <c r="T208" s="1" t="str">
        <f>IFERROR(__xludf.DUMMYFUNCTION("INDEX(SPLIT(A208, ""/""), 2)"),"تشکل‌های اسلامی و سیاسی")</f>
        <v>تشکل‌های اسلامی و سیاسی</v>
      </c>
      <c r="U208" s="1" t="str">
        <f>IFERROR(__xludf.DUMMYFUNCTION("INDEX(SPLIT(A208, ""/""), 3)"),"انجمن اسلامی دانشجویان")</f>
        <v>انجمن اسلامی دانشجویان</v>
      </c>
      <c r="V208" s="1" t="str">
        <f>IFERROR(__xludf.DUMMYFUNCTION("INDEX(SPLIT(A208, ""/""), 4)"),"ترنج")</f>
        <v>ترنج</v>
      </c>
    </row>
    <row r="209">
      <c r="A209" s="1" t="s">
        <v>747</v>
      </c>
      <c r="B209" s="1" t="s">
        <v>780</v>
      </c>
      <c r="C209" s="1" t="s">
        <v>21</v>
      </c>
      <c r="D209" s="4" t="s">
        <v>781</v>
      </c>
      <c r="E209" s="1" t="s">
        <v>750</v>
      </c>
      <c r="F209" s="1" t="s">
        <v>771</v>
      </c>
      <c r="G209" s="1" t="s">
        <v>772</v>
      </c>
      <c r="H209" s="7" t="s">
        <v>782</v>
      </c>
      <c r="I209" s="1" t="str">
        <f t="shared" si="1"/>
        <v>7</v>
      </c>
      <c r="J209" s="5"/>
      <c r="K209" s="1" t="str">
        <f t="shared" si="2"/>
        <v>3</v>
      </c>
      <c r="L209" s="5"/>
      <c r="M209" s="2" t="str">
        <f t="shared" si="3"/>
        <v>1398</v>
      </c>
      <c r="N209" s="5"/>
      <c r="O209" s="2">
        <v>11.0</v>
      </c>
      <c r="P209" s="5"/>
      <c r="Q209" s="5"/>
      <c r="R209" s="8" t="s">
        <v>782</v>
      </c>
      <c r="S209" s="5"/>
      <c r="T209" s="1" t="str">
        <f>IFERROR(__xludf.DUMMYFUNCTION("INDEX(SPLIT(A209, ""/""), 2)"),"تشکل‌های اسلامی و سیاسی")</f>
        <v>تشکل‌های اسلامی و سیاسی</v>
      </c>
      <c r="U209" s="1" t="str">
        <f>IFERROR(__xludf.DUMMYFUNCTION("INDEX(SPLIT(A209, ""/""), 3)"),"انجمن اسلامی دانشجویان")</f>
        <v>انجمن اسلامی دانشجویان</v>
      </c>
      <c r="V209" s="1" t="str">
        <f>IFERROR(__xludf.DUMMYFUNCTION("INDEX(SPLIT(A209, ""/""), 4)"),"ترنج")</f>
        <v>ترنج</v>
      </c>
    </row>
    <row r="210">
      <c r="A210" s="1" t="s">
        <v>747</v>
      </c>
      <c r="B210" s="1" t="s">
        <v>783</v>
      </c>
      <c r="C210" s="1" t="s">
        <v>21</v>
      </c>
      <c r="D210" s="4" t="s">
        <v>784</v>
      </c>
      <c r="E210" s="1" t="s">
        <v>750</v>
      </c>
      <c r="F210" s="1" t="s">
        <v>771</v>
      </c>
      <c r="G210" s="1" t="s">
        <v>772</v>
      </c>
      <c r="H210" s="1" t="s">
        <v>785</v>
      </c>
      <c r="I210" s="1" t="str">
        <f t="shared" si="1"/>
        <v>13</v>
      </c>
      <c r="J210" s="5"/>
      <c r="K210" s="1" t="str">
        <f t="shared" si="2"/>
        <v>7</v>
      </c>
      <c r="L210" s="5"/>
      <c r="M210" s="2" t="str">
        <f t="shared" si="3"/>
        <v>1398</v>
      </c>
      <c r="N210" s="5"/>
      <c r="O210" s="2">
        <v>12.0</v>
      </c>
      <c r="P210" s="5"/>
      <c r="Q210" s="5"/>
      <c r="R210" s="6" t="s">
        <v>785</v>
      </c>
      <c r="S210" s="5"/>
      <c r="T210" s="1" t="str">
        <f>IFERROR(__xludf.DUMMYFUNCTION("INDEX(SPLIT(A210, ""/""), 2)"),"تشکل‌های اسلامی و سیاسی")</f>
        <v>تشکل‌های اسلامی و سیاسی</v>
      </c>
      <c r="U210" s="1" t="str">
        <f>IFERROR(__xludf.DUMMYFUNCTION("INDEX(SPLIT(A210, ""/""), 3)"),"انجمن اسلامی دانشجویان")</f>
        <v>انجمن اسلامی دانشجویان</v>
      </c>
      <c r="V210" s="1" t="str">
        <f>IFERROR(__xludf.DUMMYFUNCTION("INDEX(SPLIT(A210, ""/""), 4)"),"ترنج")</f>
        <v>ترنج</v>
      </c>
    </row>
    <row r="211">
      <c r="A211" s="1" t="s">
        <v>747</v>
      </c>
      <c r="B211" s="1" t="s">
        <v>786</v>
      </c>
      <c r="C211" s="1" t="s">
        <v>21</v>
      </c>
      <c r="D211" s="4" t="s">
        <v>787</v>
      </c>
      <c r="E211" s="1" t="s">
        <v>750</v>
      </c>
      <c r="F211" s="1" t="s">
        <v>771</v>
      </c>
      <c r="G211" s="1" t="s">
        <v>772</v>
      </c>
      <c r="H211" s="7" t="s">
        <v>788</v>
      </c>
      <c r="I211" s="1" t="str">
        <f t="shared" si="1"/>
        <v>8</v>
      </c>
      <c r="J211" s="5"/>
      <c r="K211" s="1" t="str">
        <f t="shared" si="2"/>
        <v>10</v>
      </c>
      <c r="L211" s="5"/>
      <c r="M211" s="2" t="str">
        <f t="shared" si="3"/>
        <v>1398</v>
      </c>
      <c r="N211" s="5"/>
      <c r="O211" s="2">
        <v>13.0</v>
      </c>
      <c r="P211" s="5"/>
      <c r="Q211" s="5"/>
      <c r="R211" s="8" t="s">
        <v>788</v>
      </c>
      <c r="S211" s="5"/>
      <c r="T211" s="1" t="str">
        <f>IFERROR(__xludf.DUMMYFUNCTION("INDEX(SPLIT(A211, ""/""), 2)"),"تشکل‌های اسلامی و سیاسی")</f>
        <v>تشکل‌های اسلامی و سیاسی</v>
      </c>
      <c r="U211" s="1" t="str">
        <f>IFERROR(__xludf.DUMMYFUNCTION("INDEX(SPLIT(A211, ""/""), 3)"),"انجمن اسلامی دانشجویان")</f>
        <v>انجمن اسلامی دانشجویان</v>
      </c>
      <c r="V211" s="1" t="str">
        <f>IFERROR(__xludf.DUMMYFUNCTION("INDEX(SPLIT(A211, ""/""), 4)"),"ترنج")</f>
        <v>ترنج</v>
      </c>
    </row>
    <row r="212">
      <c r="A212" s="1" t="s">
        <v>747</v>
      </c>
      <c r="B212" s="1" t="s">
        <v>789</v>
      </c>
      <c r="C212" s="1" t="s">
        <v>21</v>
      </c>
      <c r="D212" s="4" t="s">
        <v>790</v>
      </c>
      <c r="E212" s="1" t="s">
        <v>750</v>
      </c>
      <c r="F212" s="1" t="s">
        <v>791</v>
      </c>
      <c r="G212" s="1" t="s">
        <v>792</v>
      </c>
      <c r="H212" s="1" t="s">
        <v>793</v>
      </c>
      <c r="I212" s="1" t="str">
        <f t="shared" si="1"/>
        <v>28</v>
      </c>
      <c r="J212" s="5"/>
      <c r="K212" s="1" t="str">
        <f t="shared" si="2"/>
        <v>11</v>
      </c>
      <c r="L212" s="5"/>
      <c r="M212" s="2" t="str">
        <f t="shared" si="3"/>
        <v>1398</v>
      </c>
      <c r="N212" s="5"/>
      <c r="O212" s="2">
        <v>14.0</v>
      </c>
      <c r="P212" s="5"/>
      <c r="Q212" s="5"/>
      <c r="R212" s="6" t="s">
        <v>793</v>
      </c>
      <c r="S212" s="5"/>
      <c r="T212" s="1" t="str">
        <f>IFERROR(__xludf.DUMMYFUNCTION("INDEX(SPLIT(A212, ""/""), 2)"),"تشکل‌های اسلامی و سیاسی")</f>
        <v>تشکل‌های اسلامی و سیاسی</v>
      </c>
      <c r="U212" s="1" t="str">
        <f>IFERROR(__xludf.DUMMYFUNCTION("INDEX(SPLIT(A212, ""/""), 3)"),"انجمن اسلامی دانشجویان")</f>
        <v>انجمن اسلامی دانشجویان</v>
      </c>
      <c r="V212" s="1" t="str">
        <f>IFERROR(__xludf.DUMMYFUNCTION("INDEX(SPLIT(A212, ""/""), 4)"),"ترنج")</f>
        <v>ترنج</v>
      </c>
    </row>
    <row r="213">
      <c r="A213" s="1" t="s">
        <v>747</v>
      </c>
      <c r="B213" s="1" t="s">
        <v>794</v>
      </c>
      <c r="C213" s="1" t="s">
        <v>21</v>
      </c>
      <c r="D213" s="4" t="s">
        <v>795</v>
      </c>
      <c r="E213" s="1" t="s">
        <v>750</v>
      </c>
      <c r="F213" s="1" t="s">
        <v>791</v>
      </c>
      <c r="G213" s="1" t="s">
        <v>792</v>
      </c>
      <c r="H213" s="1" t="s">
        <v>796</v>
      </c>
      <c r="I213" s="1" t="str">
        <f t="shared" si="1"/>
        <v>28</v>
      </c>
      <c r="J213" s="5"/>
      <c r="K213" s="1" t="str">
        <f t="shared" si="2"/>
        <v>12</v>
      </c>
      <c r="L213" s="5"/>
      <c r="M213" s="2" t="str">
        <f t="shared" si="3"/>
        <v>1398</v>
      </c>
      <c r="N213" s="5"/>
      <c r="O213" s="2">
        <v>15.0</v>
      </c>
      <c r="P213" s="5"/>
      <c r="Q213" s="5"/>
      <c r="R213" s="6" t="s">
        <v>796</v>
      </c>
      <c r="S213" s="5"/>
      <c r="T213" s="1" t="str">
        <f>IFERROR(__xludf.DUMMYFUNCTION("INDEX(SPLIT(A213, ""/""), 2)"),"تشکل‌های اسلامی و سیاسی")</f>
        <v>تشکل‌های اسلامی و سیاسی</v>
      </c>
      <c r="U213" s="1" t="str">
        <f>IFERROR(__xludf.DUMMYFUNCTION("INDEX(SPLIT(A213, ""/""), 3)"),"انجمن اسلامی دانشجویان")</f>
        <v>انجمن اسلامی دانشجویان</v>
      </c>
      <c r="V213" s="1" t="str">
        <f>IFERROR(__xludf.DUMMYFUNCTION("INDEX(SPLIT(A213, ""/""), 4)"),"ترنج")</f>
        <v>ترنج</v>
      </c>
    </row>
    <row r="214">
      <c r="A214" s="1" t="s">
        <v>747</v>
      </c>
      <c r="B214" s="1" t="s">
        <v>797</v>
      </c>
      <c r="C214" s="1" t="s">
        <v>21</v>
      </c>
      <c r="D214" s="4" t="s">
        <v>798</v>
      </c>
      <c r="E214" s="1" t="s">
        <v>750</v>
      </c>
      <c r="F214" s="1" t="s">
        <v>791</v>
      </c>
      <c r="G214" s="1" t="s">
        <v>792</v>
      </c>
      <c r="H214" s="1" t="s">
        <v>799</v>
      </c>
      <c r="I214" s="1" t="str">
        <f t="shared" si="1"/>
        <v>17</v>
      </c>
      <c r="J214" s="5"/>
      <c r="K214" s="1" t="str">
        <f t="shared" si="2"/>
        <v>1</v>
      </c>
      <c r="L214" s="5"/>
      <c r="M214" s="2" t="str">
        <f t="shared" si="3"/>
        <v>1399</v>
      </c>
      <c r="N214" s="5"/>
      <c r="O214" s="2" t="s">
        <v>800</v>
      </c>
      <c r="P214" s="5"/>
      <c r="Q214" s="5"/>
      <c r="R214" s="6" t="s">
        <v>799</v>
      </c>
      <c r="S214" s="5"/>
      <c r="T214" s="1" t="str">
        <f>IFERROR(__xludf.DUMMYFUNCTION("INDEX(SPLIT(A214, ""/""), 2)"),"تشکل‌های اسلامی و سیاسی")</f>
        <v>تشکل‌های اسلامی و سیاسی</v>
      </c>
      <c r="U214" s="1" t="str">
        <f>IFERROR(__xludf.DUMMYFUNCTION("INDEX(SPLIT(A214, ""/""), 3)"),"انجمن اسلامی دانشجویان")</f>
        <v>انجمن اسلامی دانشجویان</v>
      </c>
      <c r="V214" s="1" t="str">
        <f>IFERROR(__xludf.DUMMYFUNCTION("INDEX(SPLIT(A214, ""/""), 4)"),"ترنج")</f>
        <v>ترنج</v>
      </c>
    </row>
    <row r="215">
      <c r="A215" s="1" t="s">
        <v>747</v>
      </c>
      <c r="B215" s="1" t="s">
        <v>801</v>
      </c>
      <c r="C215" s="1" t="s">
        <v>21</v>
      </c>
      <c r="D215" s="4" t="s">
        <v>802</v>
      </c>
      <c r="E215" s="1" t="s">
        <v>750</v>
      </c>
      <c r="F215" s="1" t="s">
        <v>791</v>
      </c>
      <c r="G215" s="1" t="s">
        <v>792</v>
      </c>
      <c r="H215" s="7" t="s">
        <v>803</v>
      </c>
      <c r="I215" s="1" t="str">
        <f t="shared" si="1"/>
        <v>5</v>
      </c>
      <c r="J215" s="5"/>
      <c r="K215" s="1" t="str">
        <f t="shared" si="2"/>
        <v>3</v>
      </c>
      <c r="L215" s="5"/>
      <c r="M215" s="2" t="str">
        <f t="shared" si="3"/>
        <v>1399</v>
      </c>
      <c r="N215" s="5"/>
      <c r="O215" s="2">
        <v>16.0</v>
      </c>
      <c r="P215" s="5"/>
      <c r="Q215" s="5"/>
      <c r="R215" s="8" t="s">
        <v>803</v>
      </c>
      <c r="S215" s="5"/>
      <c r="T215" s="1" t="str">
        <f>IFERROR(__xludf.DUMMYFUNCTION("INDEX(SPLIT(A215, ""/""), 2)"),"تشکل‌های اسلامی و سیاسی")</f>
        <v>تشکل‌های اسلامی و سیاسی</v>
      </c>
      <c r="U215" s="1" t="str">
        <f>IFERROR(__xludf.DUMMYFUNCTION("INDEX(SPLIT(A215, ""/""), 3)"),"انجمن اسلامی دانشجویان")</f>
        <v>انجمن اسلامی دانشجویان</v>
      </c>
      <c r="V215" s="1" t="str">
        <f>IFERROR(__xludf.DUMMYFUNCTION("INDEX(SPLIT(A215, ""/""), 4)"),"ترنج")</f>
        <v>ترنج</v>
      </c>
    </row>
    <row r="216">
      <c r="A216" s="1" t="s">
        <v>747</v>
      </c>
      <c r="B216" s="1" t="s">
        <v>804</v>
      </c>
      <c r="C216" s="1" t="s">
        <v>21</v>
      </c>
      <c r="D216" s="4" t="s">
        <v>805</v>
      </c>
      <c r="E216" s="1" t="s">
        <v>750</v>
      </c>
      <c r="F216" s="1" t="s">
        <v>791</v>
      </c>
      <c r="G216" s="1" t="s">
        <v>792</v>
      </c>
      <c r="H216" s="7" t="s">
        <v>806</v>
      </c>
      <c r="I216" s="1" t="str">
        <f t="shared" si="1"/>
        <v>9</v>
      </c>
      <c r="J216" s="5"/>
      <c r="K216" s="1" t="str">
        <f t="shared" si="2"/>
        <v>4</v>
      </c>
      <c r="L216" s="5"/>
      <c r="M216" s="2" t="str">
        <f t="shared" si="3"/>
        <v>1399</v>
      </c>
      <c r="N216" s="5"/>
      <c r="O216" s="2">
        <v>18.0</v>
      </c>
      <c r="P216" s="5"/>
      <c r="Q216" s="5"/>
      <c r="R216" s="8" t="s">
        <v>806</v>
      </c>
      <c r="S216" s="5"/>
      <c r="T216" s="1" t="str">
        <f>IFERROR(__xludf.DUMMYFUNCTION("INDEX(SPLIT(A216, ""/""), 2)"),"تشکل‌های اسلامی و سیاسی")</f>
        <v>تشکل‌های اسلامی و سیاسی</v>
      </c>
      <c r="U216" s="1" t="str">
        <f>IFERROR(__xludf.DUMMYFUNCTION("INDEX(SPLIT(A216, ""/""), 3)"),"انجمن اسلامی دانشجویان")</f>
        <v>انجمن اسلامی دانشجویان</v>
      </c>
      <c r="V216" s="1" t="str">
        <f>IFERROR(__xludf.DUMMYFUNCTION("INDEX(SPLIT(A216, ""/""), 4)"),"ترنج")</f>
        <v>ترنج</v>
      </c>
    </row>
    <row r="217">
      <c r="A217" s="1" t="s">
        <v>747</v>
      </c>
      <c r="B217" s="1" t="s">
        <v>807</v>
      </c>
      <c r="C217" s="1" t="s">
        <v>21</v>
      </c>
      <c r="D217" s="4" t="s">
        <v>808</v>
      </c>
      <c r="E217" s="1" t="s">
        <v>750</v>
      </c>
      <c r="F217" s="1" t="s">
        <v>791</v>
      </c>
      <c r="G217" s="1" t="s">
        <v>792</v>
      </c>
      <c r="H217" s="1" t="s">
        <v>32</v>
      </c>
      <c r="I217" s="1" t="str">
        <f t="shared" si="1"/>
        <v>x</v>
      </c>
      <c r="J217" s="5"/>
      <c r="K217" s="1" t="str">
        <f t="shared" si="2"/>
        <v>8</v>
      </c>
      <c r="L217" s="5"/>
      <c r="M217" s="2" t="str">
        <f t="shared" si="3"/>
        <v>1399</v>
      </c>
      <c r="N217" s="5"/>
      <c r="O217" s="2">
        <v>18.0</v>
      </c>
      <c r="P217" s="5"/>
      <c r="Q217" s="5"/>
      <c r="R217" s="6" t="s">
        <v>33</v>
      </c>
      <c r="S217" s="5"/>
      <c r="T217" s="1" t="str">
        <f>IFERROR(__xludf.DUMMYFUNCTION("INDEX(SPLIT(A217, ""/""), 2)"),"تشکل‌های اسلامی و سیاسی")</f>
        <v>تشکل‌های اسلامی و سیاسی</v>
      </c>
      <c r="U217" s="1" t="str">
        <f>IFERROR(__xludf.DUMMYFUNCTION("INDEX(SPLIT(A217, ""/""), 3)"),"انجمن اسلامی دانشجویان")</f>
        <v>انجمن اسلامی دانشجویان</v>
      </c>
      <c r="V217" s="1" t="str">
        <f>IFERROR(__xludf.DUMMYFUNCTION("INDEX(SPLIT(A217, ""/""), 4)"),"ترنج")</f>
        <v>ترنج</v>
      </c>
    </row>
    <row r="218">
      <c r="A218" s="1" t="s">
        <v>747</v>
      </c>
      <c r="B218" s="1" t="s">
        <v>809</v>
      </c>
      <c r="C218" s="1" t="s">
        <v>21</v>
      </c>
      <c r="D218" s="4" t="s">
        <v>810</v>
      </c>
      <c r="E218" s="1" t="s">
        <v>750</v>
      </c>
      <c r="F218" s="1" t="s">
        <v>791</v>
      </c>
      <c r="G218" s="1" t="s">
        <v>792</v>
      </c>
      <c r="H218" s="1" t="s">
        <v>291</v>
      </c>
      <c r="I218" s="1" t="str">
        <f t="shared" si="1"/>
        <v>x</v>
      </c>
      <c r="J218" s="5"/>
      <c r="K218" s="1" t="str">
        <f t="shared" si="2"/>
        <v>x</v>
      </c>
      <c r="L218" s="5"/>
      <c r="M218" s="2" t="str">
        <f t="shared" si="3"/>
        <v>x</v>
      </c>
      <c r="N218" s="5"/>
      <c r="O218" s="2">
        <v>19.0</v>
      </c>
      <c r="P218" s="7" t="s">
        <v>811</v>
      </c>
      <c r="Q218" s="1" t="s">
        <v>812</v>
      </c>
      <c r="R218" s="6" t="s">
        <v>813</v>
      </c>
      <c r="S218" s="5"/>
      <c r="T218" s="1" t="str">
        <f>IFERROR(__xludf.DUMMYFUNCTION("INDEX(SPLIT(A218, ""/""), 2)"),"تشکل‌های اسلامی و سیاسی")</f>
        <v>تشکل‌های اسلامی و سیاسی</v>
      </c>
      <c r="U218" s="1" t="str">
        <f>IFERROR(__xludf.DUMMYFUNCTION("INDEX(SPLIT(A218, ""/""), 3)"),"انجمن اسلامی دانشجویان")</f>
        <v>انجمن اسلامی دانشجویان</v>
      </c>
      <c r="V218" s="1" t="str">
        <f>IFERROR(__xludf.DUMMYFUNCTION("INDEX(SPLIT(A218, ""/""), 4)"),"ترنج")</f>
        <v>ترنج</v>
      </c>
    </row>
    <row r="219">
      <c r="A219" s="1" t="s">
        <v>747</v>
      </c>
      <c r="B219" s="1" t="s">
        <v>814</v>
      </c>
      <c r="C219" s="1" t="s">
        <v>21</v>
      </c>
      <c r="D219" s="4" t="s">
        <v>815</v>
      </c>
      <c r="E219" s="1" t="s">
        <v>750</v>
      </c>
      <c r="F219" s="1" t="s">
        <v>816</v>
      </c>
      <c r="G219" s="1" t="s">
        <v>817</v>
      </c>
      <c r="H219" s="1" t="s">
        <v>155</v>
      </c>
      <c r="I219" s="1" t="str">
        <f t="shared" si="1"/>
        <v>x</v>
      </c>
      <c r="J219" s="5"/>
      <c r="K219" s="1" t="str">
        <f t="shared" si="2"/>
        <v>12</v>
      </c>
      <c r="L219" s="5"/>
      <c r="M219" s="2" t="str">
        <f t="shared" si="3"/>
        <v>1401</v>
      </c>
      <c r="N219" s="5"/>
      <c r="O219" s="2">
        <v>20.0</v>
      </c>
      <c r="P219" s="5"/>
      <c r="Q219" s="5"/>
      <c r="R219" s="6" t="s">
        <v>156</v>
      </c>
      <c r="S219" s="5"/>
      <c r="T219" s="1" t="str">
        <f>IFERROR(__xludf.DUMMYFUNCTION("INDEX(SPLIT(A219, ""/""), 2)"),"تشکل‌های اسلامی و سیاسی")</f>
        <v>تشکل‌های اسلامی و سیاسی</v>
      </c>
      <c r="U219" s="1" t="str">
        <f>IFERROR(__xludf.DUMMYFUNCTION("INDEX(SPLIT(A219, ""/""), 3)"),"انجمن اسلامی دانشجویان")</f>
        <v>انجمن اسلامی دانشجویان</v>
      </c>
      <c r="V219" s="1" t="str">
        <f>IFERROR(__xludf.DUMMYFUNCTION("INDEX(SPLIT(A219, ""/""), 4)"),"ترنج")</f>
        <v>ترنج</v>
      </c>
    </row>
    <row r="220">
      <c r="A220" s="1" t="s">
        <v>747</v>
      </c>
      <c r="B220" s="1" t="s">
        <v>818</v>
      </c>
      <c r="C220" s="1" t="s">
        <v>21</v>
      </c>
      <c r="D220" s="4" t="s">
        <v>819</v>
      </c>
      <c r="E220" s="1" t="s">
        <v>750</v>
      </c>
      <c r="F220" s="1" t="s">
        <v>816</v>
      </c>
      <c r="G220" s="1" t="s">
        <v>817</v>
      </c>
      <c r="H220" s="1" t="s">
        <v>155</v>
      </c>
      <c r="I220" s="1" t="str">
        <f t="shared" si="1"/>
        <v>x</v>
      </c>
      <c r="J220" s="5"/>
      <c r="K220" s="1" t="str">
        <f t="shared" si="2"/>
        <v>12</v>
      </c>
      <c r="L220" s="5"/>
      <c r="M220" s="2" t="str">
        <f t="shared" si="3"/>
        <v>1401</v>
      </c>
      <c r="N220" s="5"/>
      <c r="O220" s="2">
        <v>21.0</v>
      </c>
      <c r="P220" s="5"/>
      <c r="Q220" s="5"/>
      <c r="R220" s="6" t="s">
        <v>156</v>
      </c>
      <c r="S220" s="5"/>
      <c r="T220" s="1" t="str">
        <f>IFERROR(__xludf.DUMMYFUNCTION("INDEX(SPLIT(A220, ""/""), 2)"),"تشکل‌های اسلامی و سیاسی")</f>
        <v>تشکل‌های اسلامی و سیاسی</v>
      </c>
      <c r="U220" s="1" t="str">
        <f>IFERROR(__xludf.DUMMYFUNCTION("INDEX(SPLIT(A220, ""/""), 3)"),"انجمن اسلامی دانشجویان")</f>
        <v>انجمن اسلامی دانشجویان</v>
      </c>
      <c r="V220" s="1" t="str">
        <f>IFERROR(__xludf.DUMMYFUNCTION("INDEX(SPLIT(A220, ""/""), 4)"),"ترنج")</f>
        <v>ترنج</v>
      </c>
    </row>
    <row r="221">
      <c r="A221" s="1" t="s">
        <v>747</v>
      </c>
      <c r="B221" s="1" t="s">
        <v>820</v>
      </c>
      <c r="C221" s="1" t="s">
        <v>21</v>
      </c>
      <c r="D221" s="4" t="s">
        <v>821</v>
      </c>
      <c r="E221" s="1" t="s">
        <v>750</v>
      </c>
      <c r="F221" s="1" t="s">
        <v>822</v>
      </c>
      <c r="G221" s="1" t="s">
        <v>823</v>
      </c>
      <c r="H221" s="1" t="s">
        <v>458</v>
      </c>
      <c r="I221" s="1" t="str">
        <f t="shared" si="1"/>
        <v>x</v>
      </c>
      <c r="J221" s="5"/>
      <c r="K221" s="1" t="str">
        <f t="shared" si="2"/>
        <v>7</v>
      </c>
      <c r="L221" s="5"/>
      <c r="M221" s="2" t="str">
        <f t="shared" si="3"/>
        <v>1402</v>
      </c>
      <c r="N221" s="5"/>
      <c r="O221" s="2">
        <v>22.0</v>
      </c>
      <c r="P221" s="5"/>
      <c r="Q221" s="5"/>
      <c r="R221" s="6" t="s">
        <v>459</v>
      </c>
      <c r="S221" s="5"/>
      <c r="T221" s="1" t="str">
        <f>IFERROR(__xludf.DUMMYFUNCTION("INDEX(SPLIT(A221, ""/""), 2)"),"تشکل‌های اسلامی و سیاسی")</f>
        <v>تشکل‌های اسلامی و سیاسی</v>
      </c>
      <c r="U221" s="1" t="str">
        <f>IFERROR(__xludf.DUMMYFUNCTION("INDEX(SPLIT(A221, ""/""), 3)"),"انجمن اسلامی دانشجویان")</f>
        <v>انجمن اسلامی دانشجویان</v>
      </c>
      <c r="V221" s="1" t="str">
        <f>IFERROR(__xludf.DUMMYFUNCTION("INDEX(SPLIT(A221, ""/""), 4)"),"ترنج")</f>
        <v>ترنج</v>
      </c>
    </row>
    <row r="222">
      <c r="A222" s="1" t="s">
        <v>747</v>
      </c>
      <c r="B222" s="1" t="s">
        <v>824</v>
      </c>
      <c r="C222" s="1" t="s">
        <v>21</v>
      </c>
      <c r="D222" s="4" t="s">
        <v>825</v>
      </c>
      <c r="E222" s="1" t="s">
        <v>750</v>
      </c>
      <c r="F222" s="1" t="s">
        <v>822</v>
      </c>
      <c r="G222" s="1" t="s">
        <v>823</v>
      </c>
      <c r="H222" s="1" t="s">
        <v>534</v>
      </c>
      <c r="I222" s="1" t="str">
        <f t="shared" si="1"/>
        <v>x</v>
      </c>
      <c r="J222" s="5"/>
      <c r="K222" s="1" t="str">
        <f t="shared" si="2"/>
        <v>1</v>
      </c>
      <c r="L222" s="5"/>
      <c r="M222" s="2" t="str">
        <f t="shared" si="3"/>
        <v>1403</v>
      </c>
      <c r="N222" s="5"/>
      <c r="O222" s="2">
        <v>23.0</v>
      </c>
      <c r="P222" s="5"/>
      <c r="Q222" s="5"/>
      <c r="R222" s="6" t="s">
        <v>535</v>
      </c>
      <c r="S222" s="5"/>
      <c r="T222" s="1" t="str">
        <f>IFERROR(__xludf.DUMMYFUNCTION("INDEX(SPLIT(A222, ""/""), 2)"),"تشکل‌های اسلامی و سیاسی")</f>
        <v>تشکل‌های اسلامی و سیاسی</v>
      </c>
      <c r="U222" s="1" t="str">
        <f>IFERROR(__xludf.DUMMYFUNCTION("INDEX(SPLIT(A222, ""/""), 3)"),"انجمن اسلامی دانشجویان")</f>
        <v>انجمن اسلامی دانشجویان</v>
      </c>
      <c r="V222" s="1" t="str">
        <f>IFERROR(__xludf.DUMMYFUNCTION("INDEX(SPLIT(A222, ""/""), 4)"),"ترنج")</f>
        <v>ترنج</v>
      </c>
    </row>
    <row r="223">
      <c r="A223" s="1" t="s">
        <v>747</v>
      </c>
      <c r="B223" s="1" t="s">
        <v>826</v>
      </c>
      <c r="C223" s="1" t="s">
        <v>21</v>
      </c>
      <c r="D223" s="4" t="s">
        <v>827</v>
      </c>
      <c r="E223" s="1" t="s">
        <v>750</v>
      </c>
      <c r="F223" s="1" t="s">
        <v>828</v>
      </c>
      <c r="G223" s="1" t="s">
        <v>829</v>
      </c>
      <c r="H223" s="1" t="s">
        <v>830</v>
      </c>
      <c r="I223" s="1" t="str">
        <f t="shared" si="1"/>
        <v>26</v>
      </c>
      <c r="J223" s="5"/>
      <c r="K223" s="1" t="str">
        <f t="shared" si="2"/>
        <v>12</v>
      </c>
      <c r="L223" s="5"/>
      <c r="M223" s="2" t="str">
        <f t="shared" si="3"/>
        <v>1403</v>
      </c>
      <c r="N223" s="5"/>
      <c r="O223" s="2">
        <v>24.0</v>
      </c>
      <c r="P223" s="5"/>
      <c r="Q223" s="5"/>
      <c r="R223" s="6" t="s">
        <v>830</v>
      </c>
      <c r="S223" s="5"/>
      <c r="T223" s="1" t="str">
        <f>IFERROR(__xludf.DUMMYFUNCTION("INDEX(SPLIT(A223, ""/""), 2)"),"تشکل‌های اسلامی و سیاسی")</f>
        <v>تشکل‌های اسلامی و سیاسی</v>
      </c>
      <c r="U223" s="1" t="str">
        <f>IFERROR(__xludf.DUMMYFUNCTION("INDEX(SPLIT(A223, ""/""), 3)"),"انجمن اسلامی دانشجویان")</f>
        <v>انجمن اسلامی دانشجویان</v>
      </c>
      <c r="V223" s="1" t="str">
        <f>IFERROR(__xludf.DUMMYFUNCTION("INDEX(SPLIT(A223, ""/""), 4)"),"ترنج")</f>
        <v>ترنج</v>
      </c>
    </row>
    <row r="224">
      <c r="A224" s="1" t="s">
        <v>831</v>
      </c>
      <c r="B224" s="1" t="s">
        <v>832</v>
      </c>
      <c r="C224" s="1" t="s">
        <v>21</v>
      </c>
      <c r="D224" s="4" t="s">
        <v>833</v>
      </c>
      <c r="E224" s="1" t="s">
        <v>750</v>
      </c>
      <c r="F224" s="1" t="s">
        <v>71</v>
      </c>
      <c r="G224" s="1" t="s">
        <v>71</v>
      </c>
      <c r="H224" s="1" t="s">
        <v>834</v>
      </c>
      <c r="I224" s="1" t="str">
        <f t="shared" si="1"/>
        <v>x</v>
      </c>
      <c r="J224" s="5"/>
      <c r="K224" s="1" t="str">
        <f t="shared" si="2"/>
        <v>10</v>
      </c>
      <c r="L224" s="5"/>
      <c r="M224" s="2" t="str">
        <f t="shared" si="3"/>
        <v>1381</v>
      </c>
      <c r="N224" s="5"/>
      <c r="O224" s="2">
        <v>20.0</v>
      </c>
      <c r="P224" s="5"/>
      <c r="Q224" s="5"/>
      <c r="R224" s="6" t="s">
        <v>835</v>
      </c>
      <c r="S224" s="5"/>
      <c r="T224" s="1" t="str">
        <f>IFERROR(__xludf.DUMMYFUNCTION("INDEX(SPLIT(A224, ""/""), 2)"),"تشکل‌های اسلامی و سیاسی")</f>
        <v>تشکل‌های اسلامی و سیاسی</v>
      </c>
      <c r="U224" s="1" t="str">
        <f>IFERROR(__xludf.DUMMYFUNCTION("INDEX(SPLIT(A224, ""/""), 3)"),"انجمن اسلامی دانشجویان")</f>
        <v>انجمن اسلامی دانشجویان</v>
      </c>
      <c r="V224" s="1" t="str">
        <f>IFERROR(__xludf.DUMMYFUNCTION("INDEX(SPLIT(A224, ""/""), 4)"),"خبرنامه")</f>
        <v>خبرنامه</v>
      </c>
    </row>
    <row r="225">
      <c r="A225" s="1" t="s">
        <v>831</v>
      </c>
      <c r="B225" s="1" t="s">
        <v>836</v>
      </c>
      <c r="C225" s="1" t="s">
        <v>21</v>
      </c>
      <c r="D225" s="4" t="s">
        <v>837</v>
      </c>
      <c r="E225" s="1" t="s">
        <v>750</v>
      </c>
      <c r="F225" s="1" t="s">
        <v>71</v>
      </c>
      <c r="G225" s="1" t="s">
        <v>71</v>
      </c>
      <c r="H225" s="1" t="s">
        <v>838</v>
      </c>
      <c r="I225" s="1" t="str">
        <f t="shared" si="1"/>
        <v>x</v>
      </c>
      <c r="J225" s="5"/>
      <c r="K225" s="1" t="str">
        <f t="shared" si="2"/>
        <v>1</v>
      </c>
      <c r="L225" s="5"/>
      <c r="M225" s="2" t="str">
        <f t="shared" si="3"/>
        <v>1382</v>
      </c>
      <c r="N225" s="5"/>
      <c r="O225" s="2">
        <v>22.0</v>
      </c>
      <c r="P225" s="5"/>
      <c r="Q225" s="5"/>
      <c r="R225" s="6" t="s">
        <v>839</v>
      </c>
      <c r="S225" s="5"/>
      <c r="T225" s="1" t="str">
        <f>IFERROR(__xludf.DUMMYFUNCTION("INDEX(SPLIT(A225, ""/""), 2)"),"تشکل‌های اسلامی و سیاسی")</f>
        <v>تشکل‌های اسلامی و سیاسی</v>
      </c>
      <c r="U225" s="1" t="str">
        <f>IFERROR(__xludf.DUMMYFUNCTION("INDEX(SPLIT(A225, ""/""), 3)"),"انجمن اسلامی دانشجویان")</f>
        <v>انجمن اسلامی دانشجویان</v>
      </c>
      <c r="V225" s="1" t="str">
        <f>IFERROR(__xludf.DUMMYFUNCTION("INDEX(SPLIT(A225, ""/""), 4)"),"خبرنامه")</f>
        <v>خبرنامه</v>
      </c>
    </row>
    <row r="226">
      <c r="A226" s="1" t="s">
        <v>831</v>
      </c>
      <c r="B226" s="1" t="s">
        <v>840</v>
      </c>
      <c r="C226" s="1" t="s">
        <v>21</v>
      </c>
      <c r="D226" s="4" t="s">
        <v>841</v>
      </c>
      <c r="E226" s="1" t="s">
        <v>750</v>
      </c>
      <c r="F226" s="1" t="s">
        <v>842</v>
      </c>
      <c r="G226" s="1" t="s">
        <v>71</v>
      </c>
      <c r="H226" s="1" t="s">
        <v>843</v>
      </c>
      <c r="I226" s="1" t="str">
        <f t="shared" si="1"/>
        <v>x</v>
      </c>
      <c r="J226" s="5"/>
      <c r="K226" s="1" t="str">
        <f t="shared" si="2"/>
        <v>7</v>
      </c>
      <c r="L226" s="5"/>
      <c r="M226" s="2" t="str">
        <f t="shared" si="3"/>
        <v>1382</v>
      </c>
      <c r="N226" s="5"/>
      <c r="O226" s="2">
        <v>24.0</v>
      </c>
      <c r="P226" s="5"/>
      <c r="Q226" s="5"/>
      <c r="R226" s="6" t="s">
        <v>844</v>
      </c>
      <c r="S226" s="5"/>
      <c r="T226" s="1" t="str">
        <f>IFERROR(__xludf.DUMMYFUNCTION("INDEX(SPLIT(A226, ""/""), 2)"),"تشکل‌های اسلامی و سیاسی")</f>
        <v>تشکل‌های اسلامی و سیاسی</v>
      </c>
      <c r="U226" s="1" t="str">
        <f>IFERROR(__xludf.DUMMYFUNCTION("INDEX(SPLIT(A226, ""/""), 3)"),"انجمن اسلامی دانشجویان")</f>
        <v>انجمن اسلامی دانشجویان</v>
      </c>
      <c r="V226" s="1" t="str">
        <f>IFERROR(__xludf.DUMMYFUNCTION("INDEX(SPLIT(A226, ""/""), 4)"),"خبرنامه")</f>
        <v>خبرنامه</v>
      </c>
    </row>
    <row r="227">
      <c r="A227" s="1" t="s">
        <v>831</v>
      </c>
      <c r="B227" s="1" t="s">
        <v>845</v>
      </c>
      <c r="C227" s="1" t="s">
        <v>21</v>
      </c>
      <c r="D227" s="4" t="s">
        <v>846</v>
      </c>
      <c r="E227" s="1" t="s">
        <v>750</v>
      </c>
      <c r="F227" s="1" t="s">
        <v>842</v>
      </c>
      <c r="G227" s="1" t="s">
        <v>71</v>
      </c>
      <c r="H227" s="1" t="s">
        <v>847</v>
      </c>
      <c r="I227" s="1" t="str">
        <f t="shared" si="1"/>
        <v>x</v>
      </c>
      <c r="J227" s="5"/>
      <c r="K227" s="1" t="str">
        <f t="shared" si="2"/>
        <v>2</v>
      </c>
      <c r="L227" s="5"/>
      <c r="M227" s="2" t="str">
        <f t="shared" si="3"/>
        <v>1382</v>
      </c>
      <c r="N227" s="5"/>
      <c r="O227" s="2">
        <v>25.0</v>
      </c>
      <c r="P227" s="5"/>
      <c r="Q227" s="5"/>
      <c r="R227" s="6" t="s">
        <v>848</v>
      </c>
      <c r="S227" s="1" t="s">
        <v>849</v>
      </c>
      <c r="T227" s="1" t="str">
        <f>IFERROR(__xludf.DUMMYFUNCTION("INDEX(SPLIT(A227, ""/""), 2)"),"تشکل‌های اسلامی و سیاسی")</f>
        <v>تشکل‌های اسلامی و سیاسی</v>
      </c>
      <c r="U227" s="1" t="str">
        <f>IFERROR(__xludf.DUMMYFUNCTION("INDEX(SPLIT(A227, ""/""), 3)"),"انجمن اسلامی دانشجویان")</f>
        <v>انجمن اسلامی دانشجویان</v>
      </c>
      <c r="V227" s="1" t="str">
        <f>IFERROR(__xludf.DUMMYFUNCTION("INDEX(SPLIT(A227, ""/""), 4)"),"خبرنامه")</f>
        <v>خبرنامه</v>
      </c>
    </row>
    <row r="228">
      <c r="A228" s="1" t="s">
        <v>831</v>
      </c>
      <c r="B228" s="1" t="s">
        <v>850</v>
      </c>
      <c r="C228" s="1" t="s">
        <v>21</v>
      </c>
      <c r="D228" s="4" t="s">
        <v>851</v>
      </c>
      <c r="E228" s="1" t="s">
        <v>750</v>
      </c>
      <c r="F228" s="1" t="s">
        <v>842</v>
      </c>
      <c r="G228" s="1" t="s">
        <v>71</v>
      </c>
      <c r="H228" s="1" t="s">
        <v>852</v>
      </c>
      <c r="I228" s="1" t="str">
        <f t="shared" si="1"/>
        <v>x</v>
      </c>
      <c r="J228" s="5"/>
      <c r="K228" s="1" t="str">
        <f t="shared" si="2"/>
        <v>10</v>
      </c>
      <c r="L228" s="5"/>
      <c r="M228" s="2" t="str">
        <f t="shared" si="3"/>
        <v>1382</v>
      </c>
      <c r="N228" s="5"/>
      <c r="O228" s="2">
        <v>26.0</v>
      </c>
      <c r="P228" s="5"/>
      <c r="Q228" s="5"/>
      <c r="R228" s="6" t="s">
        <v>853</v>
      </c>
      <c r="S228" s="5"/>
      <c r="T228" s="1" t="str">
        <f>IFERROR(__xludf.DUMMYFUNCTION("INDEX(SPLIT(A228, ""/""), 2)"),"تشکل‌های اسلامی و سیاسی")</f>
        <v>تشکل‌های اسلامی و سیاسی</v>
      </c>
      <c r="U228" s="1" t="str">
        <f>IFERROR(__xludf.DUMMYFUNCTION("INDEX(SPLIT(A228, ""/""), 3)"),"انجمن اسلامی دانشجویان")</f>
        <v>انجمن اسلامی دانشجویان</v>
      </c>
      <c r="V228" s="1" t="str">
        <f>IFERROR(__xludf.DUMMYFUNCTION("INDEX(SPLIT(A228, ""/""), 4)"),"خبرنامه")</f>
        <v>خبرنامه</v>
      </c>
    </row>
    <row r="229">
      <c r="A229" s="1" t="s">
        <v>831</v>
      </c>
      <c r="B229" s="1" t="s">
        <v>854</v>
      </c>
      <c r="C229" s="1" t="s">
        <v>21</v>
      </c>
      <c r="D229" s="4" t="s">
        <v>855</v>
      </c>
      <c r="E229" s="1" t="s">
        <v>750</v>
      </c>
      <c r="F229" s="1" t="s">
        <v>842</v>
      </c>
      <c r="G229" s="1" t="s">
        <v>71</v>
      </c>
      <c r="H229" s="1" t="s">
        <v>856</v>
      </c>
      <c r="I229" s="1" t="str">
        <f t="shared" si="1"/>
        <v>x</v>
      </c>
      <c r="J229" s="5"/>
      <c r="K229" s="1" t="str">
        <f t="shared" si="2"/>
        <v>2</v>
      </c>
      <c r="L229" s="5"/>
      <c r="M229" s="2" t="str">
        <f t="shared" si="3"/>
        <v>1383</v>
      </c>
      <c r="N229" s="5"/>
      <c r="O229" s="2">
        <v>27.0</v>
      </c>
      <c r="P229" s="5"/>
      <c r="Q229" s="5"/>
      <c r="R229" s="6" t="s">
        <v>857</v>
      </c>
      <c r="S229" s="5"/>
      <c r="T229" s="1" t="str">
        <f>IFERROR(__xludf.DUMMYFUNCTION("INDEX(SPLIT(A229, ""/""), 2)"),"تشکل‌های اسلامی و سیاسی")</f>
        <v>تشکل‌های اسلامی و سیاسی</v>
      </c>
      <c r="U229" s="1" t="str">
        <f>IFERROR(__xludf.DUMMYFUNCTION("INDEX(SPLIT(A229, ""/""), 3)"),"انجمن اسلامی دانشجویان")</f>
        <v>انجمن اسلامی دانشجویان</v>
      </c>
      <c r="V229" s="1" t="str">
        <f>IFERROR(__xludf.DUMMYFUNCTION("INDEX(SPLIT(A229, ""/""), 4)"),"خبرنامه")</f>
        <v>خبرنامه</v>
      </c>
    </row>
    <row r="230">
      <c r="A230" s="1" t="s">
        <v>831</v>
      </c>
      <c r="B230" s="1" t="s">
        <v>858</v>
      </c>
      <c r="C230" s="1" t="s">
        <v>21</v>
      </c>
      <c r="D230" s="4" t="s">
        <v>859</v>
      </c>
      <c r="E230" s="1" t="s">
        <v>750</v>
      </c>
      <c r="F230" s="1" t="s">
        <v>842</v>
      </c>
      <c r="G230" s="1" t="s">
        <v>71</v>
      </c>
      <c r="H230" s="1" t="s">
        <v>860</v>
      </c>
      <c r="I230" s="1" t="str">
        <f t="shared" si="1"/>
        <v>x</v>
      </c>
      <c r="J230" s="5"/>
      <c r="K230" s="1" t="str">
        <f t="shared" si="2"/>
        <v>9</v>
      </c>
      <c r="L230" s="5"/>
      <c r="M230" s="2" t="str">
        <f t="shared" si="3"/>
        <v>1383</v>
      </c>
      <c r="N230" s="5"/>
      <c r="O230" s="2">
        <v>28.0</v>
      </c>
      <c r="P230" s="5"/>
      <c r="Q230" s="5"/>
      <c r="R230" s="6" t="s">
        <v>861</v>
      </c>
      <c r="S230" s="5"/>
      <c r="T230" s="1" t="str">
        <f>IFERROR(__xludf.DUMMYFUNCTION("INDEX(SPLIT(A230, ""/""), 2)"),"تشکل‌های اسلامی و سیاسی")</f>
        <v>تشکل‌های اسلامی و سیاسی</v>
      </c>
      <c r="U230" s="1" t="str">
        <f>IFERROR(__xludf.DUMMYFUNCTION("INDEX(SPLIT(A230, ""/""), 3)"),"انجمن اسلامی دانشجویان")</f>
        <v>انجمن اسلامی دانشجویان</v>
      </c>
      <c r="V230" s="1" t="str">
        <f>IFERROR(__xludf.DUMMYFUNCTION("INDEX(SPLIT(A230, ""/""), 4)"),"خبرنامه")</f>
        <v>خبرنامه</v>
      </c>
    </row>
    <row r="231">
      <c r="A231" s="1" t="s">
        <v>831</v>
      </c>
      <c r="B231" s="1" t="s">
        <v>862</v>
      </c>
      <c r="C231" s="1" t="s">
        <v>21</v>
      </c>
      <c r="D231" s="4" t="s">
        <v>863</v>
      </c>
      <c r="E231" s="1" t="s">
        <v>750</v>
      </c>
      <c r="F231" s="1" t="s">
        <v>864</v>
      </c>
      <c r="G231" s="1" t="s">
        <v>71</v>
      </c>
      <c r="H231" s="1" t="s">
        <v>78</v>
      </c>
      <c r="I231" s="1" t="str">
        <f t="shared" si="1"/>
        <v>x</v>
      </c>
      <c r="J231" s="5"/>
      <c r="K231" s="1" t="str">
        <f t="shared" si="2"/>
        <v>9</v>
      </c>
      <c r="L231" s="5"/>
      <c r="M231" s="2" t="str">
        <f t="shared" si="3"/>
        <v>1384</v>
      </c>
      <c r="N231" s="5"/>
      <c r="O231" s="2">
        <v>31.0</v>
      </c>
      <c r="P231" s="5"/>
      <c r="Q231" s="5"/>
      <c r="R231" s="6" t="s">
        <v>79</v>
      </c>
      <c r="S231" s="5"/>
      <c r="T231" s="1" t="str">
        <f>IFERROR(__xludf.DUMMYFUNCTION("INDEX(SPLIT(A231, ""/""), 2)"),"تشکل‌های اسلامی و سیاسی")</f>
        <v>تشکل‌های اسلامی و سیاسی</v>
      </c>
      <c r="U231" s="1" t="str">
        <f>IFERROR(__xludf.DUMMYFUNCTION("INDEX(SPLIT(A231, ""/""), 3)"),"انجمن اسلامی دانشجویان")</f>
        <v>انجمن اسلامی دانشجویان</v>
      </c>
      <c r="V231" s="1" t="str">
        <f>IFERROR(__xludf.DUMMYFUNCTION("INDEX(SPLIT(A231, ""/""), 4)"),"خبرنامه")</f>
        <v>خبرنامه</v>
      </c>
    </row>
    <row r="232">
      <c r="A232" s="1" t="s">
        <v>831</v>
      </c>
      <c r="B232" s="1" t="s">
        <v>865</v>
      </c>
      <c r="C232" s="1" t="s">
        <v>21</v>
      </c>
      <c r="D232" s="4" t="s">
        <v>866</v>
      </c>
      <c r="E232" s="1" t="s">
        <v>750</v>
      </c>
      <c r="F232" s="1" t="s">
        <v>864</v>
      </c>
      <c r="G232" s="1" t="s">
        <v>71</v>
      </c>
      <c r="H232" s="1" t="s">
        <v>78</v>
      </c>
      <c r="I232" s="1" t="str">
        <f t="shared" si="1"/>
        <v>x</v>
      </c>
      <c r="J232" s="5"/>
      <c r="K232" s="1" t="str">
        <f t="shared" si="2"/>
        <v>9</v>
      </c>
      <c r="L232" s="5"/>
      <c r="M232" s="2" t="str">
        <f t="shared" si="3"/>
        <v>1384</v>
      </c>
      <c r="N232" s="5"/>
      <c r="O232" s="2">
        <v>32.0</v>
      </c>
      <c r="P232" s="5"/>
      <c r="Q232" s="5"/>
      <c r="R232" s="6" t="s">
        <v>79</v>
      </c>
      <c r="S232" s="5"/>
      <c r="T232" s="1" t="str">
        <f>IFERROR(__xludf.DUMMYFUNCTION("INDEX(SPLIT(A232, ""/""), 2)"),"تشکل‌های اسلامی و سیاسی")</f>
        <v>تشکل‌های اسلامی و سیاسی</v>
      </c>
      <c r="U232" s="1" t="str">
        <f>IFERROR(__xludf.DUMMYFUNCTION("INDEX(SPLIT(A232, ""/""), 3)"),"انجمن اسلامی دانشجویان")</f>
        <v>انجمن اسلامی دانشجویان</v>
      </c>
      <c r="V232" s="1" t="str">
        <f>IFERROR(__xludf.DUMMYFUNCTION("INDEX(SPLIT(A232, ""/""), 4)"),"خبرنامه")</f>
        <v>خبرنامه</v>
      </c>
    </row>
    <row r="233">
      <c r="A233" s="1" t="s">
        <v>831</v>
      </c>
      <c r="B233" s="1" t="s">
        <v>867</v>
      </c>
      <c r="C233" s="1" t="s">
        <v>21</v>
      </c>
      <c r="D233" s="4" t="s">
        <v>868</v>
      </c>
      <c r="E233" s="1" t="s">
        <v>750</v>
      </c>
      <c r="F233" s="1" t="s">
        <v>864</v>
      </c>
      <c r="G233" s="1" t="s">
        <v>71</v>
      </c>
      <c r="H233" s="1" t="s">
        <v>78</v>
      </c>
      <c r="I233" s="1" t="str">
        <f t="shared" si="1"/>
        <v>x</v>
      </c>
      <c r="J233" s="5"/>
      <c r="K233" s="1" t="str">
        <f t="shared" si="2"/>
        <v>9</v>
      </c>
      <c r="L233" s="5"/>
      <c r="M233" s="2" t="str">
        <f t="shared" si="3"/>
        <v>1384</v>
      </c>
      <c r="N233" s="5"/>
      <c r="O233" s="2">
        <v>33.0</v>
      </c>
      <c r="P233" s="5"/>
      <c r="Q233" s="5"/>
      <c r="R233" s="6" t="s">
        <v>79</v>
      </c>
      <c r="S233" s="5"/>
      <c r="T233" s="1" t="str">
        <f>IFERROR(__xludf.DUMMYFUNCTION("INDEX(SPLIT(A233, ""/""), 2)"),"تشکل‌های اسلامی و سیاسی")</f>
        <v>تشکل‌های اسلامی و سیاسی</v>
      </c>
      <c r="U233" s="1" t="str">
        <f>IFERROR(__xludf.DUMMYFUNCTION("INDEX(SPLIT(A233, ""/""), 3)"),"انجمن اسلامی دانشجویان")</f>
        <v>انجمن اسلامی دانشجویان</v>
      </c>
      <c r="V233" s="1" t="str">
        <f>IFERROR(__xludf.DUMMYFUNCTION("INDEX(SPLIT(A233, ""/""), 4)"),"خبرنامه")</f>
        <v>خبرنامه</v>
      </c>
    </row>
    <row r="234">
      <c r="A234" s="1" t="s">
        <v>831</v>
      </c>
      <c r="B234" s="1" t="s">
        <v>869</v>
      </c>
      <c r="C234" s="1" t="s">
        <v>21</v>
      </c>
      <c r="D234" s="4" t="s">
        <v>870</v>
      </c>
      <c r="E234" s="1" t="s">
        <v>750</v>
      </c>
      <c r="F234" s="1" t="s">
        <v>864</v>
      </c>
      <c r="G234" s="1" t="s">
        <v>71</v>
      </c>
      <c r="H234" s="7" t="s">
        <v>871</v>
      </c>
      <c r="I234" s="1" t="str">
        <f t="shared" si="1"/>
        <v>3</v>
      </c>
      <c r="J234" s="5"/>
      <c r="K234" s="1" t="str">
        <f t="shared" si="2"/>
        <v>10</v>
      </c>
      <c r="L234" s="5"/>
      <c r="M234" s="2" t="str">
        <f t="shared" si="3"/>
        <v>1384</v>
      </c>
      <c r="N234" s="5"/>
      <c r="O234" s="2">
        <v>34.0</v>
      </c>
      <c r="P234" s="5"/>
      <c r="Q234" s="5"/>
      <c r="R234" s="8" t="s">
        <v>871</v>
      </c>
      <c r="S234" s="5"/>
      <c r="T234" s="1" t="str">
        <f>IFERROR(__xludf.DUMMYFUNCTION("INDEX(SPLIT(A234, ""/""), 2)"),"تشکل‌های اسلامی و سیاسی")</f>
        <v>تشکل‌های اسلامی و سیاسی</v>
      </c>
      <c r="U234" s="1" t="str">
        <f>IFERROR(__xludf.DUMMYFUNCTION("INDEX(SPLIT(A234, ""/""), 3)"),"انجمن اسلامی دانشجویان")</f>
        <v>انجمن اسلامی دانشجویان</v>
      </c>
      <c r="V234" s="1" t="str">
        <f>IFERROR(__xludf.DUMMYFUNCTION("INDEX(SPLIT(A234, ""/""), 4)"),"خبرنامه")</f>
        <v>خبرنامه</v>
      </c>
    </row>
    <row r="235">
      <c r="A235" s="1" t="s">
        <v>831</v>
      </c>
      <c r="B235" s="1" t="s">
        <v>872</v>
      </c>
      <c r="C235" s="1" t="s">
        <v>21</v>
      </c>
      <c r="D235" s="4" t="s">
        <v>873</v>
      </c>
      <c r="E235" s="1" t="s">
        <v>750</v>
      </c>
      <c r="F235" s="1" t="s">
        <v>864</v>
      </c>
      <c r="G235" s="1" t="s">
        <v>71</v>
      </c>
      <c r="H235" s="1" t="s">
        <v>874</v>
      </c>
      <c r="I235" s="1" t="str">
        <f t="shared" si="1"/>
        <v>x</v>
      </c>
      <c r="J235" s="5"/>
      <c r="K235" s="1" t="str">
        <f t="shared" si="2"/>
        <v>10</v>
      </c>
      <c r="L235" s="5"/>
      <c r="M235" s="2" t="str">
        <f t="shared" si="3"/>
        <v>1384</v>
      </c>
      <c r="N235" s="5"/>
      <c r="O235" s="2" t="s">
        <v>875</v>
      </c>
      <c r="P235" s="5"/>
      <c r="Q235" s="5"/>
      <c r="R235" s="6" t="s">
        <v>876</v>
      </c>
      <c r="S235" s="5"/>
      <c r="T235" s="1" t="str">
        <f>IFERROR(__xludf.DUMMYFUNCTION("INDEX(SPLIT(A235, ""/""), 2)"),"تشکل‌های اسلامی و سیاسی")</f>
        <v>تشکل‌های اسلامی و سیاسی</v>
      </c>
      <c r="U235" s="1" t="str">
        <f>IFERROR(__xludf.DUMMYFUNCTION("INDEX(SPLIT(A235, ""/""), 3)"),"انجمن اسلامی دانشجویان")</f>
        <v>انجمن اسلامی دانشجویان</v>
      </c>
      <c r="V235" s="1" t="str">
        <f>IFERROR(__xludf.DUMMYFUNCTION("INDEX(SPLIT(A235, ""/""), 4)"),"خبرنامه")</f>
        <v>خبرنامه</v>
      </c>
    </row>
    <row r="236">
      <c r="A236" s="1" t="s">
        <v>831</v>
      </c>
      <c r="B236" s="1" t="s">
        <v>877</v>
      </c>
      <c r="C236" s="1" t="s">
        <v>21</v>
      </c>
      <c r="D236" s="4" t="s">
        <v>878</v>
      </c>
      <c r="E236" s="1" t="s">
        <v>750</v>
      </c>
      <c r="F236" s="1" t="s">
        <v>864</v>
      </c>
      <c r="G236" s="1" t="s">
        <v>71</v>
      </c>
      <c r="H236" s="7" t="s">
        <v>871</v>
      </c>
      <c r="I236" s="1" t="str">
        <f t="shared" si="1"/>
        <v>3</v>
      </c>
      <c r="J236" s="5"/>
      <c r="K236" s="1" t="str">
        <f t="shared" si="2"/>
        <v>10</v>
      </c>
      <c r="L236" s="5"/>
      <c r="M236" s="2" t="str">
        <f t="shared" si="3"/>
        <v>1384</v>
      </c>
      <c r="N236" s="5"/>
      <c r="O236" s="2">
        <v>35.0</v>
      </c>
      <c r="P236" s="5"/>
      <c r="Q236" s="5"/>
      <c r="R236" s="8" t="s">
        <v>871</v>
      </c>
      <c r="S236" s="5"/>
      <c r="T236" s="1" t="str">
        <f>IFERROR(__xludf.DUMMYFUNCTION("INDEX(SPLIT(A236, ""/""), 2)"),"تشکل‌های اسلامی و سیاسی")</f>
        <v>تشکل‌های اسلامی و سیاسی</v>
      </c>
      <c r="U236" s="1" t="str">
        <f>IFERROR(__xludf.DUMMYFUNCTION("INDEX(SPLIT(A236, ""/""), 3)"),"انجمن اسلامی دانشجویان")</f>
        <v>انجمن اسلامی دانشجویان</v>
      </c>
      <c r="V236" s="1" t="str">
        <f>IFERROR(__xludf.DUMMYFUNCTION("INDEX(SPLIT(A236, ""/""), 4)"),"خبرنامه")</f>
        <v>خبرنامه</v>
      </c>
    </row>
    <row r="237">
      <c r="A237" s="1" t="s">
        <v>831</v>
      </c>
      <c r="B237" s="1" t="s">
        <v>879</v>
      </c>
      <c r="C237" s="1" t="s">
        <v>21</v>
      </c>
      <c r="D237" s="4" t="s">
        <v>880</v>
      </c>
      <c r="E237" s="1" t="s">
        <v>750</v>
      </c>
      <c r="F237" s="1" t="s">
        <v>864</v>
      </c>
      <c r="G237" s="1" t="s">
        <v>71</v>
      </c>
      <c r="H237" s="1" t="s">
        <v>881</v>
      </c>
      <c r="I237" s="1" t="str">
        <f t="shared" si="1"/>
        <v>26</v>
      </c>
      <c r="J237" s="5"/>
      <c r="K237" s="1" t="str">
        <f t="shared" si="2"/>
        <v>10</v>
      </c>
      <c r="L237" s="5"/>
      <c r="M237" s="2" t="str">
        <f t="shared" si="3"/>
        <v>1384</v>
      </c>
      <c r="N237" s="5"/>
      <c r="O237" s="2" t="s">
        <v>882</v>
      </c>
      <c r="P237" s="5"/>
      <c r="Q237" s="5"/>
      <c r="R237" s="6" t="s">
        <v>881</v>
      </c>
      <c r="S237" s="5"/>
      <c r="T237" s="1" t="str">
        <f>IFERROR(__xludf.DUMMYFUNCTION("INDEX(SPLIT(A237, ""/""), 2)"),"تشکل‌های اسلامی و سیاسی")</f>
        <v>تشکل‌های اسلامی و سیاسی</v>
      </c>
      <c r="U237" s="1" t="str">
        <f>IFERROR(__xludf.DUMMYFUNCTION("INDEX(SPLIT(A237, ""/""), 3)"),"انجمن اسلامی دانشجویان")</f>
        <v>انجمن اسلامی دانشجویان</v>
      </c>
      <c r="V237" s="1" t="str">
        <f>IFERROR(__xludf.DUMMYFUNCTION("INDEX(SPLIT(A237, ""/""), 4)"),"خبرنامه")</f>
        <v>خبرنامه</v>
      </c>
    </row>
    <row r="238">
      <c r="A238" s="1" t="s">
        <v>831</v>
      </c>
      <c r="B238" s="1" t="s">
        <v>883</v>
      </c>
      <c r="C238" s="1" t="s">
        <v>21</v>
      </c>
      <c r="D238" s="4" t="s">
        <v>884</v>
      </c>
      <c r="E238" s="1" t="s">
        <v>750</v>
      </c>
      <c r="F238" s="1" t="s">
        <v>864</v>
      </c>
      <c r="G238" s="1" t="s">
        <v>71</v>
      </c>
      <c r="H238" s="1" t="s">
        <v>885</v>
      </c>
      <c r="I238" s="1" t="str">
        <f t="shared" si="1"/>
        <v>25</v>
      </c>
      <c r="J238" s="5"/>
      <c r="K238" s="1" t="str">
        <f t="shared" si="2"/>
        <v>11</v>
      </c>
      <c r="L238" s="5"/>
      <c r="M238" s="2" t="str">
        <f t="shared" si="3"/>
        <v>1384</v>
      </c>
      <c r="N238" s="5"/>
      <c r="O238" s="2">
        <v>36.0</v>
      </c>
      <c r="P238" s="5"/>
      <c r="Q238" s="5"/>
      <c r="R238" s="6" t="s">
        <v>885</v>
      </c>
      <c r="S238" s="5"/>
      <c r="T238" s="1" t="str">
        <f>IFERROR(__xludf.DUMMYFUNCTION("INDEX(SPLIT(A238, ""/""), 2)"),"تشکل‌های اسلامی و سیاسی")</f>
        <v>تشکل‌های اسلامی و سیاسی</v>
      </c>
      <c r="U238" s="1" t="str">
        <f>IFERROR(__xludf.DUMMYFUNCTION("INDEX(SPLIT(A238, ""/""), 3)"),"انجمن اسلامی دانشجویان")</f>
        <v>انجمن اسلامی دانشجویان</v>
      </c>
      <c r="V238" s="1" t="str">
        <f>IFERROR(__xludf.DUMMYFUNCTION("INDEX(SPLIT(A238, ""/""), 4)"),"خبرنامه")</f>
        <v>خبرنامه</v>
      </c>
    </row>
    <row r="239">
      <c r="A239" s="1" t="s">
        <v>831</v>
      </c>
      <c r="B239" s="1" t="s">
        <v>886</v>
      </c>
      <c r="C239" s="1" t="s">
        <v>21</v>
      </c>
      <c r="D239" s="4" t="s">
        <v>887</v>
      </c>
      <c r="E239" s="1" t="s">
        <v>750</v>
      </c>
      <c r="F239" s="1" t="s">
        <v>864</v>
      </c>
      <c r="G239" s="1" t="s">
        <v>71</v>
      </c>
      <c r="H239" s="1" t="s">
        <v>888</v>
      </c>
      <c r="I239" s="1" t="str">
        <f t="shared" si="1"/>
        <v>30</v>
      </c>
      <c r="J239" s="5"/>
      <c r="K239" s="1" t="str">
        <f t="shared" si="2"/>
        <v>11</v>
      </c>
      <c r="L239" s="5"/>
      <c r="M239" s="2" t="str">
        <f t="shared" si="3"/>
        <v>1384</v>
      </c>
      <c r="N239" s="5"/>
      <c r="O239" s="2">
        <v>37.0</v>
      </c>
      <c r="P239" s="5"/>
      <c r="Q239" s="5"/>
      <c r="R239" s="6" t="s">
        <v>888</v>
      </c>
      <c r="S239" s="5"/>
      <c r="T239" s="1" t="str">
        <f>IFERROR(__xludf.DUMMYFUNCTION("INDEX(SPLIT(A239, ""/""), 2)"),"تشکل‌های اسلامی و سیاسی")</f>
        <v>تشکل‌های اسلامی و سیاسی</v>
      </c>
      <c r="U239" s="1" t="str">
        <f>IFERROR(__xludf.DUMMYFUNCTION("INDEX(SPLIT(A239, ""/""), 3)"),"انجمن اسلامی دانشجویان")</f>
        <v>انجمن اسلامی دانشجویان</v>
      </c>
      <c r="V239" s="1" t="str">
        <f>IFERROR(__xludf.DUMMYFUNCTION("INDEX(SPLIT(A239, ""/""), 4)"),"خبرنامه")</f>
        <v>خبرنامه</v>
      </c>
    </row>
    <row r="240">
      <c r="A240" s="1" t="s">
        <v>831</v>
      </c>
      <c r="B240" s="1" t="s">
        <v>889</v>
      </c>
      <c r="C240" s="1" t="s">
        <v>21</v>
      </c>
      <c r="D240" s="4" t="s">
        <v>890</v>
      </c>
      <c r="E240" s="1" t="s">
        <v>750</v>
      </c>
      <c r="F240" s="1" t="s">
        <v>864</v>
      </c>
      <c r="G240" s="1" t="s">
        <v>71</v>
      </c>
      <c r="H240" s="7" t="s">
        <v>891</v>
      </c>
      <c r="I240" s="1" t="str">
        <f t="shared" si="1"/>
        <v>8</v>
      </c>
      <c r="J240" s="5"/>
      <c r="K240" s="1" t="str">
        <f t="shared" si="2"/>
        <v>12</v>
      </c>
      <c r="L240" s="5"/>
      <c r="M240" s="2" t="str">
        <f t="shared" si="3"/>
        <v>1384</v>
      </c>
      <c r="N240" s="5"/>
      <c r="O240" s="2">
        <v>38.0</v>
      </c>
      <c r="P240" s="5"/>
      <c r="Q240" s="5"/>
      <c r="R240" s="8" t="s">
        <v>891</v>
      </c>
      <c r="S240" s="5"/>
      <c r="T240" s="1" t="str">
        <f>IFERROR(__xludf.DUMMYFUNCTION("INDEX(SPLIT(A240, ""/""), 2)"),"تشکل‌های اسلامی و سیاسی")</f>
        <v>تشکل‌های اسلامی و سیاسی</v>
      </c>
      <c r="U240" s="1" t="str">
        <f>IFERROR(__xludf.DUMMYFUNCTION("INDEX(SPLIT(A240, ""/""), 3)"),"انجمن اسلامی دانشجویان")</f>
        <v>انجمن اسلامی دانشجویان</v>
      </c>
      <c r="V240" s="1" t="str">
        <f>IFERROR(__xludf.DUMMYFUNCTION("INDEX(SPLIT(A240, ""/""), 4)"),"خبرنامه")</f>
        <v>خبرنامه</v>
      </c>
    </row>
    <row r="241">
      <c r="A241" s="1" t="s">
        <v>831</v>
      </c>
      <c r="B241" s="1" t="s">
        <v>892</v>
      </c>
      <c r="C241" s="1" t="s">
        <v>21</v>
      </c>
      <c r="D241" s="4" t="s">
        <v>893</v>
      </c>
      <c r="E241" s="1" t="s">
        <v>750</v>
      </c>
      <c r="F241" s="1" t="s">
        <v>864</v>
      </c>
      <c r="G241" s="1" t="s">
        <v>71</v>
      </c>
      <c r="H241" s="1" t="s">
        <v>894</v>
      </c>
      <c r="I241" s="1" t="str">
        <f t="shared" si="1"/>
        <v>14</v>
      </c>
      <c r="J241" s="5"/>
      <c r="K241" s="1" t="str">
        <f t="shared" si="2"/>
        <v>12</v>
      </c>
      <c r="L241" s="5"/>
      <c r="M241" s="2" t="str">
        <f t="shared" si="3"/>
        <v>1384</v>
      </c>
      <c r="N241" s="5"/>
      <c r="O241" s="2" t="s">
        <v>895</v>
      </c>
      <c r="P241" s="5"/>
      <c r="Q241" s="5"/>
      <c r="R241" s="6" t="s">
        <v>894</v>
      </c>
      <c r="S241" s="1"/>
      <c r="T241" s="1" t="str">
        <f>IFERROR(__xludf.DUMMYFUNCTION("INDEX(SPLIT(A241, ""/""), 2)"),"تشکل‌های اسلامی و سیاسی")</f>
        <v>تشکل‌های اسلامی و سیاسی</v>
      </c>
      <c r="U241" s="1" t="str">
        <f>IFERROR(__xludf.DUMMYFUNCTION("INDEX(SPLIT(A241, ""/""), 3)"),"انجمن اسلامی دانشجویان")</f>
        <v>انجمن اسلامی دانشجویان</v>
      </c>
      <c r="V241" s="1" t="str">
        <f>IFERROR(__xludf.DUMMYFUNCTION("INDEX(SPLIT(A241, ""/""), 4)"),"خبرنامه")</f>
        <v>خبرنامه</v>
      </c>
    </row>
    <row r="242">
      <c r="A242" s="1" t="s">
        <v>831</v>
      </c>
      <c r="B242" s="1" t="s">
        <v>896</v>
      </c>
      <c r="C242" s="1" t="s">
        <v>21</v>
      </c>
      <c r="D242" s="4" t="s">
        <v>897</v>
      </c>
      <c r="E242" s="1" t="s">
        <v>750</v>
      </c>
      <c r="F242" s="1" t="s">
        <v>864</v>
      </c>
      <c r="G242" s="1" t="s">
        <v>71</v>
      </c>
      <c r="H242" s="1" t="s">
        <v>898</v>
      </c>
      <c r="I242" s="1" t="str">
        <f t="shared" si="1"/>
        <v>x</v>
      </c>
      <c r="J242" s="5"/>
      <c r="K242" s="1" t="str">
        <f t="shared" si="2"/>
        <v>12</v>
      </c>
      <c r="L242" s="5"/>
      <c r="M242" s="2" t="str">
        <f t="shared" si="3"/>
        <v>1384</v>
      </c>
      <c r="N242" s="5"/>
      <c r="O242" s="2" t="s">
        <v>875</v>
      </c>
      <c r="P242" s="5"/>
      <c r="Q242" s="5"/>
      <c r="R242" s="6" t="s">
        <v>899</v>
      </c>
      <c r="S242" s="5"/>
      <c r="T242" s="1" t="str">
        <f>IFERROR(__xludf.DUMMYFUNCTION("INDEX(SPLIT(A242, ""/""), 2)"),"تشکل‌های اسلامی و سیاسی")</f>
        <v>تشکل‌های اسلامی و سیاسی</v>
      </c>
      <c r="U242" s="1" t="str">
        <f>IFERROR(__xludf.DUMMYFUNCTION("INDEX(SPLIT(A242, ""/""), 3)"),"انجمن اسلامی دانشجویان")</f>
        <v>انجمن اسلامی دانشجویان</v>
      </c>
      <c r="V242" s="1" t="str">
        <f>IFERROR(__xludf.DUMMYFUNCTION("INDEX(SPLIT(A242, ""/""), 4)"),"خبرنامه")</f>
        <v>خبرنامه</v>
      </c>
    </row>
    <row r="243">
      <c r="A243" s="1" t="s">
        <v>831</v>
      </c>
      <c r="B243" s="1" t="s">
        <v>900</v>
      </c>
      <c r="C243" s="1" t="s">
        <v>21</v>
      </c>
      <c r="D243" s="4" t="s">
        <v>901</v>
      </c>
      <c r="E243" s="1" t="s">
        <v>750</v>
      </c>
      <c r="F243" s="1" t="s">
        <v>864</v>
      </c>
      <c r="G243" s="1" t="s">
        <v>71</v>
      </c>
      <c r="H243" s="1" t="s">
        <v>899</v>
      </c>
      <c r="I243" s="1" t="str">
        <f t="shared" si="1"/>
        <v>15</v>
      </c>
      <c r="J243" s="5"/>
      <c r="K243" s="1" t="str">
        <f t="shared" si="2"/>
        <v>12</v>
      </c>
      <c r="L243" s="5"/>
      <c r="M243" s="2" t="str">
        <f t="shared" si="3"/>
        <v>1384</v>
      </c>
      <c r="N243" s="5"/>
      <c r="O243" s="2">
        <v>39.0</v>
      </c>
      <c r="P243" s="5"/>
      <c r="Q243" s="5"/>
      <c r="R243" s="6" t="s">
        <v>899</v>
      </c>
      <c r="S243" s="5"/>
      <c r="T243" s="1" t="str">
        <f>IFERROR(__xludf.DUMMYFUNCTION("INDEX(SPLIT(A243, ""/""), 2)"),"تشکل‌های اسلامی و سیاسی")</f>
        <v>تشکل‌های اسلامی و سیاسی</v>
      </c>
      <c r="U243" s="1" t="str">
        <f>IFERROR(__xludf.DUMMYFUNCTION("INDEX(SPLIT(A243, ""/""), 3)"),"انجمن اسلامی دانشجویان")</f>
        <v>انجمن اسلامی دانشجویان</v>
      </c>
      <c r="V243" s="1" t="str">
        <f>IFERROR(__xludf.DUMMYFUNCTION("INDEX(SPLIT(A243, ""/""), 4)"),"خبرنامه")</f>
        <v>خبرنامه</v>
      </c>
    </row>
    <row r="244">
      <c r="A244" s="1" t="s">
        <v>831</v>
      </c>
      <c r="B244" s="1" t="s">
        <v>902</v>
      </c>
      <c r="C244" s="1" t="s">
        <v>21</v>
      </c>
      <c r="D244" s="4" t="s">
        <v>903</v>
      </c>
      <c r="E244" s="1" t="s">
        <v>750</v>
      </c>
      <c r="F244" s="1" t="s">
        <v>864</v>
      </c>
      <c r="G244" s="1" t="s">
        <v>71</v>
      </c>
      <c r="H244" s="1" t="s">
        <v>898</v>
      </c>
      <c r="I244" s="1" t="str">
        <f t="shared" si="1"/>
        <v>x</v>
      </c>
      <c r="J244" s="5"/>
      <c r="K244" s="1" t="str">
        <f t="shared" si="2"/>
        <v>12</v>
      </c>
      <c r="L244" s="5"/>
      <c r="M244" s="2" t="str">
        <f t="shared" si="3"/>
        <v>1384</v>
      </c>
      <c r="N244" s="5"/>
      <c r="O244" s="2">
        <v>40.0</v>
      </c>
      <c r="P244" s="5"/>
      <c r="Q244" s="5"/>
      <c r="R244" s="6" t="s">
        <v>899</v>
      </c>
      <c r="S244" s="5"/>
      <c r="T244" s="1" t="str">
        <f>IFERROR(__xludf.DUMMYFUNCTION("INDEX(SPLIT(A244, ""/""), 2)"),"تشکل‌های اسلامی و سیاسی")</f>
        <v>تشکل‌های اسلامی و سیاسی</v>
      </c>
      <c r="U244" s="1" t="str">
        <f>IFERROR(__xludf.DUMMYFUNCTION("INDEX(SPLIT(A244, ""/""), 3)"),"انجمن اسلامی دانشجویان")</f>
        <v>انجمن اسلامی دانشجویان</v>
      </c>
      <c r="V244" s="1" t="str">
        <f>IFERROR(__xludf.DUMMYFUNCTION("INDEX(SPLIT(A244, ""/""), 4)"),"خبرنامه")</f>
        <v>خبرنامه</v>
      </c>
    </row>
    <row r="245">
      <c r="A245" s="1" t="s">
        <v>831</v>
      </c>
      <c r="B245" s="1" t="s">
        <v>904</v>
      </c>
      <c r="C245" s="1" t="s">
        <v>21</v>
      </c>
      <c r="D245" s="4" t="s">
        <v>905</v>
      </c>
      <c r="E245" s="1" t="s">
        <v>750</v>
      </c>
      <c r="F245" s="1" t="s">
        <v>864</v>
      </c>
      <c r="G245" s="1" t="s">
        <v>71</v>
      </c>
      <c r="H245" s="1" t="s">
        <v>906</v>
      </c>
      <c r="I245" s="1" t="str">
        <f t="shared" si="1"/>
        <v>x</v>
      </c>
      <c r="J245" s="5"/>
      <c r="K245" s="1" t="str">
        <f t="shared" si="2"/>
        <v>x</v>
      </c>
      <c r="L245" s="5"/>
      <c r="M245" s="2" t="str">
        <f t="shared" si="3"/>
        <v>1384</v>
      </c>
      <c r="N245" s="5"/>
      <c r="O245" s="2" t="s">
        <v>907</v>
      </c>
      <c r="P245" s="1" t="s">
        <v>908</v>
      </c>
      <c r="Q245" s="1" t="s">
        <v>909</v>
      </c>
      <c r="R245" s="8" t="s">
        <v>910</v>
      </c>
      <c r="S245" s="5"/>
      <c r="T245" s="1" t="str">
        <f>IFERROR(__xludf.DUMMYFUNCTION("INDEX(SPLIT(A245, ""/""), 2)"),"تشکل‌های اسلامی و سیاسی")</f>
        <v>تشکل‌های اسلامی و سیاسی</v>
      </c>
      <c r="U245" s="1" t="str">
        <f>IFERROR(__xludf.DUMMYFUNCTION("INDEX(SPLIT(A245, ""/""), 3)"),"انجمن اسلامی دانشجویان")</f>
        <v>انجمن اسلامی دانشجویان</v>
      </c>
      <c r="V245" s="1" t="str">
        <f>IFERROR(__xludf.DUMMYFUNCTION("INDEX(SPLIT(A245, ""/""), 4)"),"خبرنامه")</f>
        <v>خبرنامه</v>
      </c>
    </row>
    <row r="246">
      <c r="A246" s="1" t="s">
        <v>831</v>
      </c>
      <c r="B246" s="1" t="s">
        <v>911</v>
      </c>
      <c r="C246" s="1" t="s">
        <v>21</v>
      </c>
      <c r="D246" s="4" t="s">
        <v>912</v>
      </c>
      <c r="E246" s="1" t="s">
        <v>750</v>
      </c>
      <c r="F246" s="1" t="s">
        <v>864</v>
      </c>
      <c r="G246" s="1" t="s">
        <v>71</v>
      </c>
      <c r="H246" s="1" t="s">
        <v>913</v>
      </c>
      <c r="I246" s="1" t="str">
        <f t="shared" si="1"/>
        <v>x</v>
      </c>
      <c r="J246" s="5"/>
      <c r="K246" s="1" t="str">
        <f t="shared" si="2"/>
        <v>1</v>
      </c>
      <c r="L246" s="5"/>
      <c r="M246" s="2" t="str">
        <f t="shared" si="3"/>
        <v>1385</v>
      </c>
      <c r="N246" s="5"/>
      <c r="O246" s="2" t="s">
        <v>914</v>
      </c>
      <c r="P246" s="5"/>
      <c r="Q246" s="5"/>
      <c r="R246" s="6" t="s">
        <v>915</v>
      </c>
      <c r="S246" s="5"/>
      <c r="T246" s="1" t="str">
        <f>IFERROR(__xludf.DUMMYFUNCTION("INDEX(SPLIT(A246, ""/""), 2)"),"تشکل‌های اسلامی و سیاسی")</f>
        <v>تشکل‌های اسلامی و سیاسی</v>
      </c>
      <c r="U246" s="1" t="str">
        <f>IFERROR(__xludf.DUMMYFUNCTION("INDEX(SPLIT(A246, ""/""), 3)"),"انجمن اسلامی دانشجویان")</f>
        <v>انجمن اسلامی دانشجویان</v>
      </c>
      <c r="V246" s="1" t="str">
        <f>IFERROR(__xludf.DUMMYFUNCTION("INDEX(SPLIT(A246, ""/""), 4)"),"خبرنامه")</f>
        <v>خبرنامه</v>
      </c>
    </row>
    <row r="247">
      <c r="A247" s="1" t="s">
        <v>831</v>
      </c>
      <c r="B247" s="1" t="s">
        <v>916</v>
      </c>
      <c r="C247" s="1" t="s">
        <v>21</v>
      </c>
      <c r="D247" s="4" t="s">
        <v>917</v>
      </c>
      <c r="E247" s="1" t="s">
        <v>750</v>
      </c>
      <c r="F247" s="1" t="s">
        <v>864</v>
      </c>
      <c r="G247" s="1" t="s">
        <v>71</v>
      </c>
      <c r="H247" s="1" t="s">
        <v>918</v>
      </c>
      <c r="I247" s="1" t="str">
        <f t="shared" si="1"/>
        <v>29</v>
      </c>
      <c r="J247" s="5"/>
      <c r="K247" s="1" t="str">
        <f t="shared" si="2"/>
        <v>1</v>
      </c>
      <c r="L247" s="5"/>
      <c r="M247" s="2" t="str">
        <f t="shared" si="3"/>
        <v>1385</v>
      </c>
      <c r="N247" s="5"/>
      <c r="O247" s="2" t="s">
        <v>919</v>
      </c>
      <c r="P247" s="5"/>
      <c r="Q247" s="5"/>
      <c r="R247" s="6" t="s">
        <v>918</v>
      </c>
      <c r="S247" s="5"/>
      <c r="T247" s="1" t="str">
        <f>IFERROR(__xludf.DUMMYFUNCTION("INDEX(SPLIT(A247, ""/""), 2)"),"تشکل‌های اسلامی و سیاسی")</f>
        <v>تشکل‌های اسلامی و سیاسی</v>
      </c>
      <c r="U247" s="1" t="str">
        <f>IFERROR(__xludf.DUMMYFUNCTION("INDEX(SPLIT(A247, ""/""), 3)"),"انجمن اسلامی دانشجویان")</f>
        <v>انجمن اسلامی دانشجویان</v>
      </c>
      <c r="V247" s="1" t="str">
        <f>IFERROR(__xludf.DUMMYFUNCTION("INDEX(SPLIT(A247, ""/""), 4)"),"خبرنامه")</f>
        <v>خبرنامه</v>
      </c>
    </row>
    <row r="248">
      <c r="A248" s="1" t="s">
        <v>831</v>
      </c>
      <c r="B248" s="1" t="s">
        <v>920</v>
      </c>
      <c r="C248" s="1" t="s">
        <v>21</v>
      </c>
      <c r="D248" s="4" t="s">
        <v>921</v>
      </c>
      <c r="E248" s="1" t="s">
        <v>750</v>
      </c>
      <c r="F248" s="1" t="s">
        <v>922</v>
      </c>
      <c r="G248" s="1" t="s">
        <v>71</v>
      </c>
      <c r="H248" s="1" t="s">
        <v>82</v>
      </c>
      <c r="I248" s="1" t="str">
        <f t="shared" si="1"/>
        <v>x</v>
      </c>
      <c r="J248" s="5"/>
      <c r="K248" s="1" t="str">
        <f t="shared" si="2"/>
        <v>2</v>
      </c>
      <c r="L248" s="5"/>
      <c r="M248" s="2" t="str">
        <f t="shared" si="3"/>
        <v>1385</v>
      </c>
      <c r="N248" s="5"/>
      <c r="O248" s="2">
        <v>41.0</v>
      </c>
      <c r="P248" s="5"/>
      <c r="Q248" s="5"/>
      <c r="R248" s="6" t="s">
        <v>83</v>
      </c>
      <c r="S248" s="5"/>
      <c r="T248" s="1" t="str">
        <f>IFERROR(__xludf.DUMMYFUNCTION("INDEX(SPLIT(A248, ""/""), 2)"),"تشکل‌های اسلامی و سیاسی")</f>
        <v>تشکل‌های اسلامی و سیاسی</v>
      </c>
      <c r="U248" s="1" t="str">
        <f>IFERROR(__xludf.DUMMYFUNCTION("INDEX(SPLIT(A248, ""/""), 3)"),"انجمن اسلامی دانشجویان")</f>
        <v>انجمن اسلامی دانشجویان</v>
      </c>
      <c r="V248" s="1" t="str">
        <f>IFERROR(__xludf.DUMMYFUNCTION("INDEX(SPLIT(A248, ""/""), 4)"),"خبرنامه")</f>
        <v>خبرنامه</v>
      </c>
    </row>
    <row r="249">
      <c r="A249" s="1" t="s">
        <v>831</v>
      </c>
      <c r="B249" s="1" t="s">
        <v>923</v>
      </c>
      <c r="C249" s="1" t="s">
        <v>21</v>
      </c>
      <c r="D249" s="4" t="s">
        <v>924</v>
      </c>
      <c r="E249" s="1" t="s">
        <v>750</v>
      </c>
      <c r="F249" s="1" t="s">
        <v>922</v>
      </c>
      <c r="G249" s="1" t="s">
        <v>71</v>
      </c>
      <c r="H249" s="7" t="s">
        <v>925</v>
      </c>
      <c r="I249" s="1" t="str">
        <f t="shared" si="1"/>
        <v>10</v>
      </c>
      <c r="J249" s="5"/>
      <c r="K249" s="1" t="str">
        <f t="shared" si="2"/>
        <v>2</v>
      </c>
      <c r="L249" s="5"/>
      <c r="M249" s="2" t="str">
        <f t="shared" si="3"/>
        <v>1385</v>
      </c>
      <c r="N249" s="5"/>
      <c r="O249" s="2">
        <v>42.0</v>
      </c>
      <c r="P249" s="5"/>
      <c r="Q249" s="5"/>
      <c r="R249" s="8" t="s">
        <v>925</v>
      </c>
      <c r="S249" s="5"/>
      <c r="T249" s="1" t="str">
        <f>IFERROR(__xludf.DUMMYFUNCTION("INDEX(SPLIT(A249, ""/""), 2)"),"تشکل‌های اسلامی و سیاسی")</f>
        <v>تشکل‌های اسلامی و سیاسی</v>
      </c>
      <c r="U249" s="1" t="str">
        <f>IFERROR(__xludf.DUMMYFUNCTION("INDEX(SPLIT(A249, ""/""), 3)"),"انجمن اسلامی دانشجویان")</f>
        <v>انجمن اسلامی دانشجویان</v>
      </c>
      <c r="V249" s="1" t="str">
        <f>IFERROR(__xludf.DUMMYFUNCTION("INDEX(SPLIT(A249, ""/""), 4)"),"خبرنامه")</f>
        <v>خبرنامه</v>
      </c>
    </row>
    <row r="250">
      <c r="A250" s="1" t="s">
        <v>831</v>
      </c>
      <c r="B250" s="1" t="s">
        <v>926</v>
      </c>
      <c r="C250" s="1" t="s">
        <v>21</v>
      </c>
      <c r="D250" s="4" t="s">
        <v>927</v>
      </c>
      <c r="E250" s="1" t="s">
        <v>750</v>
      </c>
      <c r="F250" s="1" t="s">
        <v>864</v>
      </c>
      <c r="G250" s="1" t="s">
        <v>71</v>
      </c>
      <c r="H250" s="1" t="s">
        <v>82</v>
      </c>
      <c r="I250" s="1" t="str">
        <f t="shared" si="1"/>
        <v>x</v>
      </c>
      <c r="J250" s="5"/>
      <c r="K250" s="1" t="str">
        <f t="shared" si="2"/>
        <v>2</v>
      </c>
      <c r="L250" s="5"/>
      <c r="M250" s="2" t="str">
        <f t="shared" si="3"/>
        <v>1385</v>
      </c>
      <c r="N250" s="5"/>
      <c r="O250" s="2">
        <v>43.0</v>
      </c>
      <c r="P250" s="5"/>
      <c r="Q250" s="5"/>
      <c r="R250" s="6" t="s">
        <v>83</v>
      </c>
      <c r="S250" s="5"/>
      <c r="T250" s="1" t="str">
        <f>IFERROR(__xludf.DUMMYFUNCTION("INDEX(SPLIT(A250, ""/""), 2)"),"تشکل‌های اسلامی و سیاسی")</f>
        <v>تشکل‌های اسلامی و سیاسی</v>
      </c>
      <c r="U250" s="1" t="str">
        <f>IFERROR(__xludf.DUMMYFUNCTION("INDEX(SPLIT(A250, ""/""), 3)"),"انجمن اسلامی دانشجویان")</f>
        <v>انجمن اسلامی دانشجویان</v>
      </c>
      <c r="V250" s="1" t="str">
        <f>IFERROR(__xludf.DUMMYFUNCTION("INDEX(SPLIT(A250, ""/""), 4)"),"خبرنامه")</f>
        <v>خبرنامه</v>
      </c>
    </row>
    <row r="251">
      <c r="A251" s="1" t="s">
        <v>831</v>
      </c>
      <c r="B251" s="1" t="s">
        <v>928</v>
      </c>
      <c r="C251" s="1" t="s">
        <v>21</v>
      </c>
      <c r="D251" s="4" t="s">
        <v>929</v>
      </c>
      <c r="E251" s="1" t="s">
        <v>750</v>
      </c>
      <c r="F251" s="1" t="s">
        <v>864</v>
      </c>
      <c r="G251" s="1" t="s">
        <v>71</v>
      </c>
      <c r="H251" s="1" t="s">
        <v>930</v>
      </c>
      <c r="I251" s="1" t="str">
        <f t="shared" si="1"/>
        <v>31</v>
      </c>
      <c r="J251" s="5"/>
      <c r="K251" s="1" t="str">
        <f t="shared" si="2"/>
        <v>2</v>
      </c>
      <c r="L251" s="5"/>
      <c r="M251" s="2" t="str">
        <f t="shared" si="3"/>
        <v>1385</v>
      </c>
      <c r="N251" s="5"/>
      <c r="O251" s="2">
        <v>44.0</v>
      </c>
      <c r="P251" s="5"/>
      <c r="Q251" s="5"/>
      <c r="R251" s="6" t="s">
        <v>930</v>
      </c>
      <c r="S251" s="5"/>
      <c r="T251" s="1" t="str">
        <f>IFERROR(__xludf.DUMMYFUNCTION("INDEX(SPLIT(A251, ""/""), 2)"),"تشکل‌های اسلامی و سیاسی")</f>
        <v>تشکل‌های اسلامی و سیاسی</v>
      </c>
      <c r="U251" s="1" t="str">
        <f>IFERROR(__xludf.DUMMYFUNCTION("INDEX(SPLIT(A251, ""/""), 3)"),"انجمن اسلامی دانشجویان")</f>
        <v>انجمن اسلامی دانشجویان</v>
      </c>
      <c r="V251" s="1" t="str">
        <f>IFERROR(__xludf.DUMMYFUNCTION("INDEX(SPLIT(A251, ""/""), 4)"),"خبرنامه")</f>
        <v>خبرنامه</v>
      </c>
    </row>
    <row r="252">
      <c r="A252" s="1" t="s">
        <v>831</v>
      </c>
      <c r="B252" s="1" t="s">
        <v>931</v>
      </c>
      <c r="C252" s="1" t="s">
        <v>21</v>
      </c>
      <c r="D252" s="4" t="s">
        <v>932</v>
      </c>
      <c r="E252" s="1" t="s">
        <v>750</v>
      </c>
      <c r="F252" s="1" t="s">
        <v>864</v>
      </c>
      <c r="G252" s="1" t="s">
        <v>71</v>
      </c>
      <c r="H252" s="7" t="s">
        <v>933</v>
      </c>
      <c r="I252" s="1" t="str">
        <f t="shared" si="1"/>
        <v>6</v>
      </c>
      <c r="J252" s="5"/>
      <c r="K252" s="1" t="str">
        <f t="shared" si="2"/>
        <v>3</v>
      </c>
      <c r="L252" s="5"/>
      <c r="M252" s="2" t="str">
        <f t="shared" si="3"/>
        <v>1385</v>
      </c>
      <c r="N252" s="5"/>
      <c r="O252" s="2">
        <v>45.0</v>
      </c>
      <c r="P252" s="5"/>
      <c r="Q252" s="5"/>
      <c r="R252" s="8" t="s">
        <v>933</v>
      </c>
      <c r="S252" s="5"/>
      <c r="T252" s="1" t="str">
        <f>IFERROR(__xludf.DUMMYFUNCTION("INDEX(SPLIT(A252, ""/""), 2)"),"تشکل‌های اسلامی و سیاسی")</f>
        <v>تشکل‌های اسلامی و سیاسی</v>
      </c>
      <c r="U252" s="1" t="str">
        <f>IFERROR(__xludf.DUMMYFUNCTION("INDEX(SPLIT(A252, ""/""), 3)"),"انجمن اسلامی دانشجویان")</f>
        <v>انجمن اسلامی دانشجویان</v>
      </c>
      <c r="V252" s="1" t="str">
        <f>IFERROR(__xludf.DUMMYFUNCTION("INDEX(SPLIT(A252, ""/""), 4)"),"خبرنامه")</f>
        <v>خبرنامه</v>
      </c>
    </row>
    <row r="253">
      <c r="A253" s="1" t="s">
        <v>831</v>
      </c>
      <c r="B253" s="1" t="s">
        <v>934</v>
      </c>
      <c r="C253" s="1" t="s">
        <v>21</v>
      </c>
      <c r="D253" s="4" t="s">
        <v>935</v>
      </c>
      <c r="E253" s="1" t="s">
        <v>750</v>
      </c>
      <c r="F253" s="1" t="s">
        <v>864</v>
      </c>
      <c r="G253" s="1" t="s">
        <v>71</v>
      </c>
      <c r="H253" s="7" t="s">
        <v>936</v>
      </c>
      <c r="I253" s="1" t="str">
        <f t="shared" si="1"/>
        <v>9</v>
      </c>
      <c r="J253" s="5"/>
      <c r="K253" s="1" t="str">
        <f t="shared" si="2"/>
        <v>7</v>
      </c>
      <c r="L253" s="5"/>
      <c r="M253" s="2" t="str">
        <f t="shared" si="3"/>
        <v>1385</v>
      </c>
      <c r="N253" s="5"/>
      <c r="O253" s="2">
        <v>46.0</v>
      </c>
      <c r="P253" s="5"/>
      <c r="Q253" s="5"/>
      <c r="R253" s="8" t="s">
        <v>936</v>
      </c>
      <c r="S253" s="5"/>
      <c r="T253" s="1" t="str">
        <f>IFERROR(__xludf.DUMMYFUNCTION("INDEX(SPLIT(A253, ""/""), 2)"),"تشکل‌های اسلامی و سیاسی")</f>
        <v>تشکل‌های اسلامی و سیاسی</v>
      </c>
      <c r="U253" s="1" t="str">
        <f>IFERROR(__xludf.DUMMYFUNCTION("INDEX(SPLIT(A253, ""/""), 3)"),"انجمن اسلامی دانشجویان")</f>
        <v>انجمن اسلامی دانشجویان</v>
      </c>
      <c r="V253" s="1" t="str">
        <f>IFERROR(__xludf.DUMMYFUNCTION("INDEX(SPLIT(A253, ""/""), 4)"),"خبرنامه")</f>
        <v>خبرنامه</v>
      </c>
    </row>
    <row r="254">
      <c r="A254" s="1" t="s">
        <v>831</v>
      </c>
      <c r="B254" s="1" t="s">
        <v>937</v>
      </c>
      <c r="C254" s="1" t="s">
        <v>21</v>
      </c>
      <c r="D254" s="4" t="s">
        <v>938</v>
      </c>
      <c r="E254" s="1" t="s">
        <v>750</v>
      </c>
      <c r="F254" s="1" t="s">
        <v>939</v>
      </c>
      <c r="G254" s="1" t="s">
        <v>71</v>
      </c>
      <c r="H254" s="1" t="s">
        <v>940</v>
      </c>
      <c r="I254" s="1" t="str">
        <f t="shared" si="1"/>
        <v>16</v>
      </c>
      <c r="J254" s="5"/>
      <c r="K254" s="1" t="str">
        <f t="shared" si="2"/>
        <v>7</v>
      </c>
      <c r="L254" s="5"/>
      <c r="M254" s="2" t="str">
        <f t="shared" si="3"/>
        <v>1385</v>
      </c>
      <c r="N254" s="5"/>
      <c r="O254" s="2">
        <v>47.0</v>
      </c>
      <c r="P254" s="5"/>
      <c r="Q254" s="5"/>
      <c r="R254" s="6" t="s">
        <v>940</v>
      </c>
      <c r="S254" s="5"/>
      <c r="T254" s="1" t="str">
        <f>IFERROR(__xludf.DUMMYFUNCTION("INDEX(SPLIT(A254, ""/""), 2)"),"تشکل‌های اسلامی و سیاسی")</f>
        <v>تشکل‌های اسلامی و سیاسی</v>
      </c>
      <c r="U254" s="1" t="str">
        <f>IFERROR(__xludf.DUMMYFUNCTION("INDEX(SPLIT(A254, ""/""), 3)"),"انجمن اسلامی دانشجویان")</f>
        <v>انجمن اسلامی دانشجویان</v>
      </c>
      <c r="V254" s="1" t="str">
        <f>IFERROR(__xludf.DUMMYFUNCTION("INDEX(SPLIT(A254, ""/""), 4)"),"خبرنامه")</f>
        <v>خبرنامه</v>
      </c>
    </row>
    <row r="255">
      <c r="A255" s="1" t="s">
        <v>831</v>
      </c>
      <c r="B255" s="1" t="s">
        <v>941</v>
      </c>
      <c r="C255" s="1" t="s">
        <v>21</v>
      </c>
      <c r="D255" s="4" t="s">
        <v>942</v>
      </c>
      <c r="E255" s="1" t="s">
        <v>750</v>
      </c>
      <c r="F255" s="1" t="s">
        <v>939</v>
      </c>
      <c r="G255" s="1" t="s">
        <v>71</v>
      </c>
      <c r="H255" s="1" t="s">
        <v>943</v>
      </c>
      <c r="I255" s="1" t="str">
        <f t="shared" si="1"/>
        <v>25</v>
      </c>
      <c r="J255" s="5"/>
      <c r="K255" s="1" t="str">
        <f t="shared" si="2"/>
        <v>7</v>
      </c>
      <c r="L255" s="5"/>
      <c r="M255" s="2" t="str">
        <f t="shared" si="3"/>
        <v>1385</v>
      </c>
      <c r="N255" s="5"/>
      <c r="O255" s="2">
        <v>48.0</v>
      </c>
      <c r="P255" s="5"/>
      <c r="Q255" s="5"/>
      <c r="R255" s="6" t="s">
        <v>943</v>
      </c>
      <c r="S255" s="5"/>
      <c r="T255" s="1" t="str">
        <f>IFERROR(__xludf.DUMMYFUNCTION("INDEX(SPLIT(A255, ""/""), 2)"),"تشکل‌های اسلامی و سیاسی")</f>
        <v>تشکل‌های اسلامی و سیاسی</v>
      </c>
      <c r="U255" s="1" t="str">
        <f>IFERROR(__xludf.DUMMYFUNCTION("INDEX(SPLIT(A255, ""/""), 3)"),"انجمن اسلامی دانشجویان")</f>
        <v>انجمن اسلامی دانشجویان</v>
      </c>
      <c r="V255" s="1" t="str">
        <f>IFERROR(__xludf.DUMMYFUNCTION("INDEX(SPLIT(A255, ""/""), 4)"),"خبرنامه")</f>
        <v>خبرنامه</v>
      </c>
    </row>
    <row r="256">
      <c r="A256" s="1" t="s">
        <v>831</v>
      </c>
      <c r="B256" s="1" t="s">
        <v>944</v>
      </c>
      <c r="C256" s="1" t="s">
        <v>21</v>
      </c>
      <c r="D256" s="4" t="s">
        <v>945</v>
      </c>
      <c r="E256" s="1" t="s">
        <v>750</v>
      </c>
      <c r="F256" s="1" t="s">
        <v>939</v>
      </c>
      <c r="G256" s="1" t="s">
        <v>71</v>
      </c>
      <c r="H256" s="7" t="s">
        <v>946</v>
      </c>
      <c r="I256" s="1" t="str">
        <f t="shared" si="1"/>
        <v>1</v>
      </c>
      <c r="J256" s="5"/>
      <c r="K256" s="1" t="str">
        <f t="shared" si="2"/>
        <v>8</v>
      </c>
      <c r="L256" s="5"/>
      <c r="M256" s="2" t="str">
        <f t="shared" si="3"/>
        <v>1385</v>
      </c>
      <c r="N256" s="5"/>
      <c r="O256" s="2">
        <v>49.0</v>
      </c>
      <c r="P256" s="5"/>
      <c r="Q256" s="5"/>
      <c r="R256" s="8" t="s">
        <v>946</v>
      </c>
      <c r="S256" s="5"/>
      <c r="T256" s="1" t="str">
        <f>IFERROR(__xludf.DUMMYFUNCTION("INDEX(SPLIT(A256, ""/""), 2)"),"تشکل‌های اسلامی و سیاسی")</f>
        <v>تشکل‌های اسلامی و سیاسی</v>
      </c>
      <c r="U256" s="1" t="str">
        <f>IFERROR(__xludf.DUMMYFUNCTION("INDEX(SPLIT(A256, ""/""), 3)"),"انجمن اسلامی دانشجویان")</f>
        <v>انجمن اسلامی دانشجویان</v>
      </c>
      <c r="V256" s="1" t="str">
        <f>IFERROR(__xludf.DUMMYFUNCTION("INDEX(SPLIT(A256, ""/""), 4)"),"خبرنامه")</f>
        <v>خبرنامه</v>
      </c>
    </row>
    <row r="257">
      <c r="A257" s="1" t="s">
        <v>831</v>
      </c>
      <c r="B257" s="1" t="s">
        <v>947</v>
      </c>
      <c r="C257" s="1" t="s">
        <v>21</v>
      </c>
      <c r="D257" s="4" t="s">
        <v>948</v>
      </c>
      <c r="E257" s="1" t="s">
        <v>750</v>
      </c>
      <c r="F257" s="1" t="s">
        <v>939</v>
      </c>
      <c r="G257" s="1" t="s">
        <v>71</v>
      </c>
      <c r="H257" s="7" t="s">
        <v>949</v>
      </c>
      <c r="I257" s="1" t="str">
        <f t="shared" si="1"/>
        <v>7</v>
      </c>
      <c r="J257" s="5"/>
      <c r="K257" s="1" t="str">
        <f t="shared" si="2"/>
        <v>8</v>
      </c>
      <c r="L257" s="5"/>
      <c r="M257" s="2" t="str">
        <f t="shared" si="3"/>
        <v>1385</v>
      </c>
      <c r="N257" s="5"/>
      <c r="O257" s="2">
        <v>50.0</v>
      </c>
      <c r="P257" s="5"/>
      <c r="Q257" s="5"/>
      <c r="R257" s="8" t="s">
        <v>949</v>
      </c>
      <c r="S257" s="5"/>
      <c r="T257" s="1" t="str">
        <f>IFERROR(__xludf.DUMMYFUNCTION("INDEX(SPLIT(A257, ""/""), 2)"),"تشکل‌های اسلامی و سیاسی")</f>
        <v>تشکل‌های اسلامی و سیاسی</v>
      </c>
      <c r="U257" s="1" t="str">
        <f>IFERROR(__xludf.DUMMYFUNCTION("INDEX(SPLIT(A257, ""/""), 3)"),"انجمن اسلامی دانشجویان")</f>
        <v>انجمن اسلامی دانشجویان</v>
      </c>
      <c r="V257" s="1" t="str">
        <f>IFERROR(__xludf.DUMMYFUNCTION("INDEX(SPLIT(A257, ""/""), 4)"),"خبرنامه")</f>
        <v>خبرنامه</v>
      </c>
    </row>
    <row r="258">
      <c r="A258" s="1" t="s">
        <v>831</v>
      </c>
      <c r="B258" s="1" t="s">
        <v>950</v>
      </c>
      <c r="C258" s="1" t="s">
        <v>21</v>
      </c>
      <c r="D258" s="4" t="s">
        <v>951</v>
      </c>
      <c r="E258" s="1" t="s">
        <v>750</v>
      </c>
      <c r="F258" s="1" t="s">
        <v>939</v>
      </c>
      <c r="G258" s="1" t="s">
        <v>71</v>
      </c>
      <c r="H258" s="1" t="s">
        <v>952</v>
      </c>
      <c r="I258" s="1" t="str">
        <f t="shared" si="1"/>
        <v>22</v>
      </c>
      <c r="J258" s="5"/>
      <c r="K258" s="1" t="str">
        <f t="shared" si="2"/>
        <v>8</v>
      </c>
      <c r="L258" s="5"/>
      <c r="M258" s="2" t="str">
        <f t="shared" si="3"/>
        <v>1385</v>
      </c>
      <c r="N258" s="5"/>
      <c r="O258" s="2">
        <v>51.0</v>
      </c>
      <c r="P258" s="5"/>
      <c r="Q258" s="5"/>
      <c r="R258" s="6" t="s">
        <v>952</v>
      </c>
      <c r="S258" s="5"/>
      <c r="T258" s="1" t="str">
        <f>IFERROR(__xludf.DUMMYFUNCTION("INDEX(SPLIT(A258, ""/""), 2)"),"تشکل‌های اسلامی و سیاسی")</f>
        <v>تشکل‌های اسلامی و سیاسی</v>
      </c>
      <c r="U258" s="1" t="str">
        <f>IFERROR(__xludf.DUMMYFUNCTION("INDEX(SPLIT(A258, ""/""), 3)"),"انجمن اسلامی دانشجویان")</f>
        <v>انجمن اسلامی دانشجویان</v>
      </c>
      <c r="V258" s="1" t="str">
        <f>IFERROR(__xludf.DUMMYFUNCTION("INDEX(SPLIT(A258, ""/""), 4)"),"خبرنامه")</f>
        <v>خبرنامه</v>
      </c>
    </row>
    <row r="259">
      <c r="A259" s="1" t="s">
        <v>831</v>
      </c>
      <c r="B259" s="1" t="s">
        <v>953</v>
      </c>
      <c r="C259" s="1" t="s">
        <v>21</v>
      </c>
      <c r="D259" s="4" t="s">
        <v>954</v>
      </c>
      <c r="E259" s="1" t="s">
        <v>750</v>
      </c>
      <c r="F259" s="1" t="s">
        <v>939</v>
      </c>
      <c r="G259" s="1" t="s">
        <v>71</v>
      </c>
      <c r="H259" s="7" t="s">
        <v>955</v>
      </c>
      <c r="I259" s="1" t="str">
        <f t="shared" si="1"/>
        <v>1</v>
      </c>
      <c r="J259" s="5"/>
      <c r="K259" s="1" t="str">
        <f t="shared" si="2"/>
        <v>9</v>
      </c>
      <c r="L259" s="5"/>
      <c r="M259" s="2" t="str">
        <f t="shared" si="3"/>
        <v>1385</v>
      </c>
      <c r="N259" s="5"/>
      <c r="O259" s="2">
        <v>52.0</v>
      </c>
      <c r="P259" s="5"/>
      <c r="Q259" s="5"/>
      <c r="R259" s="8" t="s">
        <v>955</v>
      </c>
      <c r="S259" s="5"/>
      <c r="T259" s="1" t="str">
        <f>IFERROR(__xludf.DUMMYFUNCTION("INDEX(SPLIT(A259, ""/""), 2)"),"تشکل‌های اسلامی و سیاسی")</f>
        <v>تشکل‌های اسلامی و سیاسی</v>
      </c>
      <c r="U259" s="1" t="str">
        <f>IFERROR(__xludf.DUMMYFUNCTION("INDEX(SPLIT(A259, ""/""), 3)"),"انجمن اسلامی دانشجویان")</f>
        <v>انجمن اسلامی دانشجویان</v>
      </c>
      <c r="V259" s="1" t="str">
        <f>IFERROR(__xludf.DUMMYFUNCTION("INDEX(SPLIT(A259, ""/""), 4)"),"خبرنامه")</f>
        <v>خبرنامه</v>
      </c>
    </row>
    <row r="260">
      <c r="A260" s="1" t="s">
        <v>831</v>
      </c>
      <c r="B260" s="1" t="s">
        <v>956</v>
      </c>
      <c r="C260" s="1" t="s">
        <v>21</v>
      </c>
      <c r="D260" s="4" t="s">
        <v>957</v>
      </c>
      <c r="E260" s="1" t="s">
        <v>750</v>
      </c>
      <c r="F260" s="1" t="s">
        <v>939</v>
      </c>
      <c r="G260" s="1" t="s">
        <v>71</v>
      </c>
      <c r="H260" s="7" t="s">
        <v>958</v>
      </c>
      <c r="I260" s="1" t="str">
        <f t="shared" si="1"/>
        <v>6</v>
      </c>
      <c r="J260" s="5"/>
      <c r="K260" s="1" t="str">
        <f t="shared" si="2"/>
        <v>9</v>
      </c>
      <c r="L260" s="5"/>
      <c r="M260" s="2" t="str">
        <f t="shared" si="3"/>
        <v>1385</v>
      </c>
      <c r="N260" s="5"/>
      <c r="O260" s="2">
        <v>53.0</v>
      </c>
      <c r="P260" s="5"/>
      <c r="Q260" s="5"/>
      <c r="R260" s="8" t="s">
        <v>958</v>
      </c>
      <c r="S260" s="5"/>
      <c r="T260" s="1" t="str">
        <f>IFERROR(__xludf.DUMMYFUNCTION("INDEX(SPLIT(A260, ""/""), 2)"),"تشکل‌های اسلامی و سیاسی")</f>
        <v>تشکل‌های اسلامی و سیاسی</v>
      </c>
      <c r="U260" s="1" t="str">
        <f>IFERROR(__xludf.DUMMYFUNCTION("INDEX(SPLIT(A260, ""/""), 3)"),"انجمن اسلامی دانشجویان")</f>
        <v>انجمن اسلامی دانشجویان</v>
      </c>
      <c r="V260" s="1" t="str">
        <f>IFERROR(__xludf.DUMMYFUNCTION("INDEX(SPLIT(A260, ""/""), 4)"),"خبرنامه")</f>
        <v>خبرنامه</v>
      </c>
    </row>
    <row r="261">
      <c r="A261" s="1" t="s">
        <v>831</v>
      </c>
      <c r="B261" s="1" t="s">
        <v>959</v>
      </c>
      <c r="C261" s="1" t="s">
        <v>21</v>
      </c>
      <c r="D261" s="4" t="s">
        <v>960</v>
      </c>
      <c r="E261" s="1" t="s">
        <v>750</v>
      </c>
      <c r="F261" s="1" t="s">
        <v>939</v>
      </c>
      <c r="G261" s="1" t="s">
        <v>71</v>
      </c>
      <c r="H261" s="1" t="s">
        <v>961</v>
      </c>
      <c r="I261" s="1" t="str">
        <f t="shared" si="1"/>
        <v>14</v>
      </c>
      <c r="J261" s="5"/>
      <c r="K261" s="1" t="str">
        <f t="shared" si="2"/>
        <v>9</v>
      </c>
      <c r="L261" s="5"/>
      <c r="M261" s="2" t="str">
        <f t="shared" si="3"/>
        <v>1385</v>
      </c>
      <c r="N261" s="5"/>
      <c r="O261" s="2">
        <v>54.0</v>
      </c>
      <c r="P261" s="5"/>
      <c r="Q261" s="5"/>
      <c r="R261" s="6" t="s">
        <v>961</v>
      </c>
      <c r="S261" s="5"/>
      <c r="T261" s="1" t="str">
        <f>IFERROR(__xludf.DUMMYFUNCTION("INDEX(SPLIT(A261, ""/""), 2)"),"تشکل‌های اسلامی و سیاسی")</f>
        <v>تشکل‌های اسلامی و سیاسی</v>
      </c>
      <c r="U261" s="1" t="str">
        <f>IFERROR(__xludf.DUMMYFUNCTION("INDEX(SPLIT(A261, ""/""), 3)"),"انجمن اسلامی دانشجویان")</f>
        <v>انجمن اسلامی دانشجویان</v>
      </c>
      <c r="V261" s="1" t="str">
        <f>IFERROR(__xludf.DUMMYFUNCTION("INDEX(SPLIT(A261, ""/""), 4)"),"خبرنامه")</f>
        <v>خبرنامه</v>
      </c>
    </row>
    <row r="262">
      <c r="A262" s="1" t="s">
        <v>831</v>
      </c>
      <c r="B262" s="1" t="s">
        <v>962</v>
      </c>
      <c r="C262" s="1" t="s">
        <v>21</v>
      </c>
      <c r="D262" s="4" t="s">
        <v>963</v>
      </c>
      <c r="E262" s="1" t="s">
        <v>750</v>
      </c>
      <c r="F262" s="1" t="s">
        <v>939</v>
      </c>
      <c r="G262" s="1" t="s">
        <v>71</v>
      </c>
      <c r="H262" s="1" t="s">
        <v>964</v>
      </c>
      <c r="I262" s="1" t="str">
        <f t="shared" si="1"/>
        <v>20</v>
      </c>
      <c r="J262" s="5"/>
      <c r="K262" s="1" t="str">
        <f t="shared" si="2"/>
        <v>9</v>
      </c>
      <c r="L262" s="5"/>
      <c r="M262" s="2" t="str">
        <f t="shared" si="3"/>
        <v>1385</v>
      </c>
      <c r="N262" s="5"/>
      <c r="O262" s="2">
        <v>55.0</v>
      </c>
      <c r="P262" s="5"/>
      <c r="Q262" s="5"/>
      <c r="R262" s="6" t="s">
        <v>964</v>
      </c>
      <c r="S262" s="5"/>
      <c r="T262" s="1" t="str">
        <f>IFERROR(__xludf.DUMMYFUNCTION("INDEX(SPLIT(A262, ""/""), 2)"),"تشکل‌های اسلامی و سیاسی")</f>
        <v>تشکل‌های اسلامی و سیاسی</v>
      </c>
      <c r="U262" s="1" t="str">
        <f>IFERROR(__xludf.DUMMYFUNCTION("INDEX(SPLIT(A262, ""/""), 3)"),"انجمن اسلامی دانشجویان")</f>
        <v>انجمن اسلامی دانشجویان</v>
      </c>
      <c r="V262" s="1" t="str">
        <f>IFERROR(__xludf.DUMMYFUNCTION("INDEX(SPLIT(A262, ""/""), 4)"),"خبرنامه")</f>
        <v>خبرنامه</v>
      </c>
    </row>
    <row r="263">
      <c r="A263" s="1" t="s">
        <v>831</v>
      </c>
      <c r="B263" s="1" t="s">
        <v>965</v>
      </c>
      <c r="C263" s="1" t="s">
        <v>21</v>
      </c>
      <c r="D263" s="4" t="s">
        <v>966</v>
      </c>
      <c r="E263" s="1" t="s">
        <v>750</v>
      </c>
      <c r="F263" s="1" t="s">
        <v>939</v>
      </c>
      <c r="G263" s="1" t="s">
        <v>71</v>
      </c>
      <c r="H263" s="1" t="s">
        <v>967</v>
      </c>
      <c r="I263" s="1" t="str">
        <f t="shared" si="1"/>
        <v>27</v>
      </c>
      <c r="J263" s="5"/>
      <c r="K263" s="1" t="str">
        <f t="shared" si="2"/>
        <v>9</v>
      </c>
      <c r="L263" s="5"/>
      <c r="M263" s="2" t="str">
        <f t="shared" si="3"/>
        <v>1385</v>
      </c>
      <c r="N263" s="5"/>
      <c r="O263" s="2">
        <v>56.0</v>
      </c>
      <c r="P263" s="5"/>
      <c r="Q263" s="5"/>
      <c r="R263" s="6" t="s">
        <v>967</v>
      </c>
      <c r="S263" s="5"/>
      <c r="T263" s="1" t="str">
        <f>IFERROR(__xludf.DUMMYFUNCTION("INDEX(SPLIT(A263, ""/""), 2)"),"تشکل‌های اسلامی و سیاسی")</f>
        <v>تشکل‌های اسلامی و سیاسی</v>
      </c>
      <c r="U263" s="1" t="str">
        <f>IFERROR(__xludf.DUMMYFUNCTION("INDEX(SPLIT(A263, ""/""), 3)"),"انجمن اسلامی دانشجویان")</f>
        <v>انجمن اسلامی دانشجویان</v>
      </c>
      <c r="V263" s="1" t="str">
        <f>IFERROR(__xludf.DUMMYFUNCTION("INDEX(SPLIT(A263, ""/""), 4)"),"خبرنامه")</f>
        <v>خبرنامه</v>
      </c>
    </row>
    <row r="264">
      <c r="A264" s="1" t="s">
        <v>831</v>
      </c>
      <c r="B264" s="1" t="s">
        <v>968</v>
      </c>
      <c r="C264" s="1" t="s">
        <v>21</v>
      </c>
      <c r="D264" s="4" t="s">
        <v>969</v>
      </c>
      <c r="E264" s="1" t="s">
        <v>750</v>
      </c>
      <c r="F264" s="1" t="s">
        <v>939</v>
      </c>
      <c r="G264" s="1" t="s">
        <v>71</v>
      </c>
      <c r="H264" s="7" t="s">
        <v>970</v>
      </c>
      <c r="I264" s="1" t="str">
        <f t="shared" si="1"/>
        <v>4</v>
      </c>
      <c r="J264" s="5"/>
      <c r="K264" s="1" t="str">
        <f t="shared" si="2"/>
        <v>10</v>
      </c>
      <c r="L264" s="5"/>
      <c r="M264" s="2" t="str">
        <f t="shared" si="3"/>
        <v>1385</v>
      </c>
      <c r="N264" s="5"/>
      <c r="O264" s="2">
        <v>57.0</v>
      </c>
      <c r="P264" s="5"/>
      <c r="Q264" s="5"/>
      <c r="R264" s="8" t="s">
        <v>970</v>
      </c>
      <c r="S264" s="5"/>
      <c r="T264" s="1" t="str">
        <f>IFERROR(__xludf.DUMMYFUNCTION("INDEX(SPLIT(A264, ""/""), 2)"),"تشکل‌های اسلامی و سیاسی")</f>
        <v>تشکل‌های اسلامی و سیاسی</v>
      </c>
      <c r="U264" s="1" t="str">
        <f>IFERROR(__xludf.DUMMYFUNCTION("INDEX(SPLIT(A264, ""/""), 3)"),"انجمن اسلامی دانشجویان")</f>
        <v>انجمن اسلامی دانشجویان</v>
      </c>
      <c r="V264" s="1" t="str">
        <f>IFERROR(__xludf.DUMMYFUNCTION("INDEX(SPLIT(A264, ""/""), 4)"),"خبرنامه")</f>
        <v>خبرنامه</v>
      </c>
    </row>
    <row r="265">
      <c r="A265" s="1" t="s">
        <v>831</v>
      </c>
      <c r="B265" s="1" t="s">
        <v>971</v>
      </c>
      <c r="C265" s="1" t="s">
        <v>21</v>
      </c>
      <c r="D265" s="4" t="s">
        <v>972</v>
      </c>
      <c r="E265" s="1" t="s">
        <v>750</v>
      </c>
      <c r="F265" s="1" t="s">
        <v>939</v>
      </c>
      <c r="G265" s="1" t="s">
        <v>71</v>
      </c>
      <c r="H265" s="1" t="s">
        <v>973</v>
      </c>
      <c r="I265" s="1" t="str">
        <f t="shared" si="1"/>
        <v>29</v>
      </c>
      <c r="J265" s="5"/>
      <c r="K265" s="1" t="str">
        <f t="shared" si="2"/>
        <v>11</v>
      </c>
      <c r="L265" s="5"/>
      <c r="M265" s="2" t="str">
        <f t="shared" si="3"/>
        <v>1385</v>
      </c>
      <c r="N265" s="5"/>
      <c r="O265" s="2">
        <v>59.0</v>
      </c>
      <c r="P265" s="5"/>
      <c r="Q265" s="5"/>
      <c r="R265" s="6" t="s">
        <v>973</v>
      </c>
      <c r="S265" s="5"/>
      <c r="T265" s="1" t="str">
        <f>IFERROR(__xludf.DUMMYFUNCTION("INDEX(SPLIT(A265, ""/""), 2)"),"تشکل‌های اسلامی و سیاسی")</f>
        <v>تشکل‌های اسلامی و سیاسی</v>
      </c>
      <c r="U265" s="1" t="str">
        <f>IFERROR(__xludf.DUMMYFUNCTION("INDEX(SPLIT(A265, ""/""), 3)"),"انجمن اسلامی دانشجویان")</f>
        <v>انجمن اسلامی دانشجویان</v>
      </c>
      <c r="V265" s="1" t="str">
        <f>IFERROR(__xludf.DUMMYFUNCTION("INDEX(SPLIT(A265, ""/""), 4)"),"خبرنامه")</f>
        <v>خبرنامه</v>
      </c>
    </row>
    <row r="266">
      <c r="A266" s="1" t="s">
        <v>831</v>
      </c>
      <c r="B266" s="1" t="s">
        <v>974</v>
      </c>
      <c r="C266" s="1" t="s">
        <v>21</v>
      </c>
      <c r="D266" s="4" t="s">
        <v>975</v>
      </c>
      <c r="E266" s="1" t="s">
        <v>750</v>
      </c>
      <c r="F266" s="1" t="s">
        <v>939</v>
      </c>
      <c r="G266" s="1" t="s">
        <v>71</v>
      </c>
      <c r="H266" s="1" t="s">
        <v>976</v>
      </c>
      <c r="I266" s="1" t="str">
        <f t="shared" si="1"/>
        <v>27</v>
      </c>
      <c r="J266" s="5"/>
      <c r="K266" s="1" t="str">
        <f t="shared" si="2"/>
        <v>1</v>
      </c>
      <c r="L266" s="5"/>
      <c r="M266" s="2" t="str">
        <f t="shared" si="3"/>
        <v>1385</v>
      </c>
      <c r="N266" s="5"/>
      <c r="O266" s="2">
        <v>62.0</v>
      </c>
      <c r="P266" s="5"/>
      <c r="Q266" s="5"/>
      <c r="R266" s="6" t="s">
        <v>976</v>
      </c>
      <c r="S266" s="5"/>
      <c r="T266" s="1" t="str">
        <f>IFERROR(__xludf.DUMMYFUNCTION("INDEX(SPLIT(A266, ""/""), 2)"),"تشکل‌های اسلامی و سیاسی")</f>
        <v>تشکل‌های اسلامی و سیاسی</v>
      </c>
      <c r="U266" s="1" t="str">
        <f>IFERROR(__xludf.DUMMYFUNCTION("INDEX(SPLIT(A266, ""/""), 3)"),"انجمن اسلامی دانشجویان")</f>
        <v>انجمن اسلامی دانشجویان</v>
      </c>
      <c r="V266" s="1" t="str">
        <f>IFERROR(__xludf.DUMMYFUNCTION("INDEX(SPLIT(A266, ""/""), 4)"),"خبرنامه")</f>
        <v>خبرنامه</v>
      </c>
    </row>
    <row r="267">
      <c r="A267" s="1" t="s">
        <v>831</v>
      </c>
      <c r="B267" s="1" t="s">
        <v>977</v>
      </c>
      <c r="C267" s="1" t="s">
        <v>21</v>
      </c>
      <c r="D267" s="4" t="s">
        <v>978</v>
      </c>
      <c r="E267" s="1" t="s">
        <v>750</v>
      </c>
      <c r="F267" s="1" t="s">
        <v>939</v>
      </c>
      <c r="G267" s="1" t="s">
        <v>71</v>
      </c>
      <c r="H267" s="1" t="s">
        <v>979</v>
      </c>
      <c r="I267" s="1" t="str">
        <f t="shared" si="1"/>
        <v>x</v>
      </c>
      <c r="J267" s="5"/>
      <c r="K267" s="1" t="str">
        <f t="shared" si="2"/>
        <v>2</v>
      </c>
      <c r="L267" s="5"/>
      <c r="M267" s="2" t="str">
        <f t="shared" si="3"/>
        <v>1386</v>
      </c>
      <c r="N267" s="5"/>
      <c r="O267" s="2" t="s">
        <v>980</v>
      </c>
      <c r="P267" s="5"/>
      <c r="Q267" s="5"/>
      <c r="R267" s="6" t="s">
        <v>981</v>
      </c>
      <c r="S267" s="5"/>
      <c r="T267" s="1" t="str">
        <f>IFERROR(__xludf.DUMMYFUNCTION("INDEX(SPLIT(A267, ""/""), 2)"),"تشکل‌های اسلامی و سیاسی")</f>
        <v>تشکل‌های اسلامی و سیاسی</v>
      </c>
      <c r="U267" s="1" t="str">
        <f>IFERROR(__xludf.DUMMYFUNCTION("INDEX(SPLIT(A267, ""/""), 3)"),"انجمن اسلامی دانشجویان")</f>
        <v>انجمن اسلامی دانشجویان</v>
      </c>
      <c r="V267" s="1" t="str">
        <f>IFERROR(__xludf.DUMMYFUNCTION("INDEX(SPLIT(A267, ""/""), 4)"),"خبرنامه")</f>
        <v>خبرنامه</v>
      </c>
    </row>
    <row r="268">
      <c r="A268" s="1" t="s">
        <v>831</v>
      </c>
      <c r="B268" s="1" t="s">
        <v>982</v>
      </c>
      <c r="C268" s="1" t="s">
        <v>21</v>
      </c>
      <c r="D268" s="4" t="s">
        <v>983</v>
      </c>
      <c r="E268" s="1" t="s">
        <v>750</v>
      </c>
      <c r="F268" s="1" t="s">
        <v>939</v>
      </c>
      <c r="G268" s="1" t="s">
        <v>71</v>
      </c>
      <c r="H268" s="1" t="s">
        <v>967</v>
      </c>
      <c r="I268" s="1" t="str">
        <f t="shared" si="1"/>
        <v>27</v>
      </c>
      <c r="J268" s="5"/>
      <c r="K268" s="1" t="str">
        <f t="shared" si="2"/>
        <v>9</v>
      </c>
      <c r="L268" s="5"/>
      <c r="M268" s="2" t="str">
        <f t="shared" si="3"/>
        <v>1385</v>
      </c>
      <c r="N268" s="5"/>
      <c r="O268" s="2">
        <v>63.0</v>
      </c>
      <c r="P268" s="5"/>
      <c r="Q268" s="5"/>
      <c r="R268" s="6" t="s">
        <v>967</v>
      </c>
      <c r="S268" s="5"/>
      <c r="T268" s="1" t="str">
        <f>IFERROR(__xludf.DUMMYFUNCTION("INDEX(SPLIT(A268, ""/""), 2)"),"تشکل‌های اسلامی و سیاسی")</f>
        <v>تشکل‌های اسلامی و سیاسی</v>
      </c>
      <c r="U268" s="1" t="str">
        <f>IFERROR(__xludf.DUMMYFUNCTION("INDEX(SPLIT(A268, ""/""), 3)"),"انجمن اسلامی دانشجویان")</f>
        <v>انجمن اسلامی دانشجویان</v>
      </c>
      <c r="V268" s="1" t="str">
        <f>IFERROR(__xludf.DUMMYFUNCTION("INDEX(SPLIT(A268, ""/""), 4)"),"خبرنامه")</f>
        <v>خبرنامه</v>
      </c>
    </row>
    <row r="269">
      <c r="A269" s="1" t="s">
        <v>831</v>
      </c>
      <c r="B269" s="1" t="s">
        <v>984</v>
      </c>
      <c r="C269" s="1" t="s">
        <v>21</v>
      </c>
      <c r="D269" s="4" t="s">
        <v>985</v>
      </c>
      <c r="E269" s="1" t="s">
        <v>750</v>
      </c>
      <c r="F269" s="1" t="s">
        <v>939</v>
      </c>
      <c r="G269" s="1" t="s">
        <v>71</v>
      </c>
      <c r="H269" s="7" t="s">
        <v>986</v>
      </c>
      <c r="I269" s="1" t="str">
        <f t="shared" si="1"/>
        <v>9</v>
      </c>
      <c r="J269" s="5"/>
      <c r="K269" s="1" t="str">
        <f t="shared" si="2"/>
        <v>2</v>
      </c>
      <c r="L269" s="5"/>
      <c r="M269" s="2" t="str">
        <f t="shared" si="3"/>
        <v>1386</v>
      </c>
      <c r="N269" s="5"/>
      <c r="O269" s="2">
        <v>64.0</v>
      </c>
      <c r="P269" s="5"/>
      <c r="Q269" s="5"/>
      <c r="R269" s="8" t="s">
        <v>986</v>
      </c>
      <c r="S269" s="5"/>
      <c r="T269" s="1" t="str">
        <f>IFERROR(__xludf.DUMMYFUNCTION("INDEX(SPLIT(A269, ""/""), 2)"),"تشکل‌های اسلامی و سیاسی")</f>
        <v>تشکل‌های اسلامی و سیاسی</v>
      </c>
      <c r="U269" s="1" t="str">
        <f>IFERROR(__xludf.DUMMYFUNCTION("INDEX(SPLIT(A269, ""/""), 3)"),"انجمن اسلامی دانشجویان")</f>
        <v>انجمن اسلامی دانشجویان</v>
      </c>
      <c r="V269" s="1" t="str">
        <f>IFERROR(__xludf.DUMMYFUNCTION("INDEX(SPLIT(A269, ""/""), 4)"),"خبرنامه")</f>
        <v>خبرنامه</v>
      </c>
    </row>
    <row r="270">
      <c r="A270" s="1" t="s">
        <v>831</v>
      </c>
      <c r="B270" s="1" t="s">
        <v>987</v>
      </c>
      <c r="C270" s="1" t="s">
        <v>21</v>
      </c>
      <c r="D270" s="4" t="s">
        <v>988</v>
      </c>
      <c r="E270" s="1" t="s">
        <v>750</v>
      </c>
      <c r="F270" s="1" t="s">
        <v>939</v>
      </c>
      <c r="G270" s="1" t="s">
        <v>71</v>
      </c>
      <c r="H270" s="1" t="s">
        <v>989</v>
      </c>
      <c r="I270" s="1" t="str">
        <f t="shared" si="1"/>
        <v>29</v>
      </c>
      <c r="J270" s="5"/>
      <c r="K270" s="1" t="str">
        <f t="shared" si="2"/>
        <v>2</v>
      </c>
      <c r="L270" s="5"/>
      <c r="M270" s="2" t="str">
        <f t="shared" si="3"/>
        <v>1386</v>
      </c>
      <c r="N270" s="5"/>
      <c r="O270" s="2">
        <v>65.0</v>
      </c>
      <c r="P270" s="5"/>
      <c r="Q270" s="5"/>
      <c r="R270" s="6" t="s">
        <v>989</v>
      </c>
      <c r="S270" s="5"/>
      <c r="T270" s="1" t="str">
        <f>IFERROR(__xludf.DUMMYFUNCTION("INDEX(SPLIT(A270, ""/""), 2)"),"تشکل‌های اسلامی و سیاسی")</f>
        <v>تشکل‌های اسلامی و سیاسی</v>
      </c>
      <c r="U270" s="1" t="str">
        <f>IFERROR(__xludf.DUMMYFUNCTION("INDEX(SPLIT(A270, ""/""), 3)"),"انجمن اسلامی دانشجویان")</f>
        <v>انجمن اسلامی دانشجویان</v>
      </c>
      <c r="V270" s="1" t="str">
        <f>IFERROR(__xludf.DUMMYFUNCTION("INDEX(SPLIT(A270, ""/""), 4)"),"خبرنامه")</f>
        <v>خبرنامه</v>
      </c>
    </row>
    <row r="271">
      <c r="A271" s="1" t="s">
        <v>831</v>
      </c>
      <c r="B271" s="1" t="s">
        <v>990</v>
      </c>
      <c r="C271" s="1" t="s">
        <v>21</v>
      </c>
      <c r="D271" s="4" t="s">
        <v>991</v>
      </c>
      <c r="E271" s="1" t="s">
        <v>750</v>
      </c>
      <c r="F271" s="1" t="s">
        <v>939</v>
      </c>
      <c r="G271" s="1" t="s">
        <v>71</v>
      </c>
      <c r="H271" s="7" t="s">
        <v>992</v>
      </c>
      <c r="I271" s="1" t="str">
        <f t="shared" si="1"/>
        <v>7</v>
      </c>
      <c r="J271" s="5"/>
      <c r="K271" s="1" t="str">
        <f t="shared" si="2"/>
        <v>9</v>
      </c>
      <c r="L271" s="5"/>
      <c r="M271" s="2" t="str">
        <f t="shared" si="3"/>
        <v>1386</v>
      </c>
      <c r="N271" s="5"/>
      <c r="O271" s="2">
        <v>66.0</v>
      </c>
      <c r="P271" s="5"/>
      <c r="Q271" s="5"/>
      <c r="R271" s="8" t="s">
        <v>992</v>
      </c>
      <c r="S271" s="5"/>
      <c r="T271" s="1" t="str">
        <f>IFERROR(__xludf.DUMMYFUNCTION("INDEX(SPLIT(A271, ""/""), 2)"),"تشکل‌های اسلامی و سیاسی")</f>
        <v>تشکل‌های اسلامی و سیاسی</v>
      </c>
      <c r="U271" s="1" t="str">
        <f>IFERROR(__xludf.DUMMYFUNCTION("INDEX(SPLIT(A271, ""/""), 3)"),"انجمن اسلامی دانشجویان")</f>
        <v>انجمن اسلامی دانشجویان</v>
      </c>
      <c r="V271" s="1" t="str">
        <f>IFERROR(__xludf.DUMMYFUNCTION("INDEX(SPLIT(A271, ""/""), 4)"),"خبرنامه")</f>
        <v>خبرنامه</v>
      </c>
    </row>
    <row r="272">
      <c r="A272" s="1" t="s">
        <v>831</v>
      </c>
      <c r="B272" s="1" t="s">
        <v>993</v>
      </c>
      <c r="C272" s="1" t="s">
        <v>21</v>
      </c>
      <c r="D272" s="4" t="s">
        <v>994</v>
      </c>
      <c r="E272" s="1" t="s">
        <v>750</v>
      </c>
      <c r="F272" s="1" t="s">
        <v>939</v>
      </c>
      <c r="G272" s="1" t="s">
        <v>71</v>
      </c>
      <c r="H272" s="1" t="s">
        <v>995</v>
      </c>
      <c r="I272" s="1" t="str">
        <f t="shared" si="1"/>
        <v>30</v>
      </c>
      <c r="J272" s="5"/>
      <c r="K272" s="1" t="str">
        <f t="shared" si="2"/>
        <v>7</v>
      </c>
      <c r="L272" s="5"/>
      <c r="M272" s="2" t="str">
        <f t="shared" si="3"/>
        <v>1388</v>
      </c>
      <c r="N272" s="5"/>
      <c r="O272" s="2" t="s">
        <v>996</v>
      </c>
      <c r="P272" s="5"/>
      <c r="Q272" s="5"/>
      <c r="R272" s="6" t="s">
        <v>995</v>
      </c>
      <c r="S272" s="5"/>
      <c r="T272" s="1" t="str">
        <f>IFERROR(__xludf.DUMMYFUNCTION("INDEX(SPLIT(A272, ""/""), 2)"),"تشکل‌های اسلامی و سیاسی")</f>
        <v>تشکل‌های اسلامی و سیاسی</v>
      </c>
      <c r="U272" s="1" t="str">
        <f>IFERROR(__xludf.DUMMYFUNCTION("INDEX(SPLIT(A272, ""/""), 3)"),"انجمن اسلامی دانشجویان")</f>
        <v>انجمن اسلامی دانشجویان</v>
      </c>
      <c r="V272" s="1" t="str">
        <f>IFERROR(__xludf.DUMMYFUNCTION("INDEX(SPLIT(A272, ""/""), 4)"),"خبرنامه")</f>
        <v>خبرنامه</v>
      </c>
    </row>
    <row r="273">
      <c r="A273" s="1" t="s">
        <v>831</v>
      </c>
      <c r="B273" s="1" t="s">
        <v>997</v>
      </c>
      <c r="C273" s="1" t="s">
        <v>21</v>
      </c>
      <c r="D273" s="4" t="s">
        <v>998</v>
      </c>
      <c r="E273" s="1" t="s">
        <v>750</v>
      </c>
      <c r="F273" s="1" t="s">
        <v>999</v>
      </c>
      <c r="G273" s="1" t="s">
        <v>71</v>
      </c>
      <c r="H273" s="1" t="s">
        <v>1000</v>
      </c>
      <c r="I273" s="1" t="str">
        <f t="shared" si="1"/>
        <v>24</v>
      </c>
      <c r="J273" s="5"/>
      <c r="K273" s="1" t="str">
        <f t="shared" si="2"/>
        <v>7</v>
      </c>
      <c r="L273" s="5"/>
      <c r="M273" s="2" t="str">
        <f t="shared" si="3"/>
        <v>1386</v>
      </c>
      <c r="N273" s="5"/>
      <c r="O273" s="2">
        <v>68.0</v>
      </c>
      <c r="P273" s="5"/>
      <c r="Q273" s="5"/>
      <c r="R273" s="6" t="s">
        <v>1000</v>
      </c>
      <c r="S273" s="5"/>
      <c r="T273" s="1" t="str">
        <f>IFERROR(__xludf.DUMMYFUNCTION("INDEX(SPLIT(A273, ""/""), 2)"),"تشکل‌های اسلامی و سیاسی")</f>
        <v>تشکل‌های اسلامی و سیاسی</v>
      </c>
      <c r="U273" s="1" t="str">
        <f>IFERROR(__xludf.DUMMYFUNCTION("INDEX(SPLIT(A273, ""/""), 3)"),"انجمن اسلامی دانشجویان")</f>
        <v>انجمن اسلامی دانشجویان</v>
      </c>
      <c r="V273" s="1" t="str">
        <f>IFERROR(__xludf.DUMMYFUNCTION("INDEX(SPLIT(A273, ""/""), 4)"),"خبرنامه")</f>
        <v>خبرنامه</v>
      </c>
    </row>
    <row r="274">
      <c r="A274" s="1" t="s">
        <v>831</v>
      </c>
      <c r="B274" s="1" t="s">
        <v>1001</v>
      </c>
      <c r="C274" s="1" t="s">
        <v>21</v>
      </c>
      <c r="D274" s="4" t="s">
        <v>1002</v>
      </c>
      <c r="E274" s="1" t="s">
        <v>750</v>
      </c>
      <c r="F274" s="1" t="s">
        <v>999</v>
      </c>
      <c r="G274" s="1" t="s">
        <v>71</v>
      </c>
      <c r="H274" s="7" t="s">
        <v>1003</v>
      </c>
      <c r="I274" s="1" t="str">
        <f t="shared" si="1"/>
        <v>2</v>
      </c>
      <c r="J274" s="5"/>
      <c r="K274" s="1" t="str">
        <f t="shared" si="2"/>
        <v>8</v>
      </c>
      <c r="L274" s="5"/>
      <c r="M274" s="2" t="str">
        <f t="shared" si="3"/>
        <v>1386</v>
      </c>
      <c r="N274" s="5"/>
      <c r="O274" s="2">
        <v>69.0</v>
      </c>
      <c r="P274" s="5"/>
      <c r="Q274" s="5"/>
      <c r="R274" s="8" t="s">
        <v>1003</v>
      </c>
      <c r="S274" s="5"/>
      <c r="T274" s="1" t="str">
        <f>IFERROR(__xludf.DUMMYFUNCTION("INDEX(SPLIT(A274, ""/""), 2)"),"تشکل‌های اسلامی و سیاسی")</f>
        <v>تشکل‌های اسلامی و سیاسی</v>
      </c>
      <c r="U274" s="1" t="str">
        <f>IFERROR(__xludf.DUMMYFUNCTION("INDEX(SPLIT(A274, ""/""), 3)"),"انجمن اسلامی دانشجویان")</f>
        <v>انجمن اسلامی دانشجویان</v>
      </c>
      <c r="V274" s="1" t="str">
        <f>IFERROR(__xludf.DUMMYFUNCTION("INDEX(SPLIT(A274, ""/""), 4)"),"خبرنامه")</f>
        <v>خبرنامه</v>
      </c>
    </row>
    <row r="275">
      <c r="A275" s="1" t="s">
        <v>831</v>
      </c>
      <c r="B275" s="1" t="s">
        <v>1004</v>
      </c>
      <c r="C275" s="1" t="s">
        <v>21</v>
      </c>
      <c r="D275" s="4" t="s">
        <v>1005</v>
      </c>
      <c r="E275" s="1" t="s">
        <v>750</v>
      </c>
      <c r="F275" s="1" t="s">
        <v>999</v>
      </c>
      <c r="G275" s="1" t="s">
        <v>71</v>
      </c>
      <c r="H275" s="1" t="s">
        <v>1006</v>
      </c>
      <c r="I275" s="1" t="str">
        <f t="shared" si="1"/>
        <v>x</v>
      </c>
      <c r="J275" s="5"/>
      <c r="K275" s="1" t="str">
        <f t="shared" si="2"/>
        <v>9</v>
      </c>
      <c r="L275" s="5"/>
      <c r="M275" s="2" t="str">
        <f t="shared" si="3"/>
        <v>1386</v>
      </c>
      <c r="N275" s="5"/>
      <c r="O275" s="2">
        <v>72.0</v>
      </c>
      <c r="P275" s="5"/>
      <c r="Q275" s="5"/>
      <c r="R275" s="6" t="s">
        <v>1007</v>
      </c>
      <c r="S275" s="5"/>
      <c r="T275" s="1" t="str">
        <f>IFERROR(__xludf.DUMMYFUNCTION("INDEX(SPLIT(A275, ""/""), 2)"),"تشکل‌های اسلامی و سیاسی")</f>
        <v>تشکل‌های اسلامی و سیاسی</v>
      </c>
      <c r="U275" s="1" t="str">
        <f>IFERROR(__xludf.DUMMYFUNCTION("INDEX(SPLIT(A275, ""/""), 3)"),"انجمن اسلامی دانشجویان")</f>
        <v>انجمن اسلامی دانشجویان</v>
      </c>
      <c r="V275" s="1" t="str">
        <f>IFERROR(__xludf.DUMMYFUNCTION("INDEX(SPLIT(A275, ""/""), 4)"),"خبرنامه")</f>
        <v>خبرنامه</v>
      </c>
    </row>
    <row r="276">
      <c r="A276" s="1" t="s">
        <v>831</v>
      </c>
      <c r="B276" s="1" t="s">
        <v>1008</v>
      </c>
      <c r="C276" s="1" t="s">
        <v>21</v>
      </c>
      <c r="D276" s="4" t="s">
        <v>1009</v>
      </c>
      <c r="E276" s="1" t="s">
        <v>750</v>
      </c>
      <c r="F276" s="1" t="s">
        <v>999</v>
      </c>
      <c r="G276" s="1" t="s">
        <v>71</v>
      </c>
      <c r="H276" s="1" t="s">
        <v>1006</v>
      </c>
      <c r="I276" s="1" t="str">
        <f t="shared" si="1"/>
        <v>x</v>
      </c>
      <c r="J276" s="5"/>
      <c r="K276" s="1" t="str">
        <f t="shared" si="2"/>
        <v>9</v>
      </c>
      <c r="L276" s="5"/>
      <c r="M276" s="2" t="str">
        <f t="shared" si="3"/>
        <v>1386</v>
      </c>
      <c r="N276" s="5"/>
      <c r="O276" s="2">
        <v>73.0</v>
      </c>
      <c r="P276" s="5"/>
      <c r="Q276" s="5"/>
      <c r="R276" s="6" t="s">
        <v>1007</v>
      </c>
      <c r="S276" s="5"/>
      <c r="T276" s="1" t="str">
        <f>IFERROR(__xludf.DUMMYFUNCTION("INDEX(SPLIT(A276, ""/""), 2)"),"تشکل‌های اسلامی و سیاسی")</f>
        <v>تشکل‌های اسلامی و سیاسی</v>
      </c>
      <c r="U276" s="1" t="str">
        <f>IFERROR(__xludf.DUMMYFUNCTION("INDEX(SPLIT(A276, ""/""), 3)"),"انجمن اسلامی دانشجویان")</f>
        <v>انجمن اسلامی دانشجویان</v>
      </c>
      <c r="V276" s="1" t="str">
        <f>IFERROR(__xludf.DUMMYFUNCTION("INDEX(SPLIT(A276, ""/""), 4)"),"خبرنامه")</f>
        <v>خبرنامه</v>
      </c>
    </row>
    <row r="277">
      <c r="A277" s="1" t="s">
        <v>831</v>
      </c>
      <c r="B277" s="1" t="s">
        <v>1010</v>
      </c>
      <c r="C277" s="1" t="s">
        <v>21</v>
      </c>
      <c r="D277" s="4" t="s">
        <v>1011</v>
      </c>
      <c r="E277" s="1" t="s">
        <v>750</v>
      </c>
      <c r="F277" s="1" t="s">
        <v>999</v>
      </c>
      <c r="G277" s="1" t="s">
        <v>71</v>
      </c>
      <c r="H277" s="1" t="s">
        <v>91</v>
      </c>
      <c r="I277" s="1" t="str">
        <f t="shared" si="1"/>
        <v>x</v>
      </c>
      <c r="J277" s="5"/>
      <c r="K277" s="1" t="str">
        <f t="shared" si="2"/>
        <v>12</v>
      </c>
      <c r="L277" s="5"/>
      <c r="M277" s="2" t="str">
        <f t="shared" si="3"/>
        <v>1386</v>
      </c>
      <c r="N277" s="5"/>
      <c r="O277" s="2">
        <v>74.0</v>
      </c>
      <c r="P277" s="5"/>
      <c r="Q277" s="5"/>
      <c r="R277" s="6" t="s">
        <v>92</v>
      </c>
      <c r="S277" s="5"/>
      <c r="T277" s="1" t="str">
        <f>IFERROR(__xludf.DUMMYFUNCTION("INDEX(SPLIT(A277, ""/""), 2)"),"تشکل‌های اسلامی و سیاسی")</f>
        <v>تشکل‌های اسلامی و سیاسی</v>
      </c>
      <c r="U277" s="1" t="str">
        <f>IFERROR(__xludf.DUMMYFUNCTION("INDEX(SPLIT(A277, ""/""), 3)"),"انجمن اسلامی دانشجویان")</f>
        <v>انجمن اسلامی دانشجویان</v>
      </c>
      <c r="V277" s="1" t="str">
        <f>IFERROR(__xludf.DUMMYFUNCTION("INDEX(SPLIT(A277, ""/""), 4)"),"خبرنامه")</f>
        <v>خبرنامه</v>
      </c>
    </row>
    <row r="278">
      <c r="A278" s="1" t="s">
        <v>831</v>
      </c>
      <c r="B278" s="1" t="s">
        <v>1012</v>
      </c>
      <c r="C278" s="1" t="s">
        <v>21</v>
      </c>
      <c r="D278" s="4" t="s">
        <v>1013</v>
      </c>
      <c r="E278" s="1" t="s">
        <v>750</v>
      </c>
      <c r="F278" s="1" t="s">
        <v>999</v>
      </c>
      <c r="G278" s="1" t="s">
        <v>71</v>
      </c>
      <c r="H278" s="1" t="s">
        <v>91</v>
      </c>
      <c r="I278" s="1" t="str">
        <f t="shared" si="1"/>
        <v>x</v>
      </c>
      <c r="J278" s="5"/>
      <c r="K278" s="1" t="str">
        <f t="shared" si="2"/>
        <v>12</v>
      </c>
      <c r="L278" s="5"/>
      <c r="M278" s="2" t="str">
        <f t="shared" si="3"/>
        <v>1386</v>
      </c>
      <c r="N278" s="5"/>
      <c r="O278" s="2">
        <v>74.0</v>
      </c>
      <c r="P278" s="5"/>
      <c r="Q278" s="5"/>
      <c r="R278" s="6" t="s">
        <v>92</v>
      </c>
      <c r="S278" s="5"/>
      <c r="T278" s="1" t="str">
        <f>IFERROR(__xludf.DUMMYFUNCTION("INDEX(SPLIT(A278, ""/""), 2)"),"تشکل‌های اسلامی و سیاسی")</f>
        <v>تشکل‌های اسلامی و سیاسی</v>
      </c>
      <c r="U278" s="1" t="str">
        <f>IFERROR(__xludf.DUMMYFUNCTION("INDEX(SPLIT(A278, ""/""), 3)"),"انجمن اسلامی دانشجویان")</f>
        <v>انجمن اسلامی دانشجویان</v>
      </c>
      <c r="V278" s="1" t="str">
        <f>IFERROR(__xludf.DUMMYFUNCTION("INDEX(SPLIT(A278, ""/""), 4)"),"خبرنامه")</f>
        <v>خبرنامه</v>
      </c>
    </row>
    <row r="279">
      <c r="A279" s="1" t="s">
        <v>831</v>
      </c>
      <c r="B279" s="1" t="s">
        <v>1014</v>
      </c>
      <c r="C279" s="1" t="s">
        <v>21</v>
      </c>
      <c r="D279" s="4" t="s">
        <v>1015</v>
      </c>
      <c r="E279" s="1" t="s">
        <v>750</v>
      </c>
      <c r="F279" s="1" t="s">
        <v>999</v>
      </c>
      <c r="G279" s="1" t="s">
        <v>71</v>
      </c>
      <c r="H279" s="1" t="s">
        <v>91</v>
      </c>
      <c r="I279" s="1" t="str">
        <f t="shared" si="1"/>
        <v>x</v>
      </c>
      <c r="J279" s="5"/>
      <c r="K279" s="1" t="str">
        <f t="shared" si="2"/>
        <v>12</v>
      </c>
      <c r="L279" s="5"/>
      <c r="M279" s="2" t="str">
        <f t="shared" si="3"/>
        <v>1386</v>
      </c>
      <c r="N279" s="5"/>
      <c r="O279" s="2" t="s">
        <v>1016</v>
      </c>
      <c r="P279" s="5"/>
      <c r="Q279" s="5"/>
      <c r="R279" s="6" t="s">
        <v>92</v>
      </c>
      <c r="S279" s="5"/>
      <c r="T279" s="1" t="str">
        <f>IFERROR(__xludf.DUMMYFUNCTION("INDEX(SPLIT(A279, ""/""), 2)"),"تشکل‌های اسلامی و سیاسی")</f>
        <v>تشکل‌های اسلامی و سیاسی</v>
      </c>
      <c r="U279" s="1" t="str">
        <f>IFERROR(__xludf.DUMMYFUNCTION("INDEX(SPLIT(A279, ""/""), 3)"),"انجمن اسلامی دانشجویان")</f>
        <v>انجمن اسلامی دانشجویان</v>
      </c>
      <c r="V279" s="1" t="str">
        <f>IFERROR(__xludf.DUMMYFUNCTION("INDEX(SPLIT(A279, ""/""), 4)"),"خبرنامه")</f>
        <v>خبرنامه</v>
      </c>
    </row>
    <row r="280">
      <c r="A280" s="1" t="s">
        <v>831</v>
      </c>
      <c r="B280" s="1" t="s">
        <v>1017</v>
      </c>
      <c r="C280" s="1" t="s">
        <v>21</v>
      </c>
      <c r="D280" s="4" t="s">
        <v>1018</v>
      </c>
      <c r="E280" s="1" t="s">
        <v>750</v>
      </c>
      <c r="F280" s="1" t="s">
        <v>1019</v>
      </c>
      <c r="G280" s="1" t="s">
        <v>71</v>
      </c>
      <c r="H280" s="1" t="s">
        <v>1020</v>
      </c>
      <c r="I280" s="1" t="str">
        <f t="shared" si="1"/>
        <v>x</v>
      </c>
      <c r="J280" s="5"/>
      <c r="K280" s="1" t="str">
        <f t="shared" si="2"/>
        <v>2</v>
      </c>
      <c r="L280" s="5"/>
      <c r="M280" s="2" t="str">
        <f t="shared" si="3"/>
        <v>1387</v>
      </c>
      <c r="N280" s="5"/>
      <c r="O280" s="2" t="s">
        <v>1021</v>
      </c>
      <c r="P280" s="5"/>
      <c r="Q280" s="5"/>
      <c r="R280" s="6" t="s">
        <v>1022</v>
      </c>
      <c r="S280" s="5"/>
      <c r="T280" s="1" t="str">
        <f>IFERROR(__xludf.DUMMYFUNCTION("INDEX(SPLIT(A280, ""/""), 2)"),"تشکل‌های اسلامی و سیاسی")</f>
        <v>تشکل‌های اسلامی و سیاسی</v>
      </c>
      <c r="U280" s="1" t="str">
        <f>IFERROR(__xludf.DUMMYFUNCTION("INDEX(SPLIT(A280, ""/""), 3)"),"انجمن اسلامی دانشجویان")</f>
        <v>انجمن اسلامی دانشجویان</v>
      </c>
      <c r="V280" s="1" t="str">
        <f>IFERROR(__xludf.DUMMYFUNCTION("INDEX(SPLIT(A280, ""/""), 4)"),"خبرنامه")</f>
        <v>خبرنامه</v>
      </c>
    </row>
    <row r="281">
      <c r="A281" s="1" t="s">
        <v>831</v>
      </c>
      <c r="B281" s="1" t="s">
        <v>1023</v>
      </c>
      <c r="C281" s="1" t="s">
        <v>21</v>
      </c>
      <c r="D281" s="4" t="s">
        <v>1024</v>
      </c>
      <c r="E281" s="1" t="s">
        <v>750</v>
      </c>
      <c r="F281" s="1" t="s">
        <v>999</v>
      </c>
      <c r="G281" s="1" t="s">
        <v>71</v>
      </c>
      <c r="H281" s="1" t="s">
        <v>1020</v>
      </c>
      <c r="I281" s="1" t="str">
        <f t="shared" si="1"/>
        <v>x</v>
      </c>
      <c r="J281" s="5"/>
      <c r="K281" s="1" t="str">
        <f t="shared" si="2"/>
        <v>2</v>
      </c>
      <c r="L281" s="5"/>
      <c r="M281" s="2" t="str">
        <f t="shared" si="3"/>
        <v>1387</v>
      </c>
      <c r="N281" s="5"/>
      <c r="O281" s="2">
        <v>77.0</v>
      </c>
      <c r="P281" s="5"/>
      <c r="Q281" s="5"/>
      <c r="R281" s="6" t="s">
        <v>1022</v>
      </c>
      <c r="S281" s="5"/>
      <c r="T281" s="1" t="str">
        <f>IFERROR(__xludf.DUMMYFUNCTION("INDEX(SPLIT(A281, ""/""), 2)"),"تشکل‌های اسلامی و سیاسی")</f>
        <v>تشکل‌های اسلامی و سیاسی</v>
      </c>
      <c r="U281" s="1" t="str">
        <f>IFERROR(__xludf.DUMMYFUNCTION("INDEX(SPLIT(A281, ""/""), 3)"),"انجمن اسلامی دانشجویان")</f>
        <v>انجمن اسلامی دانشجویان</v>
      </c>
      <c r="V281" s="1" t="str">
        <f>IFERROR(__xludf.DUMMYFUNCTION("INDEX(SPLIT(A281, ""/""), 4)"),"خبرنامه")</f>
        <v>خبرنامه</v>
      </c>
    </row>
    <row r="282">
      <c r="A282" s="1" t="s">
        <v>831</v>
      </c>
      <c r="B282" s="1" t="s">
        <v>1025</v>
      </c>
      <c r="C282" s="1" t="s">
        <v>21</v>
      </c>
      <c r="D282" s="4" t="s">
        <v>1026</v>
      </c>
      <c r="E282" s="1" t="s">
        <v>750</v>
      </c>
      <c r="F282" s="1" t="s">
        <v>1019</v>
      </c>
      <c r="G282" s="1" t="s">
        <v>71</v>
      </c>
      <c r="H282" s="7" t="s">
        <v>1027</v>
      </c>
      <c r="I282" s="1" t="str">
        <f t="shared" si="1"/>
        <v>9</v>
      </c>
      <c r="J282" s="5"/>
      <c r="K282" s="1" t="str">
        <f t="shared" si="2"/>
        <v>9</v>
      </c>
      <c r="L282" s="5"/>
      <c r="M282" s="2" t="str">
        <f t="shared" si="3"/>
        <v>1387</v>
      </c>
      <c r="N282" s="5"/>
      <c r="O282" s="2" t="s">
        <v>1028</v>
      </c>
      <c r="P282" s="5"/>
      <c r="Q282" s="5"/>
      <c r="R282" s="8" t="s">
        <v>1027</v>
      </c>
      <c r="S282" s="5"/>
      <c r="T282" s="1" t="str">
        <f>IFERROR(__xludf.DUMMYFUNCTION("INDEX(SPLIT(A282, ""/""), 2)"),"تشکل‌های اسلامی و سیاسی")</f>
        <v>تشکل‌های اسلامی و سیاسی</v>
      </c>
      <c r="U282" s="1" t="str">
        <f>IFERROR(__xludf.DUMMYFUNCTION("INDEX(SPLIT(A282, ""/""), 3)"),"انجمن اسلامی دانشجویان")</f>
        <v>انجمن اسلامی دانشجویان</v>
      </c>
      <c r="V282" s="1" t="str">
        <f>IFERROR(__xludf.DUMMYFUNCTION("INDEX(SPLIT(A282, ""/""), 4)"),"خبرنامه")</f>
        <v>خبرنامه</v>
      </c>
    </row>
    <row r="283">
      <c r="A283" s="1" t="s">
        <v>831</v>
      </c>
      <c r="B283" s="1" t="s">
        <v>1029</v>
      </c>
      <c r="C283" s="1" t="s">
        <v>21</v>
      </c>
      <c r="D283" s="4" t="s">
        <v>1030</v>
      </c>
      <c r="E283" s="1" t="s">
        <v>750</v>
      </c>
      <c r="F283" s="1" t="s">
        <v>999</v>
      </c>
      <c r="G283" s="1" t="s">
        <v>71</v>
      </c>
      <c r="H283" s="1" t="s">
        <v>1031</v>
      </c>
      <c r="I283" s="1" t="str">
        <f t="shared" si="1"/>
        <v>x</v>
      </c>
      <c r="J283" s="5"/>
      <c r="K283" s="1" t="str">
        <f t="shared" si="2"/>
        <v>7</v>
      </c>
      <c r="L283" s="5"/>
      <c r="M283" s="2" t="str">
        <f t="shared" si="3"/>
        <v>1387</v>
      </c>
      <c r="N283" s="5"/>
      <c r="O283" s="2">
        <v>78.0</v>
      </c>
      <c r="P283" s="5"/>
      <c r="Q283" s="5"/>
      <c r="R283" s="6" t="s">
        <v>1032</v>
      </c>
      <c r="S283" s="5"/>
      <c r="T283" s="1" t="str">
        <f>IFERROR(__xludf.DUMMYFUNCTION("INDEX(SPLIT(A283, ""/""), 2)"),"تشکل‌های اسلامی و سیاسی")</f>
        <v>تشکل‌های اسلامی و سیاسی</v>
      </c>
      <c r="U283" s="1" t="str">
        <f>IFERROR(__xludf.DUMMYFUNCTION("INDEX(SPLIT(A283, ""/""), 3)"),"انجمن اسلامی دانشجویان")</f>
        <v>انجمن اسلامی دانشجویان</v>
      </c>
      <c r="V283" s="1" t="str">
        <f>IFERROR(__xludf.DUMMYFUNCTION("INDEX(SPLIT(A283, ""/""), 4)"),"خبرنامه")</f>
        <v>خبرنامه</v>
      </c>
    </row>
    <row r="284">
      <c r="A284" s="1" t="s">
        <v>831</v>
      </c>
      <c r="B284" s="1" t="s">
        <v>1033</v>
      </c>
      <c r="C284" s="1" t="s">
        <v>21</v>
      </c>
      <c r="D284" s="4" t="s">
        <v>1034</v>
      </c>
      <c r="E284" s="1" t="s">
        <v>750</v>
      </c>
      <c r="F284" s="1" t="s">
        <v>1019</v>
      </c>
      <c r="G284" s="1" t="s">
        <v>71</v>
      </c>
      <c r="H284" s="1" t="s">
        <v>1031</v>
      </c>
      <c r="I284" s="1" t="str">
        <f t="shared" si="1"/>
        <v>x</v>
      </c>
      <c r="J284" s="5"/>
      <c r="K284" s="1" t="str">
        <f t="shared" si="2"/>
        <v>7</v>
      </c>
      <c r="L284" s="5"/>
      <c r="M284" s="2" t="str">
        <f t="shared" si="3"/>
        <v>1387</v>
      </c>
      <c r="N284" s="5"/>
      <c r="O284" s="2">
        <v>79.0</v>
      </c>
      <c r="P284" s="5"/>
      <c r="Q284" s="5"/>
      <c r="R284" s="6" t="s">
        <v>1032</v>
      </c>
      <c r="S284" s="5"/>
      <c r="T284" s="1" t="str">
        <f>IFERROR(__xludf.DUMMYFUNCTION("INDEX(SPLIT(A284, ""/""), 2)"),"تشکل‌های اسلامی و سیاسی")</f>
        <v>تشکل‌های اسلامی و سیاسی</v>
      </c>
      <c r="U284" s="1" t="str">
        <f>IFERROR(__xludf.DUMMYFUNCTION("INDEX(SPLIT(A284, ""/""), 3)"),"انجمن اسلامی دانشجویان")</f>
        <v>انجمن اسلامی دانشجویان</v>
      </c>
      <c r="V284" s="1" t="str">
        <f>IFERROR(__xludf.DUMMYFUNCTION("INDEX(SPLIT(A284, ""/""), 4)"),"خبرنامه")</f>
        <v>خبرنامه</v>
      </c>
    </row>
    <row r="285">
      <c r="A285" s="1" t="s">
        <v>831</v>
      </c>
      <c r="B285" s="1" t="s">
        <v>1035</v>
      </c>
      <c r="C285" s="1" t="s">
        <v>21</v>
      </c>
      <c r="D285" s="4" t="s">
        <v>1036</v>
      </c>
      <c r="E285" s="1" t="s">
        <v>750</v>
      </c>
      <c r="F285" s="1" t="s">
        <v>1019</v>
      </c>
      <c r="G285" s="1" t="s">
        <v>71</v>
      </c>
      <c r="H285" s="1" t="s">
        <v>1031</v>
      </c>
      <c r="I285" s="1" t="str">
        <f t="shared" si="1"/>
        <v>x</v>
      </c>
      <c r="J285" s="5"/>
      <c r="K285" s="1" t="str">
        <f t="shared" si="2"/>
        <v>7</v>
      </c>
      <c r="L285" s="5"/>
      <c r="M285" s="2" t="str">
        <f t="shared" si="3"/>
        <v>1387</v>
      </c>
      <c r="N285" s="5"/>
      <c r="O285" s="2">
        <v>80.0</v>
      </c>
      <c r="P285" s="5"/>
      <c r="Q285" s="5"/>
      <c r="R285" s="6" t="s">
        <v>1032</v>
      </c>
      <c r="S285" s="5"/>
      <c r="T285" s="1" t="str">
        <f>IFERROR(__xludf.DUMMYFUNCTION("INDEX(SPLIT(A285, ""/""), 2)"),"تشکل‌های اسلامی و سیاسی")</f>
        <v>تشکل‌های اسلامی و سیاسی</v>
      </c>
      <c r="U285" s="1" t="str">
        <f>IFERROR(__xludf.DUMMYFUNCTION("INDEX(SPLIT(A285, ""/""), 3)"),"انجمن اسلامی دانشجویان")</f>
        <v>انجمن اسلامی دانشجویان</v>
      </c>
      <c r="V285" s="1" t="str">
        <f>IFERROR(__xludf.DUMMYFUNCTION("INDEX(SPLIT(A285, ""/""), 4)"),"خبرنامه")</f>
        <v>خبرنامه</v>
      </c>
    </row>
    <row r="286">
      <c r="A286" s="1" t="s">
        <v>831</v>
      </c>
      <c r="B286" s="1" t="s">
        <v>1037</v>
      </c>
      <c r="C286" s="1" t="s">
        <v>21</v>
      </c>
      <c r="D286" s="4" t="s">
        <v>1038</v>
      </c>
      <c r="E286" s="1" t="s">
        <v>750</v>
      </c>
      <c r="F286" s="1" t="s">
        <v>1019</v>
      </c>
      <c r="G286" s="1" t="s">
        <v>71</v>
      </c>
      <c r="H286" s="1" t="s">
        <v>1031</v>
      </c>
      <c r="I286" s="1" t="str">
        <f t="shared" si="1"/>
        <v>x</v>
      </c>
      <c r="J286" s="5"/>
      <c r="K286" s="1" t="str">
        <f t="shared" si="2"/>
        <v>7</v>
      </c>
      <c r="L286" s="5"/>
      <c r="M286" s="2" t="str">
        <f t="shared" si="3"/>
        <v>1387</v>
      </c>
      <c r="N286" s="5"/>
      <c r="O286" s="2">
        <v>81.0</v>
      </c>
      <c r="P286" s="5"/>
      <c r="Q286" s="5"/>
      <c r="R286" s="6" t="s">
        <v>1032</v>
      </c>
      <c r="S286" s="5"/>
      <c r="T286" s="1" t="str">
        <f>IFERROR(__xludf.DUMMYFUNCTION("INDEX(SPLIT(A286, ""/""), 2)"),"تشکل‌های اسلامی و سیاسی")</f>
        <v>تشکل‌های اسلامی و سیاسی</v>
      </c>
      <c r="U286" s="1" t="str">
        <f>IFERROR(__xludf.DUMMYFUNCTION("INDEX(SPLIT(A286, ""/""), 3)"),"انجمن اسلامی دانشجویان")</f>
        <v>انجمن اسلامی دانشجویان</v>
      </c>
      <c r="V286" s="1" t="str">
        <f>IFERROR(__xludf.DUMMYFUNCTION("INDEX(SPLIT(A286, ""/""), 4)"),"خبرنامه")</f>
        <v>خبرنامه</v>
      </c>
    </row>
    <row r="287">
      <c r="A287" s="1" t="s">
        <v>831</v>
      </c>
      <c r="B287" s="1" t="s">
        <v>1039</v>
      </c>
      <c r="C287" s="1" t="s">
        <v>21</v>
      </c>
      <c r="D287" s="4" t="s">
        <v>1040</v>
      </c>
      <c r="E287" s="1" t="s">
        <v>750</v>
      </c>
      <c r="F287" s="1" t="s">
        <v>1019</v>
      </c>
      <c r="G287" s="1" t="s">
        <v>71</v>
      </c>
      <c r="H287" s="1" t="s">
        <v>1041</v>
      </c>
      <c r="I287" s="1" t="str">
        <f t="shared" si="1"/>
        <v>x</v>
      </c>
      <c r="J287" s="5"/>
      <c r="K287" s="1" t="str">
        <f t="shared" si="2"/>
        <v>8</v>
      </c>
      <c r="L287" s="5"/>
      <c r="M287" s="2" t="str">
        <f t="shared" si="3"/>
        <v>1387</v>
      </c>
      <c r="N287" s="5"/>
      <c r="O287" s="2">
        <v>82.0</v>
      </c>
      <c r="P287" s="5"/>
      <c r="Q287" s="5"/>
      <c r="R287" s="6" t="s">
        <v>1042</v>
      </c>
      <c r="S287" s="5"/>
      <c r="T287" s="1" t="str">
        <f>IFERROR(__xludf.DUMMYFUNCTION("INDEX(SPLIT(A287, ""/""), 2)"),"تشکل‌های اسلامی و سیاسی")</f>
        <v>تشکل‌های اسلامی و سیاسی</v>
      </c>
      <c r="U287" s="1" t="str">
        <f>IFERROR(__xludf.DUMMYFUNCTION("INDEX(SPLIT(A287, ""/""), 3)"),"انجمن اسلامی دانشجویان")</f>
        <v>انجمن اسلامی دانشجویان</v>
      </c>
      <c r="V287" s="1" t="str">
        <f>IFERROR(__xludf.DUMMYFUNCTION("INDEX(SPLIT(A287, ""/""), 4)"),"خبرنامه")</f>
        <v>خبرنامه</v>
      </c>
    </row>
    <row r="288">
      <c r="A288" s="1" t="s">
        <v>831</v>
      </c>
      <c r="B288" s="1" t="s">
        <v>1043</v>
      </c>
      <c r="C288" s="1" t="s">
        <v>21</v>
      </c>
      <c r="D288" s="4" t="s">
        <v>1044</v>
      </c>
      <c r="E288" s="1" t="s">
        <v>750</v>
      </c>
      <c r="F288" s="1" t="s">
        <v>1019</v>
      </c>
      <c r="G288" s="1" t="s">
        <v>71</v>
      </c>
      <c r="H288" s="1" t="s">
        <v>1041</v>
      </c>
      <c r="I288" s="1" t="str">
        <f t="shared" si="1"/>
        <v>x</v>
      </c>
      <c r="J288" s="5"/>
      <c r="K288" s="1" t="str">
        <f t="shared" si="2"/>
        <v>8</v>
      </c>
      <c r="L288" s="5"/>
      <c r="M288" s="2" t="str">
        <f t="shared" si="3"/>
        <v>1387</v>
      </c>
      <c r="N288" s="5"/>
      <c r="O288" s="2">
        <v>84.0</v>
      </c>
      <c r="P288" s="5"/>
      <c r="Q288" s="5"/>
      <c r="R288" s="6" t="s">
        <v>1042</v>
      </c>
      <c r="S288" s="5"/>
      <c r="T288" s="1" t="str">
        <f>IFERROR(__xludf.DUMMYFUNCTION("INDEX(SPLIT(A288, ""/""), 2)"),"تشکل‌های اسلامی و سیاسی")</f>
        <v>تشکل‌های اسلامی و سیاسی</v>
      </c>
      <c r="U288" s="1" t="str">
        <f>IFERROR(__xludf.DUMMYFUNCTION("INDEX(SPLIT(A288, ""/""), 3)"),"انجمن اسلامی دانشجویان")</f>
        <v>انجمن اسلامی دانشجویان</v>
      </c>
      <c r="V288" s="1" t="str">
        <f>IFERROR(__xludf.DUMMYFUNCTION("INDEX(SPLIT(A288, ""/""), 4)"),"خبرنامه")</f>
        <v>خبرنامه</v>
      </c>
    </row>
    <row r="289">
      <c r="A289" s="1" t="s">
        <v>831</v>
      </c>
      <c r="B289" s="1" t="s">
        <v>1045</v>
      </c>
      <c r="C289" s="1" t="s">
        <v>21</v>
      </c>
      <c r="D289" s="4" t="s">
        <v>1046</v>
      </c>
      <c r="E289" s="1" t="s">
        <v>750</v>
      </c>
      <c r="F289" s="1" t="s">
        <v>1019</v>
      </c>
      <c r="G289" s="1" t="s">
        <v>71</v>
      </c>
      <c r="H289" s="1" t="s">
        <v>1047</v>
      </c>
      <c r="I289" s="1" t="str">
        <f t="shared" si="1"/>
        <v>x</v>
      </c>
      <c r="J289" s="5"/>
      <c r="K289" s="1" t="str">
        <f t="shared" si="2"/>
        <v>9</v>
      </c>
      <c r="L289" s="5"/>
      <c r="M289" s="2" t="str">
        <f t="shared" si="3"/>
        <v>1387</v>
      </c>
      <c r="N289" s="5"/>
      <c r="O289" s="2">
        <v>85.0</v>
      </c>
      <c r="P289" s="5"/>
      <c r="Q289" s="5"/>
      <c r="R289" s="6" t="s">
        <v>1048</v>
      </c>
      <c r="S289" s="5"/>
      <c r="T289" s="1" t="str">
        <f>IFERROR(__xludf.DUMMYFUNCTION("INDEX(SPLIT(A289, ""/""), 2)"),"تشکل‌های اسلامی و سیاسی")</f>
        <v>تشکل‌های اسلامی و سیاسی</v>
      </c>
      <c r="U289" s="1" t="str">
        <f>IFERROR(__xludf.DUMMYFUNCTION("INDEX(SPLIT(A289, ""/""), 3)"),"انجمن اسلامی دانشجویان")</f>
        <v>انجمن اسلامی دانشجویان</v>
      </c>
      <c r="V289" s="1" t="str">
        <f>IFERROR(__xludf.DUMMYFUNCTION("INDEX(SPLIT(A289, ""/""), 4)"),"خبرنامه")</f>
        <v>خبرنامه</v>
      </c>
    </row>
    <row r="290">
      <c r="A290" s="1" t="s">
        <v>831</v>
      </c>
      <c r="B290" s="1" t="s">
        <v>1049</v>
      </c>
      <c r="C290" s="1" t="s">
        <v>21</v>
      </c>
      <c r="D290" s="4" t="s">
        <v>1050</v>
      </c>
      <c r="E290" s="1" t="s">
        <v>750</v>
      </c>
      <c r="F290" s="1" t="s">
        <v>1019</v>
      </c>
      <c r="G290" s="1" t="s">
        <v>71</v>
      </c>
      <c r="H290" s="1" t="s">
        <v>1047</v>
      </c>
      <c r="I290" s="1" t="str">
        <f t="shared" si="1"/>
        <v>x</v>
      </c>
      <c r="J290" s="5"/>
      <c r="K290" s="1" t="str">
        <f t="shared" si="2"/>
        <v>9</v>
      </c>
      <c r="L290" s="5"/>
      <c r="M290" s="2" t="str">
        <f t="shared" si="3"/>
        <v>1387</v>
      </c>
      <c r="N290" s="5"/>
      <c r="O290" s="2">
        <v>86.0</v>
      </c>
      <c r="P290" s="5"/>
      <c r="Q290" s="5"/>
      <c r="R290" s="6" t="s">
        <v>1048</v>
      </c>
      <c r="S290" s="5"/>
      <c r="T290" s="1" t="str">
        <f>IFERROR(__xludf.DUMMYFUNCTION("INDEX(SPLIT(A290, ""/""), 2)"),"تشکل‌های اسلامی و سیاسی")</f>
        <v>تشکل‌های اسلامی و سیاسی</v>
      </c>
      <c r="U290" s="1" t="str">
        <f>IFERROR(__xludf.DUMMYFUNCTION("INDEX(SPLIT(A290, ""/""), 3)"),"انجمن اسلامی دانشجویان")</f>
        <v>انجمن اسلامی دانشجویان</v>
      </c>
      <c r="V290" s="1" t="str">
        <f>IFERROR(__xludf.DUMMYFUNCTION("INDEX(SPLIT(A290, ""/""), 4)"),"خبرنامه")</f>
        <v>خبرنامه</v>
      </c>
    </row>
    <row r="291">
      <c r="A291" s="1" t="s">
        <v>831</v>
      </c>
      <c r="B291" s="1" t="s">
        <v>1051</v>
      </c>
      <c r="C291" s="1" t="s">
        <v>21</v>
      </c>
      <c r="D291" s="4" t="s">
        <v>1052</v>
      </c>
      <c r="E291" s="1" t="s">
        <v>750</v>
      </c>
      <c r="F291" s="1" t="s">
        <v>1019</v>
      </c>
      <c r="G291" s="1" t="s">
        <v>71</v>
      </c>
      <c r="H291" s="1" t="s">
        <v>1047</v>
      </c>
      <c r="I291" s="1" t="str">
        <f t="shared" si="1"/>
        <v>x</v>
      </c>
      <c r="J291" s="5"/>
      <c r="K291" s="1" t="str">
        <f t="shared" si="2"/>
        <v>9</v>
      </c>
      <c r="L291" s="5"/>
      <c r="M291" s="2" t="str">
        <f t="shared" si="3"/>
        <v>1387</v>
      </c>
      <c r="N291" s="5"/>
      <c r="O291" s="2">
        <v>87.0</v>
      </c>
      <c r="P291" s="5"/>
      <c r="Q291" s="5"/>
      <c r="R291" s="6" t="s">
        <v>1048</v>
      </c>
      <c r="S291" s="5"/>
      <c r="T291" s="1" t="str">
        <f>IFERROR(__xludf.DUMMYFUNCTION("INDEX(SPLIT(A291, ""/""), 2)"),"تشکل‌های اسلامی و سیاسی")</f>
        <v>تشکل‌های اسلامی و سیاسی</v>
      </c>
      <c r="U291" s="1" t="str">
        <f>IFERROR(__xludf.DUMMYFUNCTION("INDEX(SPLIT(A291, ""/""), 3)"),"انجمن اسلامی دانشجویان")</f>
        <v>انجمن اسلامی دانشجویان</v>
      </c>
      <c r="V291" s="1" t="str">
        <f>IFERROR(__xludf.DUMMYFUNCTION("INDEX(SPLIT(A291, ""/""), 4)"),"خبرنامه")</f>
        <v>خبرنامه</v>
      </c>
    </row>
    <row r="292">
      <c r="A292" s="1" t="s">
        <v>831</v>
      </c>
      <c r="B292" s="1" t="s">
        <v>1053</v>
      </c>
      <c r="C292" s="1" t="s">
        <v>21</v>
      </c>
      <c r="D292" s="4" t="s">
        <v>1054</v>
      </c>
      <c r="E292" s="1" t="s">
        <v>750</v>
      </c>
      <c r="F292" s="1" t="s">
        <v>1019</v>
      </c>
      <c r="G292" s="1" t="s">
        <v>71</v>
      </c>
      <c r="H292" s="1" t="s">
        <v>1055</v>
      </c>
      <c r="I292" s="1" t="str">
        <f t="shared" si="1"/>
        <v>20</v>
      </c>
      <c r="J292" s="5"/>
      <c r="K292" s="1" t="str">
        <f t="shared" si="2"/>
        <v>11</v>
      </c>
      <c r="L292" s="5"/>
      <c r="M292" s="2" t="str">
        <f t="shared" si="3"/>
        <v>1387</v>
      </c>
      <c r="N292" s="5"/>
      <c r="O292" s="2">
        <v>88.0</v>
      </c>
      <c r="P292" s="5"/>
      <c r="Q292" s="5"/>
      <c r="R292" s="6" t="s">
        <v>1055</v>
      </c>
      <c r="S292" s="5"/>
      <c r="T292" s="1" t="str">
        <f>IFERROR(__xludf.DUMMYFUNCTION("INDEX(SPLIT(A292, ""/""), 2)"),"تشکل‌های اسلامی و سیاسی")</f>
        <v>تشکل‌های اسلامی و سیاسی</v>
      </c>
      <c r="U292" s="1" t="str">
        <f>IFERROR(__xludf.DUMMYFUNCTION("INDEX(SPLIT(A292, ""/""), 3)"),"انجمن اسلامی دانشجویان")</f>
        <v>انجمن اسلامی دانشجویان</v>
      </c>
      <c r="V292" s="1" t="str">
        <f>IFERROR(__xludf.DUMMYFUNCTION("INDEX(SPLIT(A292, ""/""), 4)"),"خبرنامه")</f>
        <v>خبرنامه</v>
      </c>
    </row>
    <row r="293">
      <c r="A293" s="1" t="s">
        <v>831</v>
      </c>
      <c r="B293" s="1" t="s">
        <v>1056</v>
      </c>
      <c r="C293" s="1" t="s">
        <v>21</v>
      </c>
      <c r="D293" s="4" t="s">
        <v>1057</v>
      </c>
      <c r="E293" s="1" t="s">
        <v>750</v>
      </c>
      <c r="F293" s="1" t="s">
        <v>1019</v>
      </c>
      <c r="G293" s="1" t="s">
        <v>1058</v>
      </c>
      <c r="H293" s="7" t="s">
        <v>1059</v>
      </c>
      <c r="I293" s="1" t="str">
        <f t="shared" si="1"/>
        <v>12</v>
      </c>
      <c r="J293" s="5"/>
      <c r="K293" s="1" t="str">
        <f t="shared" si="2"/>
        <v>12</v>
      </c>
      <c r="L293" s="5"/>
      <c r="M293" s="2" t="str">
        <f t="shared" si="3"/>
        <v>1387</v>
      </c>
      <c r="N293" s="5"/>
      <c r="O293" s="2">
        <v>90.0</v>
      </c>
      <c r="P293" s="5"/>
      <c r="Q293" s="5"/>
      <c r="R293" s="8" t="s">
        <v>1059</v>
      </c>
      <c r="S293" s="5"/>
      <c r="T293" s="1" t="str">
        <f>IFERROR(__xludf.DUMMYFUNCTION("INDEX(SPLIT(A293, ""/""), 2)"),"تشکل‌های اسلامی و سیاسی")</f>
        <v>تشکل‌های اسلامی و سیاسی</v>
      </c>
      <c r="U293" s="1" t="str">
        <f>IFERROR(__xludf.DUMMYFUNCTION("INDEX(SPLIT(A293, ""/""), 3)"),"انجمن اسلامی دانشجویان")</f>
        <v>انجمن اسلامی دانشجویان</v>
      </c>
      <c r="V293" s="1" t="str">
        <f>IFERROR(__xludf.DUMMYFUNCTION("INDEX(SPLIT(A293, ""/""), 4)"),"خبرنامه")</f>
        <v>خبرنامه</v>
      </c>
    </row>
    <row r="294">
      <c r="A294" s="1" t="s">
        <v>831</v>
      </c>
      <c r="B294" s="1" t="s">
        <v>1060</v>
      </c>
      <c r="C294" s="1" t="s">
        <v>21</v>
      </c>
      <c r="D294" s="4" t="s">
        <v>1061</v>
      </c>
      <c r="E294" s="1" t="s">
        <v>750</v>
      </c>
      <c r="F294" s="1" t="s">
        <v>1019</v>
      </c>
      <c r="G294" s="1" t="s">
        <v>1058</v>
      </c>
      <c r="H294" s="1" t="s">
        <v>1062</v>
      </c>
      <c r="I294" s="1" t="str">
        <f t="shared" si="1"/>
        <v>20</v>
      </c>
      <c r="J294" s="5"/>
      <c r="K294" s="1" t="str">
        <f t="shared" si="2"/>
        <v>12</v>
      </c>
      <c r="L294" s="5"/>
      <c r="M294" s="2" t="str">
        <f t="shared" si="3"/>
        <v>1387</v>
      </c>
      <c r="N294" s="5"/>
      <c r="O294" s="2">
        <v>91.0</v>
      </c>
      <c r="P294" s="5"/>
      <c r="Q294" s="5"/>
      <c r="R294" s="6" t="s">
        <v>1062</v>
      </c>
      <c r="S294" s="5"/>
      <c r="T294" s="1" t="str">
        <f>IFERROR(__xludf.DUMMYFUNCTION("INDEX(SPLIT(A294, ""/""), 2)"),"تشکل‌های اسلامی و سیاسی")</f>
        <v>تشکل‌های اسلامی و سیاسی</v>
      </c>
      <c r="U294" s="1" t="str">
        <f>IFERROR(__xludf.DUMMYFUNCTION("INDEX(SPLIT(A294, ""/""), 3)"),"انجمن اسلامی دانشجویان")</f>
        <v>انجمن اسلامی دانشجویان</v>
      </c>
      <c r="V294" s="1" t="str">
        <f>IFERROR(__xludf.DUMMYFUNCTION("INDEX(SPLIT(A294, ""/""), 4)"),"خبرنامه")</f>
        <v>خبرنامه</v>
      </c>
    </row>
    <row r="295">
      <c r="A295" s="1" t="s">
        <v>831</v>
      </c>
      <c r="B295" s="1" t="s">
        <v>1063</v>
      </c>
      <c r="C295" s="1" t="s">
        <v>21</v>
      </c>
      <c r="D295" s="4" t="s">
        <v>1064</v>
      </c>
      <c r="E295" s="1" t="s">
        <v>750</v>
      </c>
      <c r="F295" s="1" t="s">
        <v>1019</v>
      </c>
      <c r="G295" s="1" t="s">
        <v>1058</v>
      </c>
      <c r="H295" s="1" t="s">
        <v>1065</v>
      </c>
      <c r="I295" s="1" t="str">
        <f t="shared" si="1"/>
        <v>24</v>
      </c>
      <c r="J295" s="5"/>
      <c r="K295" s="1" t="str">
        <f t="shared" si="2"/>
        <v>1</v>
      </c>
      <c r="L295" s="5"/>
      <c r="M295" s="2" t="str">
        <f t="shared" si="3"/>
        <v>1388</v>
      </c>
      <c r="N295" s="5"/>
      <c r="O295" s="2">
        <v>92.0</v>
      </c>
      <c r="P295" s="5"/>
      <c r="Q295" s="5"/>
      <c r="R295" s="6" t="s">
        <v>1065</v>
      </c>
      <c r="S295" s="5"/>
      <c r="T295" s="1" t="str">
        <f>IFERROR(__xludf.DUMMYFUNCTION("INDEX(SPLIT(A295, ""/""), 2)"),"تشکل‌های اسلامی و سیاسی")</f>
        <v>تشکل‌های اسلامی و سیاسی</v>
      </c>
      <c r="U295" s="1" t="str">
        <f>IFERROR(__xludf.DUMMYFUNCTION("INDEX(SPLIT(A295, ""/""), 3)"),"انجمن اسلامی دانشجویان")</f>
        <v>انجمن اسلامی دانشجویان</v>
      </c>
      <c r="V295" s="1" t="str">
        <f>IFERROR(__xludf.DUMMYFUNCTION("INDEX(SPLIT(A295, ""/""), 4)"),"خبرنامه")</f>
        <v>خبرنامه</v>
      </c>
    </row>
    <row r="296">
      <c r="A296" s="1" t="s">
        <v>831</v>
      </c>
      <c r="B296" s="1" t="s">
        <v>1066</v>
      </c>
      <c r="C296" s="1" t="s">
        <v>21</v>
      </c>
      <c r="D296" s="4" t="s">
        <v>1067</v>
      </c>
      <c r="E296" s="1" t="s">
        <v>750</v>
      </c>
      <c r="F296" s="1" t="s">
        <v>1019</v>
      </c>
      <c r="G296" s="1" t="s">
        <v>1058</v>
      </c>
      <c r="H296" s="7" t="s">
        <v>1068</v>
      </c>
      <c r="I296" s="1" t="str">
        <f t="shared" si="1"/>
        <v>1</v>
      </c>
      <c r="J296" s="5"/>
      <c r="K296" s="1" t="str">
        <f t="shared" si="2"/>
        <v>2</v>
      </c>
      <c r="L296" s="5"/>
      <c r="M296" s="2" t="str">
        <f t="shared" si="3"/>
        <v>1388</v>
      </c>
      <c r="N296" s="5"/>
      <c r="O296" s="2">
        <v>93.0</v>
      </c>
      <c r="P296" s="5"/>
      <c r="Q296" s="5"/>
      <c r="R296" s="8" t="s">
        <v>1068</v>
      </c>
      <c r="S296" s="5"/>
      <c r="T296" s="1" t="str">
        <f>IFERROR(__xludf.DUMMYFUNCTION("INDEX(SPLIT(A296, ""/""), 2)"),"تشکل‌های اسلامی و سیاسی")</f>
        <v>تشکل‌های اسلامی و سیاسی</v>
      </c>
      <c r="U296" s="1" t="str">
        <f>IFERROR(__xludf.DUMMYFUNCTION("INDEX(SPLIT(A296, ""/""), 3)"),"انجمن اسلامی دانشجویان")</f>
        <v>انجمن اسلامی دانشجویان</v>
      </c>
      <c r="V296" s="1" t="str">
        <f>IFERROR(__xludf.DUMMYFUNCTION("INDEX(SPLIT(A296, ""/""), 4)"),"خبرنامه")</f>
        <v>خبرنامه</v>
      </c>
    </row>
    <row r="297">
      <c r="A297" s="1" t="s">
        <v>831</v>
      </c>
      <c r="B297" s="1" t="s">
        <v>1069</v>
      </c>
      <c r="C297" s="1" t="s">
        <v>21</v>
      </c>
      <c r="D297" s="4" t="s">
        <v>1070</v>
      </c>
      <c r="E297" s="1" t="s">
        <v>750</v>
      </c>
      <c r="F297" s="1" t="s">
        <v>1019</v>
      </c>
      <c r="G297" s="1" t="s">
        <v>1058</v>
      </c>
      <c r="H297" s="1" t="s">
        <v>1071</v>
      </c>
      <c r="I297" s="1" t="str">
        <f t="shared" si="1"/>
        <v>20</v>
      </c>
      <c r="J297" s="5"/>
      <c r="K297" s="1" t="str">
        <f t="shared" si="2"/>
        <v>2</v>
      </c>
      <c r="L297" s="5"/>
      <c r="M297" s="2" t="str">
        <f t="shared" si="3"/>
        <v>1388</v>
      </c>
      <c r="N297" s="5"/>
      <c r="O297" s="2">
        <v>94.0</v>
      </c>
      <c r="P297" s="5"/>
      <c r="Q297" s="5"/>
      <c r="R297" s="6" t="s">
        <v>1071</v>
      </c>
      <c r="S297" s="5"/>
      <c r="T297" s="1" t="str">
        <f>IFERROR(__xludf.DUMMYFUNCTION("INDEX(SPLIT(A297, ""/""), 2)"),"تشکل‌های اسلامی و سیاسی")</f>
        <v>تشکل‌های اسلامی و سیاسی</v>
      </c>
      <c r="U297" s="1" t="str">
        <f>IFERROR(__xludf.DUMMYFUNCTION("INDEX(SPLIT(A297, ""/""), 3)"),"انجمن اسلامی دانشجویان")</f>
        <v>انجمن اسلامی دانشجویان</v>
      </c>
      <c r="V297" s="1" t="str">
        <f>IFERROR(__xludf.DUMMYFUNCTION("INDEX(SPLIT(A297, ""/""), 4)"),"خبرنامه")</f>
        <v>خبرنامه</v>
      </c>
    </row>
    <row r="298">
      <c r="A298" s="1" t="s">
        <v>831</v>
      </c>
      <c r="B298" s="1" t="s">
        <v>1072</v>
      </c>
      <c r="C298" s="1" t="s">
        <v>21</v>
      </c>
      <c r="D298" s="4" t="s">
        <v>1073</v>
      </c>
      <c r="E298" s="1" t="s">
        <v>750</v>
      </c>
      <c r="F298" s="1" t="s">
        <v>1019</v>
      </c>
      <c r="G298" s="1" t="s">
        <v>1058</v>
      </c>
      <c r="H298" s="7" t="s">
        <v>1074</v>
      </c>
      <c r="I298" s="1" t="str">
        <f t="shared" si="1"/>
        <v>4</v>
      </c>
      <c r="J298" s="5"/>
      <c r="K298" s="1" t="str">
        <f t="shared" si="2"/>
        <v>3</v>
      </c>
      <c r="L298" s="5"/>
      <c r="M298" s="2" t="str">
        <f t="shared" si="3"/>
        <v>1388</v>
      </c>
      <c r="N298" s="5"/>
      <c r="O298" s="2">
        <v>95.0</v>
      </c>
      <c r="P298" s="5"/>
      <c r="Q298" s="5"/>
      <c r="R298" s="8" t="s">
        <v>1074</v>
      </c>
      <c r="S298" s="5"/>
      <c r="T298" s="1" t="str">
        <f>IFERROR(__xludf.DUMMYFUNCTION("INDEX(SPLIT(A298, ""/""), 2)"),"تشکل‌های اسلامی و سیاسی")</f>
        <v>تشکل‌های اسلامی و سیاسی</v>
      </c>
      <c r="U298" s="1" t="str">
        <f>IFERROR(__xludf.DUMMYFUNCTION("INDEX(SPLIT(A298, ""/""), 3)"),"انجمن اسلامی دانشجویان")</f>
        <v>انجمن اسلامی دانشجویان</v>
      </c>
      <c r="V298" s="1" t="str">
        <f>IFERROR(__xludf.DUMMYFUNCTION("INDEX(SPLIT(A298, ""/""), 4)"),"خبرنامه")</f>
        <v>خبرنامه</v>
      </c>
    </row>
    <row r="299">
      <c r="A299" s="1" t="s">
        <v>831</v>
      </c>
      <c r="B299" s="1" t="s">
        <v>1075</v>
      </c>
      <c r="C299" s="1" t="s">
        <v>21</v>
      </c>
      <c r="D299" s="4" t="s">
        <v>1076</v>
      </c>
      <c r="E299" s="1" t="s">
        <v>750</v>
      </c>
      <c r="F299" s="1" t="s">
        <v>1019</v>
      </c>
      <c r="G299" s="1" t="s">
        <v>1058</v>
      </c>
      <c r="H299" s="1" t="s">
        <v>1077</v>
      </c>
      <c r="I299" s="1" t="str">
        <f t="shared" si="1"/>
        <v>x</v>
      </c>
      <c r="J299" s="5"/>
      <c r="K299" s="1" t="str">
        <f t="shared" si="2"/>
        <v>7</v>
      </c>
      <c r="L299" s="5"/>
      <c r="M299" s="2" t="str">
        <f t="shared" si="3"/>
        <v>1388</v>
      </c>
      <c r="N299" s="5"/>
      <c r="O299" s="2" t="s">
        <v>1078</v>
      </c>
      <c r="P299" s="5"/>
      <c r="Q299" s="5"/>
      <c r="R299" s="6" t="s">
        <v>1079</v>
      </c>
      <c r="S299" s="5"/>
      <c r="T299" s="1" t="str">
        <f>IFERROR(__xludf.DUMMYFUNCTION("INDEX(SPLIT(A299, ""/""), 2)"),"تشکل‌های اسلامی و سیاسی")</f>
        <v>تشکل‌های اسلامی و سیاسی</v>
      </c>
      <c r="U299" s="1" t="str">
        <f>IFERROR(__xludf.DUMMYFUNCTION("INDEX(SPLIT(A299, ""/""), 3)"),"انجمن اسلامی دانشجویان")</f>
        <v>انجمن اسلامی دانشجویان</v>
      </c>
      <c r="V299" s="1" t="str">
        <f>IFERROR(__xludf.DUMMYFUNCTION("INDEX(SPLIT(A299, ""/""), 4)"),"خبرنامه")</f>
        <v>خبرنامه</v>
      </c>
    </row>
    <row r="300">
      <c r="A300" s="1" t="s">
        <v>831</v>
      </c>
      <c r="B300" s="1" t="s">
        <v>1080</v>
      </c>
      <c r="C300" s="1" t="s">
        <v>21</v>
      </c>
      <c r="D300" s="4" t="s">
        <v>1081</v>
      </c>
      <c r="E300" s="1" t="s">
        <v>750</v>
      </c>
      <c r="F300" s="1" t="s">
        <v>1019</v>
      </c>
      <c r="G300" s="1" t="s">
        <v>1058</v>
      </c>
      <c r="H300" s="1" t="s">
        <v>1082</v>
      </c>
      <c r="I300" s="1" t="str">
        <f t="shared" si="1"/>
        <v>20</v>
      </c>
      <c r="J300" s="5"/>
      <c r="K300" s="1" t="str">
        <f t="shared" si="2"/>
        <v>8</v>
      </c>
      <c r="L300" s="5"/>
      <c r="M300" s="2" t="str">
        <f t="shared" si="3"/>
        <v>1388</v>
      </c>
      <c r="N300" s="5"/>
      <c r="O300" s="2">
        <v>96.0</v>
      </c>
      <c r="P300" s="5"/>
      <c r="Q300" s="5"/>
      <c r="R300" s="6" t="s">
        <v>1082</v>
      </c>
      <c r="S300" s="5"/>
      <c r="T300" s="1" t="str">
        <f>IFERROR(__xludf.DUMMYFUNCTION("INDEX(SPLIT(A300, ""/""), 2)"),"تشکل‌های اسلامی و سیاسی")</f>
        <v>تشکل‌های اسلامی و سیاسی</v>
      </c>
      <c r="U300" s="1" t="str">
        <f>IFERROR(__xludf.DUMMYFUNCTION("INDEX(SPLIT(A300, ""/""), 3)"),"انجمن اسلامی دانشجویان")</f>
        <v>انجمن اسلامی دانشجویان</v>
      </c>
      <c r="V300" s="1" t="str">
        <f>IFERROR(__xludf.DUMMYFUNCTION("INDEX(SPLIT(A300, ""/""), 4)"),"خبرنامه")</f>
        <v>خبرنامه</v>
      </c>
    </row>
    <row r="301">
      <c r="A301" s="1" t="s">
        <v>831</v>
      </c>
      <c r="B301" s="1" t="s">
        <v>1083</v>
      </c>
      <c r="C301" s="1" t="s">
        <v>21</v>
      </c>
      <c r="D301" s="4" t="s">
        <v>1084</v>
      </c>
      <c r="E301" s="1" t="s">
        <v>750</v>
      </c>
      <c r="F301" s="1" t="s">
        <v>1019</v>
      </c>
      <c r="G301" s="1" t="s">
        <v>1058</v>
      </c>
      <c r="H301" s="1" t="s">
        <v>1085</v>
      </c>
      <c r="I301" s="1" t="str">
        <f t="shared" si="1"/>
        <v>20</v>
      </c>
      <c r="J301" s="5"/>
      <c r="K301" s="1" t="str">
        <f t="shared" si="2"/>
        <v>7</v>
      </c>
      <c r="L301" s="5"/>
      <c r="M301" s="2" t="str">
        <f t="shared" si="3"/>
        <v>1388</v>
      </c>
      <c r="N301" s="5"/>
      <c r="O301" s="2" t="s">
        <v>1086</v>
      </c>
      <c r="P301" s="5"/>
      <c r="Q301" s="5"/>
      <c r="R301" s="6" t="s">
        <v>1085</v>
      </c>
      <c r="S301" s="5"/>
      <c r="T301" s="1" t="str">
        <f>IFERROR(__xludf.DUMMYFUNCTION("INDEX(SPLIT(A301, ""/""), 2)"),"تشکل‌های اسلامی و سیاسی")</f>
        <v>تشکل‌های اسلامی و سیاسی</v>
      </c>
      <c r="U301" s="1" t="str">
        <f>IFERROR(__xludf.DUMMYFUNCTION("INDEX(SPLIT(A301, ""/""), 3)"),"انجمن اسلامی دانشجویان")</f>
        <v>انجمن اسلامی دانشجویان</v>
      </c>
      <c r="V301" s="1" t="str">
        <f>IFERROR(__xludf.DUMMYFUNCTION("INDEX(SPLIT(A301, ""/""), 4)"),"خبرنامه")</f>
        <v>خبرنامه</v>
      </c>
    </row>
    <row r="302">
      <c r="A302" s="1" t="s">
        <v>831</v>
      </c>
      <c r="B302" s="1" t="s">
        <v>1087</v>
      </c>
      <c r="C302" s="1" t="s">
        <v>21</v>
      </c>
      <c r="D302" s="4" t="s">
        <v>1088</v>
      </c>
      <c r="E302" s="1" t="s">
        <v>750</v>
      </c>
      <c r="F302" s="1" t="s">
        <v>1019</v>
      </c>
      <c r="G302" s="1" t="s">
        <v>1058</v>
      </c>
      <c r="H302" s="7" t="s">
        <v>1089</v>
      </c>
      <c r="I302" s="1" t="str">
        <f t="shared" si="1"/>
        <v>9</v>
      </c>
      <c r="J302" s="5"/>
      <c r="K302" s="1" t="str">
        <f t="shared" si="2"/>
        <v>8</v>
      </c>
      <c r="L302" s="5"/>
      <c r="M302" s="2" t="str">
        <f t="shared" si="3"/>
        <v>1388</v>
      </c>
      <c r="N302" s="5"/>
      <c r="O302" s="2" t="s">
        <v>1090</v>
      </c>
      <c r="P302" s="5"/>
      <c r="Q302" s="5"/>
      <c r="R302" s="8" t="s">
        <v>1089</v>
      </c>
      <c r="S302" s="5"/>
      <c r="T302" s="1" t="str">
        <f>IFERROR(__xludf.DUMMYFUNCTION("INDEX(SPLIT(A302, ""/""), 2)"),"تشکل‌های اسلامی و سیاسی")</f>
        <v>تشکل‌های اسلامی و سیاسی</v>
      </c>
      <c r="U302" s="1" t="str">
        <f>IFERROR(__xludf.DUMMYFUNCTION("INDEX(SPLIT(A302, ""/""), 3)"),"انجمن اسلامی دانشجویان")</f>
        <v>انجمن اسلامی دانشجویان</v>
      </c>
      <c r="V302" s="1" t="str">
        <f>IFERROR(__xludf.DUMMYFUNCTION("INDEX(SPLIT(A302, ""/""), 4)"),"خبرنامه")</f>
        <v>خبرنامه</v>
      </c>
    </row>
    <row r="303">
      <c r="A303" s="1" t="s">
        <v>831</v>
      </c>
      <c r="B303" s="1" t="s">
        <v>1091</v>
      </c>
      <c r="C303" s="1" t="s">
        <v>21</v>
      </c>
      <c r="D303" s="4" t="s">
        <v>1092</v>
      </c>
      <c r="E303" s="1" t="s">
        <v>750</v>
      </c>
      <c r="F303" s="1" t="s">
        <v>1019</v>
      </c>
      <c r="G303" s="1" t="s">
        <v>1058</v>
      </c>
      <c r="H303" s="7" t="s">
        <v>1093</v>
      </c>
      <c r="I303" s="1" t="str">
        <f t="shared" si="1"/>
        <v>9</v>
      </c>
      <c r="J303" s="5"/>
      <c r="K303" s="1" t="str">
        <f t="shared" si="2"/>
        <v>9</v>
      </c>
      <c r="L303" s="5"/>
      <c r="M303" s="2" t="str">
        <f t="shared" si="3"/>
        <v>1388</v>
      </c>
      <c r="N303" s="5"/>
      <c r="O303" s="2">
        <v>97.0</v>
      </c>
      <c r="P303" s="5"/>
      <c r="Q303" s="5"/>
      <c r="R303" s="8" t="s">
        <v>1093</v>
      </c>
      <c r="S303" s="5"/>
      <c r="T303" s="1" t="str">
        <f>IFERROR(__xludf.DUMMYFUNCTION("INDEX(SPLIT(A303, ""/""), 2)"),"تشکل‌های اسلامی و سیاسی")</f>
        <v>تشکل‌های اسلامی و سیاسی</v>
      </c>
      <c r="U303" s="1" t="str">
        <f>IFERROR(__xludf.DUMMYFUNCTION("INDEX(SPLIT(A303, ""/""), 3)"),"انجمن اسلامی دانشجویان")</f>
        <v>انجمن اسلامی دانشجویان</v>
      </c>
      <c r="V303" s="1" t="str">
        <f>IFERROR(__xludf.DUMMYFUNCTION("INDEX(SPLIT(A303, ""/""), 4)"),"خبرنامه")</f>
        <v>خبرنامه</v>
      </c>
    </row>
    <row r="304">
      <c r="A304" s="1" t="s">
        <v>831</v>
      </c>
      <c r="B304" s="1" t="s">
        <v>1094</v>
      </c>
      <c r="C304" s="1" t="s">
        <v>21</v>
      </c>
      <c r="D304" s="4" t="s">
        <v>1095</v>
      </c>
      <c r="E304" s="1" t="s">
        <v>750</v>
      </c>
      <c r="F304" s="1" t="s">
        <v>1019</v>
      </c>
      <c r="G304" s="1" t="s">
        <v>1058</v>
      </c>
      <c r="H304" s="1" t="s">
        <v>1096</v>
      </c>
      <c r="I304" s="1" t="str">
        <f t="shared" si="1"/>
        <v>24</v>
      </c>
      <c r="J304" s="5"/>
      <c r="K304" s="1" t="str">
        <f t="shared" si="2"/>
        <v>9</v>
      </c>
      <c r="L304" s="5"/>
      <c r="M304" s="2" t="str">
        <f t="shared" si="3"/>
        <v>1388</v>
      </c>
      <c r="N304" s="5"/>
      <c r="O304" s="2" t="s">
        <v>1097</v>
      </c>
      <c r="P304" s="5"/>
      <c r="Q304" s="5"/>
      <c r="R304" s="6" t="s">
        <v>1096</v>
      </c>
      <c r="S304" s="5"/>
      <c r="T304" s="1" t="str">
        <f>IFERROR(__xludf.DUMMYFUNCTION("INDEX(SPLIT(A304, ""/""), 2)"),"تشکل‌های اسلامی و سیاسی")</f>
        <v>تشکل‌های اسلامی و سیاسی</v>
      </c>
      <c r="U304" s="1" t="str">
        <f>IFERROR(__xludf.DUMMYFUNCTION("INDEX(SPLIT(A304, ""/""), 3)"),"انجمن اسلامی دانشجویان")</f>
        <v>انجمن اسلامی دانشجویان</v>
      </c>
      <c r="V304" s="1" t="str">
        <f>IFERROR(__xludf.DUMMYFUNCTION("INDEX(SPLIT(A304, ""/""), 4)"),"خبرنامه")</f>
        <v>خبرنامه</v>
      </c>
    </row>
    <row r="305">
      <c r="A305" s="1" t="s">
        <v>831</v>
      </c>
      <c r="B305" s="1" t="s">
        <v>1098</v>
      </c>
      <c r="C305" s="1" t="s">
        <v>21</v>
      </c>
      <c r="D305" s="4" t="s">
        <v>1099</v>
      </c>
      <c r="E305" s="1" t="s">
        <v>750</v>
      </c>
      <c r="F305" s="1" t="s">
        <v>1019</v>
      </c>
      <c r="G305" s="1" t="s">
        <v>1058</v>
      </c>
      <c r="H305" s="1" t="s">
        <v>1100</v>
      </c>
      <c r="I305" s="1" t="str">
        <f t="shared" si="1"/>
        <v>19</v>
      </c>
      <c r="J305" s="5"/>
      <c r="K305" s="1" t="str">
        <f t="shared" si="2"/>
        <v>11</v>
      </c>
      <c r="L305" s="5"/>
      <c r="M305" s="2" t="str">
        <f t="shared" si="3"/>
        <v>1388</v>
      </c>
      <c r="N305" s="5"/>
      <c r="O305" s="2">
        <v>98.0</v>
      </c>
      <c r="P305" s="5"/>
      <c r="Q305" s="5"/>
      <c r="R305" s="6" t="s">
        <v>1100</v>
      </c>
      <c r="S305" s="5"/>
      <c r="T305" s="1" t="str">
        <f>IFERROR(__xludf.DUMMYFUNCTION("INDEX(SPLIT(A305, ""/""), 2)"),"تشکل‌های اسلامی و سیاسی")</f>
        <v>تشکل‌های اسلامی و سیاسی</v>
      </c>
      <c r="U305" s="1" t="str">
        <f>IFERROR(__xludf.DUMMYFUNCTION("INDEX(SPLIT(A305, ""/""), 3)"),"انجمن اسلامی دانشجویان")</f>
        <v>انجمن اسلامی دانشجویان</v>
      </c>
      <c r="V305" s="1" t="str">
        <f>IFERROR(__xludf.DUMMYFUNCTION("INDEX(SPLIT(A305, ""/""), 4)"),"خبرنامه")</f>
        <v>خبرنامه</v>
      </c>
    </row>
    <row r="306">
      <c r="A306" s="1" t="s">
        <v>831</v>
      </c>
      <c r="B306" s="1" t="s">
        <v>1101</v>
      </c>
      <c r="C306" s="1" t="s">
        <v>21</v>
      </c>
      <c r="D306" s="4" t="s">
        <v>1102</v>
      </c>
      <c r="E306" s="1" t="s">
        <v>750</v>
      </c>
      <c r="F306" s="1" t="s">
        <v>1019</v>
      </c>
      <c r="G306" s="1" t="s">
        <v>1058</v>
      </c>
      <c r="H306" s="1" t="s">
        <v>1103</v>
      </c>
      <c r="I306" s="1" t="str">
        <f t="shared" si="1"/>
        <v>21</v>
      </c>
      <c r="J306" s="5"/>
      <c r="K306" s="1" t="str">
        <f t="shared" si="2"/>
        <v>9</v>
      </c>
      <c r="L306" s="5"/>
      <c r="M306" s="2" t="str">
        <f t="shared" si="3"/>
        <v>1388</v>
      </c>
      <c r="N306" s="5"/>
      <c r="O306" s="2">
        <v>98.0</v>
      </c>
      <c r="P306" s="5"/>
      <c r="Q306" s="5"/>
      <c r="R306" s="6" t="s">
        <v>1103</v>
      </c>
      <c r="S306" s="5"/>
      <c r="T306" s="1" t="str">
        <f>IFERROR(__xludf.DUMMYFUNCTION("INDEX(SPLIT(A306, ""/""), 2)"),"تشکل‌های اسلامی و سیاسی")</f>
        <v>تشکل‌های اسلامی و سیاسی</v>
      </c>
      <c r="U306" s="1" t="str">
        <f>IFERROR(__xludf.DUMMYFUNCTION("INDEX(SPLIT(A306, ""/""), 3)"),"انجمن اسلامی دانشجویان")</f>
        <v>انجمن اسلامی دانشجویان</v>
      </c>
      <c r="V306" s="1" t="str">
        <f>IFERROR(__xludf.DUMMYFUNCTION("INDEX(SPLIT(A306, ""/""), 4)"),"خبرنامه")</f>
        <v>خبرنامه</v>
      </c>
    </row>
    <row r="307">
      <c r="A307" s="1" t="s">
        <v>831</v>
      </c>
      <c r="B307" s="1" t="s">
        <v>1104</v>
      </c>
      <c r="C307" s="1" t="s">
        <v>21</v>
      </c>
      <c r="D307" s="4" t="s">
        <v>1105</v>
      </c>
      <c r="E307" s="1" t="s">
        <v>750</v>
      </c>
      <c r="F307" s="1" t="s">
        <v>1058</v>
      </c>
      <c r="G307" s="1" t="s">
        <v>1058</v>
      </c>
      <c r="H307" s="7" t="s">
        <v>1106</v>
      </c>
      <c r="I307" s="1" t="str">
        <f t="shared" si="1"/>
        <v>3</v>
      </c>
      <c r="J307" s="5"/>
      <c r="K307" s="1" t="str">
        <f t="shared" si="2"/>
        <v>12</v>
      </c>
      <c r="L307" s="5"/>
      <c r="M307" s="2" t="str">
        <f t="shared" si="3"/>
        <v>1388</v>
      </c>
      <c r="N307" s="5"/>
      <c r="O307" s="2">
        <v>99.0</v>
      </c>
      <c r="P307" s="5"/>
      <c r="Q307" s="5"/>
      <c r="R307" s="8" t="s">
        <v>1106</v>
      </c>
      <c r="S307" s="5"/>
      <c r="T307" s="1" t="str">
        <f>IFERROR(__xludf.DUMMYFUNCTION("INDEX(SPLIT(A307, ""/""), 2)"),"تشکل‌های اسلامی و سیاسی")</f>
        <v>تشکل‌های اسلامی و سیاسی</v>
      </c>
      <c r="U307" s="1" t="str">
        <f>IFERROR(__xludf.DUMMYFUNCTION("INDEX(SPLIT(A307, ""/""), 3)"),"انجمن اسلامی دانشجویان")</f>
        <v>انجمن اسلامی دانشجویان</v>
      </c>
      <c r="V307" s="1" t="str">
        <f>IFERROR(__xludf.DUMMYFUNCTION("INDEX(SPLIT(A307, ""/""), 4)"),"خبرنامه")</f>
        <v>خبرنامه</v>
      </c>
    </row>
    <row r="308">
      <c r="A308" s="1" t="s">
        <v>831</v>
      </c>
      <c r="B308" s="1" t="s">
        <v>1107</v>
      </c>
      <c r="C308" s="1" t="s">
        <v>21</v>
      </c>
      <c r="D308" s="4" t="s">
        <v>1108</v>
      </c>
      <c r="E308" s="1" t="s">
        <v>750</v>
      </c>
      <c r="F308" s="1" t="s">
        <v>1058</v>
      </c>
      <c r="G308" s="1" t="s">
        <v>1058</v>
      </c>
      <c r="H308" s="1" t="s">
        <v>1109</v>
      </c>
      <c r="I308" s="1" t="str">
        <f t="shared" si="1"/>
        <v>17</v>
      </c>
      <c r="J308" s="5"/>
      <c r="K308" s="1" t="str">
        <f t="shared" si="2"/>
        <v>12</v>
      </c>
      <c r="L308" s="5"/>
      <c r="M308" s="2" t="str">
        <f t="shared" si="3"/>
        <v>1388</v>
      </c>
      <c r="N308" s="5"/>
      <c r="O308" s="2">
        <v>100.0</v>
      </c>
      <c r="P308" s="5"/>
      <c r="Q308" s="5"/>
      <c r="R308" s="6" t="s">
        <v>1109</v>
      </c>
      <c r="S308" s="5"/>
      <c r="T308" s="1" t="str">
        <f>IFERROR(__xludf.DUMMYFUNCTION("INDEX(SPLIT(A308, ""/""), 2)"),"تشکل‌های اسلامی و سیاسی")</f>
        <v>تشکل‌های اسلامی و سیاسی</v>
      </c>
      <c r="U308" s="1" t="str">
        <f>IFERROR(__xludf.DUMMYFUNCTION("INDEX(SPLIT(A308, ""/""), 3)"),"انجمن اسلامی دانشجویان")</f>
        <v>انجمن اسلامی دانشجویان</v>
      </c>
      <c r="V308" s="1" t="str">
        <f>IFERROR(__xludf.DUMMYFUNCTION("INDEX(SPLIT(A308, ""/""), 4)"),"خبرنامه")</f>
        <v>خبرنامه</v>
      </c>
    </row>
    <row r="309">
      <c r="A309" s="1" t="s">
        <v>831</v>
      </c>
      <c r="B309" s="1" t="s">
        <v>1110</v>
      </c>
      <c r="C309" s="1" t="s">
        <v>21</v>
      </c>
      <c r="D309" s="4" t="s">
        <v>1111</v>
      </c>
      <c r="E309" s="1" t="s">
        <v>750</v>
      </c>
      <c r="F309" s="1" t="s">
        <v>1058</v>
      </c>
      <c r="G309" s="1" t="s">
        <v>1058</v>
      </c>
      <c r="H309" s="7" t="s">
        <v>1112</v>
      </c>
      <c r="I309" s="1" t="str">
        <f t="shared" si="1"/>
        <v>6</v>
      </c>
      <c r="J309" s="5"/>
      <c r="K309" s="1" t="str">
        <f t="shared" si="2"/>
        <v>2</v>
      </c>
      <c r="L309" s="5"/>
      <c r="M309" s="2" t="str">
        <f t="shared" si="3"/>
        <v>1389</v>
      </c>
      <c r="N309" s="5"/>
      <c r="O309" s="2">
        <v>101.0</v>
      </c>
      <c r="P309" s="5"/>
      <c r="Q309" s="5"/>
      <c r="R309" s="8" t="s">
        <v>1112</v>
      </c>
      <c r="S309" s="5"/>
      <c r="T309" s="1" t="str">
        <f>IFERROR(__xludf.DUMMYFUNCTION("INDEX(SPLIT(A309, ""/""), 2)"),"تشکل‌های اسلامی و سیاسی")</f>
        <v>تشکل‌های اسلامی و سیاسی</v>
      </c>
      <c r="U309" s="1" t="str">
        <f>IFERROR(__xludf.DUMMYFUNCTION("INDEX(SPLIT(A309, ""/""), 3)"),"انجمن اسلامی دانشجویان")</f>
        <v>انجمن اسلامی دانشجویان</v>
      </c>
      <c r="V309" s="1" t="str">
        <f>IFERROR(__xludf.DUMMYFUNCTION("INDEX(SPLIT(A309, ""/""), 4)"),"خبرنامه")</f>
        <v>خبرنامه</v>
      </c>
    </row>
    <row r="310">
      <c r="A310" s="1" t="s">
        <v>831</v>
      </c>
      <c r="B310" s="1" t="s">
        <v>1113</v>
      </c>
      <c r="C310" s="1" t="s">
        <v>21</v>
      </c>
      <c r="D310" s="4" t="s">
        <v>1114</v>
      </c>
      <c r="E310" s="1" t="s">
        <v>750</v>
      </c>
      <c r="F310" s="1" t="s">
        <v>1058</v>
      </c>
      <c r="G310" s="1" t="s">
        <v>1058</v>
      </c>
      <c r="H310" s="1" t="s">
        <v>1115</v>
      </c>
      <c r="I310" s="1" t="str">
        <f t="shared" si="1"/>
        <v>13</v>
      </c>
      <c r="J310" s="5"/>
      <c r="K310" s="1" t="str">
        <f t="shared" si="2"/>
        <v>2</v>
      </c>
      <c r="L310" s="5"/>
      <c r="M310" s="2" t="str">
        <f t="shared" si="3"/>
        <v>1389</v>
      </c>
      <c r="N310" s="5"/>
      <c r="O310" s="2">
        <v>102.0</v>
      </c>
      <c r="P310" s="5"/>
      <c r="Q310" s="5"/>
      <c r="R310" s="6" t="s">
        <v>1115</v>
      </c>
      <c r="S310" s="5"/>
      <c r="T310" s="1" t="str">
        <f>IFERROR(__xludf.DUMMYFUNCTION("INDEX(SPLIT(A310, ""/""), 2)"),"تشکل‌های اسلامی و سیاسی")</f>
        <v>تشکل‌های اسلامی و سیاسی</v>
      </c>
      <c r="U310" s="1" t="str">
        <f>IFERROR(__xludf.DUMMYFUNCTION("INDEX(SPLIT(A310, ""/""), 3)"),"انجمن اسلامی دانشجویان")</f>
        <v>انجمن اسلامی دانشجویان</v>
      </c>
      <c r="V310" s="1" t="str">
        <f>IFERROR(__xludf.DUMMYFUNCTION("INDEX(SPLIT(A310, ""/""), 4)"),"خبرنامه")</f>
        <v>خبرنامه</v>
      </c>
    </row>
    <row r="311">
      <c r="A311" s="1" t="s">
        <v>831</v>
      </c>
      <c r="B311" s="1" t="s">
        <v>1116</v>
      </c>
      <c r="C311" s="1" t="s">
        <v>21</v>
      </c>
      <c r="D311" s="4" t="s">
        <v>1117</v>
      </c>
      <c r="E311" s="1" t="s">
        <v>750</v>
      </c>
      <c r="F311" s="1" t="s">
        <v>1058</v>
      </c>
      <c r="G311" s="1" t="s">
        <v>1058</v>
      </c>
      <c r="H311" s="7" t="s">
        <v>1118</v>
      </c>
      <c r="I311" s="1" t="str">
        <f t="shared" si="1"/>
        <v>3</v>
      </c>
      <c r="J311" s="5"/>
      <c r="K311" s="1" t="str">
        <f t="shared" si="2"/>
        <v>3</v>
      </c>
      <c r="L311" s="5"/>
      <c r="M311" s="2" t="str">
        <f t="shared" si="3"/>
        <v>1389</v>
      </c>
      <c r="N311" s="5"/>
      <c r="O311" s="2">
        <v>103.0</v>
      </c>
      <c r="P311" s="5"/>
      <c r="Q311" s="5"/>
      <c r="R311" s="8" t="s">
        <v>1118</v>
      </c>
      <c r="S311" s="5"/>
      <c r="T311" s="1" t="str">
        <f>IFERROR(__xludf.DUMMYFUNCTION("INDEX(SPLIT(A311, ""/""), 2)"),"تشکل‌های اسلامی و سیاسی")</f>
        <v>تشکل‌های اسلامی و سیاسی</v>
      </c>
      <c r="U311" s="1" t="str">
        <f>IFERROR(__xludf.DUMMYFUNCTION("INDEX(SPLIT(A311, ""/""), 3)"),"انجمن اسلامی دانشجویان")</f>
        <v>انجمن اسلامی دانشجویان</v>
      </c>
      <c r="V311" s="1" t="str">
        <f>IFERROR(__xludf.DUMMYFUNCTION("INDEX(SPLIT(A311, ""/""), 4)"),"خبرنامه")</f>
        <v>خبرنامه</v>
      </c>
    </row>
    <row r="312">
      <c r="A312" s="1" t="s">
        <v>831</v>
      </c>
      <c r="B312" s="1" t="s">
        <v>1119</v>
      </c>
      <c r="C312" s="1" t="s">
        <v>21</v>
      </c>
      <c r="D312" s="4" t="s">
        <v>1120</v>
      </c>
      <c r="E312" s="1" t="s">
        <v>750</v>
      </c>
      <c r="F312" s="1" t="s">
        <v>1058</v>
      </c>
      <c r="G312" s="1" t="s">
        <v>1058</v>
      </c>
      <c r="H312" s="7" t="s">
        <v>1121</v>
      </c>
      <c r="I312" s="1" t="str">
        <f t="shared" si="1"/>
        <v>10</v>
      </c>
      <c r="J312" s="5"/>
      <c r="K312" s="1" t="str">
        <f t="shared" si="2"/>
        <v>3</v>
      </c>
      <c r="L312" s="5"/>
      <c r="M312" s="2" t="str">
        <f t="shared" si="3"/>
        <v>1389</v>
      </c>
      <c r="N312" s="5"/>
      <c r="O312" s="2">
        <v>104.0</v>
      </c>
      <c r="P312" s="5"/>
      <c r="Q312" s="5"/>
      <c r="R312" s="8" t="s">
        <v>1121</v>
      </c>
      <c r="S312" s="5"/>
      <c r="T312" s="1" t="str">
        <f>IFERROR(__xludf.DUMMYFUNCTION("INDEX(SPLIT(A312, ""/""), 2)"),"تشکل‌های اسلامی و سیاسی")</f>
        <v>تشکل‌های اسلامی و سیاسی</v>
      </c>
      <c r="U312" s="1" t="str">
        <f>IFERROR(__xludf.DUMMYFUNCTION("INDEX(SPLIT(A312, ""/""), 3)"),"انجمن اسلامی دانشجویان")</f>
        <v>انجمن اسلامی دانشجویان</v>
      </c>
      <c r="V312" s="1" t="str">
        <f>IFERROR(__xludf.DUMMYFUNCTION("INDEX(SPLIT(A312, ""/""), 4)"),"خبرنامه")</f>
        <v>خبرنامه</v>
      </c>
    </row>
    <row r="313">
      <c r="A313" s="1" t="s">
        <v>831</v>
      </c>
      <c r="B313" s="1" t="s">
        <v>1122</v>
      </c>
      <c r="C313" s="1" t="s">
        <v>21</v>
      </c>
      <c r="D313" s="4" t="s">
        <v>1123</v>
      </c>
      <c r="E313" s="1" t="s">
        <v>750</v>
      </c>
      <c r="F313" s="1" t="s">
        <v>1058</v>
      </c>
      <c r="G313" s="1" t="s">
        <v>1058</v>
      </c>
      <c r="H313" s="1" t="s">
        <v>1124</v>
      </c>
      <c r="I313" s="1" t="str">
        <f t="shared" si="1"/>
        <v>17</v>
      </c>
      <c r="J313" s="5"/>
      <c r="K313" s="1" t="str">
        <f t="shared" si="2"/>
        <v>8</v>
      </c>
      <c r="L313" s="5"/>
      <c r="M313" s="2" t="str">
        <f t="shared" si="3"/>
        <v>1389</v>
      </c>
      <c r="N313" s="5"/>
      <c r="O313" s="2">
        <v>105.0</v>
      </c>
      <c r="P313" s="5"/>
      <c r="Q313" s="5"/>
      <c r="R313" s="6" t="s">
        <v>1124</v>
      </c>
      <c r="S313" s="5"/>
      <c r="T313" s="1" t="str">
        <f>IFERROR(__xludf.DUMMYFUNCTION("INDEX(SPLIT(A313, ""/""), 2)"),"تشکل‌های اسلامی و سیاسی")</f>
        <v>تشکل‌های اسلامی و سیاسی</v>
      </c>
      <c r="U313" s="1" t="str">
        <f>IFERROR(__xludf.DUMMYFUNCTION("INDEX(SPLIT(A313, ""/""), 3)"),"انجمن اسلامی دانشجویان")</f>
        <v>انجمن اسلامی دانشجویان</v>
      </c>
      <c r="V313" s="1" t="str">
        <f>IFERROR(__xludf.DUMMYFUNCTION("INDEX(SPLIT(A313, ""/""), 4)"),"خبرنامه")</f>
        <v>خبرنامه</v>
      </c>
    </row>
    <row r="314">
      <c r="A314" s="1" t="s">
        <v>831</v>
      </c>
      <c r="B314" s="1" t="s">
        <v>1125</v>
      </c>
      <c r="C314" s="1" t="s">
        <v>21</v>
      </c>
      <c r="D314" s="4" t="s">
        <v>1126</v>
      </c>
      <c r="E314" s="1" t="s">
        <v>750</v>
      </c>
      <c r="F314" s="1" t="s">
        <v>1058</v>
      </c>
      <c r="G314" s="1" t="s">
        <v>1058</v>
      </c>
      <c r="H314" s="1" t="s">
        <v>1127</v>
      </c>
      <c r="I314" s="1" t="str">
        <f t="shared" si="1"/>
        <v>25</v>
      </c>
      <c r="J314" s="5"/>
      <c r="K314" s="1" t="str">
        <f t="shared" si="2"/>
        <v>8</v>
      </c>
      <c r="L314" s="5"/>
      <c r="M314" s="2" t="str">
        <f t="shared" si="3"/>
        <v>1389</v>
      </c>
      <c r="N314" s="5"/>
      <c r="O314" s="2">
        <v>106.0</v>
      </c>
      <c r="P314" s="5"/>
      <c r="Q314" s="5"/>
      <c r="R314" s="6" t="s">
        <v>1127</v>
      </c>
      <c r="S314" s="5"/>
      <c r="T314" s="1" t="str">
        <f>IFERROR(__xludf.DUMMYFUNCTION("INDEX(SPLIT(A314, ""/""), 2)"),"تشکل‌های اسلامی و سیاسی")</f>
        <v>تشکل‌های اسلامی و سیاسی</v>
      </c>
      <c r="U314" s="1" t="str">
        <f>IFERROR(__xludf.DUMMYFUNCTION("INDEX(SPLIT(A314, ""/""), 3)"),"انجمن اسلامی دانشجویان")</f>
        <v>انجمن اسلامی دانشجویان</v>
      </c>
      <c r="V314" s="1" t="str">
        <f>IFERROR(__xludf.DUMMYFUNCTION("INDEX(SPLIT(A314, ""/""), 4)"),"خبرنامه")</f>
        <v>خبرنامه</v>
      </c>
    </row>
    <row r="315">
      <c r="A315" s="1" t="s">
        <v>831</v>
      </c>
      <c r="B315" s="1" t="s">
        <v>1128</v>
      </c>
      <c r="C315" s="1" t="s">
        <v>21</v>
      </c>
      <c r="D315" s="4" t="s">
        <v>1129</v>
      </c>
      <c r="E315" s="1" t="s">
        <v>750</v>
      </c>
      <c r="F315" s="1" t="s">
        <v>1058</v>
      </c>
      <c r="G315" s="1" t="s">
        <v>1058</v>
      </c>
      <c r="H315" s="7" t="s">
        <v>1130</v>
      </c>
      <c r="I315" s="1" t="str">
        <f t="shared" si="1"/>
        <v>2</v>
      </c>
      <c r="J315" s="5"/>
      <c r="K315" s="1" t="str">
        <f t="shared" si="2"/>
        <v>9</v>
      </c>
      <c r="L315" s="5"/>
      <c r="M315" s="2" t="str">
        <f t="shared" si="3"/>
        <v>1389</v>
      </c>
      <c r="N315" s="5"/>
      <c r="O315" s="2">
        <v>107.0</v>
      </c>
      <c r="P315" s="5"/>
      <c r="Q315" s="5"/>
      <c r="R315" s="8" t="s">
        <v>1130</v>
      </c>
      <c r="S315" s="5"/>
      <c r="T315" s="1" t="str">
        <f>IFERROR(__xludf.DUMMYFUNCTION("INDEX(SPLIT(A315, ""/""), 2)"),"تشکل‌های اسلامی و سیاسی")</f>
        <v>تشکل‌های اسلامی و سیاسی</v>
      </c>
      <c r="U315" s="1" t="str">
        <f>IFERROR(__xludf.DUMMYFUNCTION("INDEX(SPLIT(A315, ""/""), 3)"),"انجمن اسلامی دانشجویان")</f>
        <v>انجمن اسلامی دانشجویان</v>
      </c>
      <c r="V315" s="1" t="str">
        <f>IFERROR(__xludf.DUMMYFUNCTION("INDEX(SPLIT(A315, ""/""), 4)"),"خبرنامه")</f>
        <v>خبرنامه</v>
      </c>
    </row>
    <row r="316">
      <c r="A316" s="1" t="s">
        <v>831</v>
      </c>
      <c r="B316" s="1" t="s">
        <v>1131</v>
      </c>
      <c r="C316" s="1" t="s">
        <v>21</v>
      </c>
      <c r="D316" s="4" t="s">
        <v>1132</v>
      </c>
      <c r="E316" s="1" t="s">
        <v>750</v>
      </c>
      <c r="F316" s="1" t="s">
        <v>1058</v>
      </c>
      <c r="G316" s="1" t="s">
        <v>1058</v>
      </c>
      <c r="H316" s="1" t="s">
        <v>1133</v>
      </c>
      <c r="I316" s="1" t="str">
        <f t="shared" si="1"/>
        <v>22</v>
      </c>
      <c r="J316" s="5"/>
      <c r="K316" s="1" t="str">
        <f t="shared" si="2"/>
        <v>9</v>
      </c>
      <c r="L316" s="5"/>
      <c r="M316" s="2" t="str">
        <f t="shared" si="3"/>
        <v>1389</v>
      </c>
      <c r="N316" s="5"/>
      <c r="O316" s="2">
        <v>108.0</v>
      </c>
      <c r="P316" s="5"/>
      <c r="Q316" s="5"/>
      <c r="R316" s="6" t="s">
        <v>1133</v>
      </c>
      <c r="S316" s="5"/>
      <c r="T316" s="1" t="str">
        <f>IFERROR(__xludf.DUMMYFUNCTION("INDEX(SPLIT(A316, ""/""), 2)"),"تشکل‌های اسلامی و سیاسی")</f>
        <v>تشکل‌های اسلامی و سیاسی</v>
      </c>
      <c r="U316" s="1" t="str">
        <f>IFERROR(__xludf.DUMMYFUNCTION("INDEX(SPLIT(A316, ""/""), 3)"),"انجمن اسلامی دانشجویان")</f>
        <v>انجمن اسلامی دانشجویان</v>
      </c>
      <c r="V316" s="1" t="str">
        <f>IFERROR(__xludf.DUMMYFUNCTION("INDEX(SPLIT(A316, ""/""), 4)"),"خبرنامه")</f>
        <v>خبرنامه</v>
      </c>
    </row>
    <row r="317">
      <c r="A317" s="1" t="s">
        <v>831</v>
      </c>
      <c r="B317" s="1" t="s">
        <v>1134</v>
      </c>
      <c r="C317" s="1" t="s">
        <v>21</v>
      </c>
      <c r="D317" s="4" t="s">
        <v>1135</v>
      </c>
      <c r="E317" s="1" t="s">
        <v>750</v>
      </c>
      <c r="F317" s="1" t="s">
        <v>1058</v>
      </c>
      <c r="G317" s="1" t="s">
        <v>1058</v>
      </c>
      <c r="H317" s="1" t="s">
        <v>1136</v>
      </c>
      <c r="I317" s="1" t="str">
        <f t="shared" si="1"/>
        <v>30</v>
      </c>
      <c r="J317" s="5"/>
      <c r="K317" s="1" t="str">
        <f t="shared" si="2"/>
        <v>11</v>
      </c>
      <c r="L317" s="5"/>
      <c r="M317" s="2" t="str">
        <f t="shared" si="3"/>
        <v>1389</v>
      </c>
      <c r="N317" s="5"/>
      <c r="O317" s="2">
        <v>113.0</v>
      </c>
      <c r="P317" s="5"/>
      <c r="Q317" s="5"/>
      <c r="R317" s="6" t="s">
        <v>1136</v>
      </c>
      <c r="S317" s="5"/>
      <c r="T317" s="1" t="str">
        <f>IFERROR(__xludf.DUMMYFUNCTION("INDEX(SPLIT(A317, ""/""), 2)"),"تشکل‌های اسلامی و سیاسی")</f>
        <v>تشکل‌های اسلامی و سیاسی</v>
      </c>
      <c r="U317" s="1" t="str">
        <f>IFERROR(__xludf.DUMMYFUNCTION("INDEX(SPLIT(A317, ""/""), 3)"),"انجمن اسلامی دانشجویان")</f>
        <v>انجمن اسلامی دانشجویان</v>
      </c>
      <c r="V317" s="1" t="str">
        <f>IFERROR(__xludf.DUMMYFUNCTION("INDEX(SPLIT(A317, ""/""), 4)"),"خبرنامه")</f>
        <v>خبرنامه</v>
      </c>
    </row>
    <row r="318">
      <c r="A318" s="1" t="s">
        <v>831</v>
      </c>
      <c r="B318" s="1" t="s">
        <v>1137</v>
      </c>
      <c r="C318" s="1" t="s">
        <v>21</v>
      </c>
      <c r="D318" s="4" t="s">
        <v>1138</v>
      </c>
      <c r="E318" s="1" t="s">
        <v>750</v>
      </c>
      <c r="F318" s="1" t="s">
        <v>1139</v>
      </c>
      <c r="G318" s="1" t="s">
        <v>1140</v>
      </c>
      <c r="H318" s="1" t="s">
        <v>1141</v>
      </c>
      <c r="I318" s="1" t="str">
        <f t="shared" si="1"/>
        <v>19</v>
      </c>
      <c r="J318" s="5"/>
      <c r="K318" s="1" t="str">
        <f t="shared" si="2"/>
        <v>11</v>
      </c>
      <c r="L318" s="5"/>
      <c r="M318" s="2" t="str">
        <f t="shared" si="3"/>
        <v>1393</v>
      </c>
      <c r="N318" s="5"/>
      <c r="O318" s="2">
        <v>115.0</v>
      </c>
      <c r="P318" s="5"/>
      <c r="Q318" s="5"/>
      <c r="R318" s="6" t="s">
        <v>1141</v>
      </c>
      <c r="S318" s="5"/>
      <c r="T318" s="1" t="str">
        <f>IFERROR(__xludf.DUMMYFUNCTION("INDEX(SPLIT(A318, ""/""), 2)"),"تشکل‌های اسلامی و سیاسی")</f>
        <v>تشکل‌های اسلامی و سیاسی</v>
      </c>
      <c r="U318" s="1" t="str">
        <f>IFERROR(__xludf.DUMMYFUNCTION("INDEX(SPLIT(A318, ""/""), 3)"),"انجمن اسلامی دانشجویان")</f>
        <v>انجمن اسلامی دانشجویان</v>
      </c>
      <c r="V318" s="1" t="str">
        <f>IFERROR(__xludf.DUMMYFUNCTION("INDEX(SPLIT(A318, ""/""), 4)"),"خبرنامه")</f>
        <v>خبرنامه</v>
      </c>
    </row>
    <row r="319">
      <c r="A319" s="1" t="s">
        <v>831</v>
      </c>
      <c r="B319" s="1" t="s">
        <v>1142</v>
      </c>
      <c r="C319" s="1" t="s">
        <v>21</v>
      </c>
      <c r="D319" s="4" t="s">
        <v>1143</v>
      </c>
      <c r="E319" s="1" t="s">
        <v>750</v>
      </c>
      <c r="F319" s="1" t="s">
        <v>1139</v>
      </c>
      <c r="G319" s="1" t="s">
        <v>1140</v>
      </c>
      <c r="H319" s="1" t="s">
        <v>1144</v>
      </c>
      <c r="I319" s="1" t="str">
        <f t="shared" si="1"/>
        <v>26</v>
      </c>
      <c r="J319" s="5"/>
      <c r="K319" s="1" t="str">
        <f t="shared" si="2"/>
        <v>11</v>
      </c>
      <c r="L319" s="5"/>
      <c r="M319" s="2" t="str">
        <f t="shared" si="3"/>
        <v>1393</v>
      </c>
      <c r="N319" s="5"/>
      <c r="O319" s="2">
        <v>116.0</v>
      </c>
      <c r="P319" s="5"/>
      <c r="Q319" s="5"/>
      <c r="R319" s="6" t="s">
        <v>1144</v>
      </c>
      <c r="S319" s="5"/>
      <c r="T319" s="1" t="str">
        <f>IFERROR(__xludf.DUMMYFUNCTION("INDEX(SPLIT(A319, ""/""), 2)"),"تشکل‌های اسلامی و سیاسی")</f>
        <v>تشکل‌های اسلامی و سیاسی</v>
      </c>
      <c r="U319" s="1" t="str">
        <f>IFERROR(__xludf.DUMMYFUNCTION("INDEX(SPLIT(A319, ""/""), 3)"),"انجمن اسلامی دانشجویان")</f>
        <v>انجمن اسلامی دانشجویان</v>
      </c>
      <c r="V319" s="1" t="str">
        <f>IFERROR(__xludf.DUMMYFUNCTION("INDEX(SPLIT(A319, ""/""), 4)"),"خبرنامه")</f>
        <v>خبرنامه</v>
      </c>
    </row>
    <row r="320">
      <c r="A320" s="1" t="s">
        <v>831</v>
      </c>
      <c r="B320" s="1" t="s">
        <v>1145</v>
      </c>
      <c r="C320" s="1" t="s">
        <v>21</v>
      </c>
      <c r="D320" s="4" t="s">
        <v>1146</v>
      </c>
      <c r="E320" s="1" t="s">
        <v>750</v>
      </c>
      <c r="F320" s="1" t="s">
        <v>1139</v>
      </c>
      <c r="G320" s="1" t="s">
        <v>1140</v>
      </c>
      <c r="H320" s="7" t="s">
        <v>1147</v>
      </c>
      <c r="I320" s="1" t="str">
        <f t="shared" si="1"/>
        <v>4</v>
      </c>
      <c r="J320" s="5"/>
      <c r="K320" s="1" t="str">
        <f t="shared" si="2"/>
        <v>12</v>
      </c>
      <c r="L320" s="5"/>
      <c r="M320" s="2" t="str">
        <f t="shared" si="3"/>
        <v>1393</v>
      </c>
      <c r="N320" s="5"/>
      <c r="O320" s="2">
        <v>117.0</v>
      </c>
      <c r="P320" s="5"/>
      <c r="Q320" s="5"/>
      <c r="R320" s="8" t="s">
        <v>1147</v>
      </c>
      <c r="S320" s="5"/>
      <c r="T320" s="1" t="str">
        <f>IFERROR(__xludf.DUMMYFUNCTION("INDEX(SPLIT(A320, ""/""), 2)"),"تشکل‌های اسلامی و سیاسی")</f>
        <v>تشکل‌های اسلامی و سیاسی</v>
      </c>
      <c r="U320" s="1" t="str">
        <f>IFERROR(__xludf.DUMMYFUNCTION("INDEX(SPLIT(A320, ""/""), 3)"),"انجمن اسلامی دانشجویان")</f>
        <v>انجمن اسلامی دانشجویان</v>
      </c>
      <c r="V320" s="1" t="str">
        <f>IFERROR(__xludf.DUMMYFUNCTION("INDEX(SPLIT(A320, ""/""), 4)"),"خبرنامه")</f>
        <v>خبرنامه</v>
      </c>
    </row>
    <row r="321">
      <c r="A321" s="1" t="s">
        <v>831</v>
      </c>
      <c r="B321" s="1" t="s">
        <v>1148</v>
      </c>
      <c r="C321" s="1" t="s">
        <v>21</v>
      </c>
      <c r="D321" s="4" t="s">
        <v>1149</v>
      </c>
      <c r="E321" s="1" t="s">
        <v>750</v>
      </c>
      <c r="F321" s="1" t="s">
        <v>1139</v>
      </c>
      <c r="G321" s="1" t="s">
        <v>1140</v>
      </c>
      <c r="H321" s="7" t="s">
        <v>1150</v>
      </c>
      <c r="I321" s="1" t="str">
        <f t="shared" si="1"/>
        <v>11</v>
      </c>
      <c r="J321" s="5"/>
      <c r="K321" s="1" t="str">
        <f t="shared" si="2"/>
        <v>12</v>
      </c>
      <c r="L321" s="5"/>
      <c r="M321" s="2" t="str">
        <f t="shared" si="3"/>
        <v>1393</v>
      </c>
      <c r="N321" s="5"/>
      <c r="O321" s="2">
        <v>118.0</v>
      </c>
      <c r="P321" s="5"/>
      <c r="Q321" s="5"/>
      <c r="R321" s="8" t="s">
        <v>1150</v>
      </c>
      <c r="S321" s="5"/>
      <c r="T321" s="1" t="str">
        <f>IFERROR(__xludf.DUMMYFUNCTION("INDEX(SPLIT(A321, ""/""), 2)"),"تشکل‌های اسلامی و سیاسی")</f>
        <v>تشکل‌های اسلامی و سیاسی</v>
      </c>
      <c r="U321" s="1" t="str">
        <f>IFERROR(__xludf.DUMMYFUNCTION("INDEX(SPLIT(A321, ""/""), 3)"),"انجمن اسلامی دانشجویان")</f>
        <v>انجمن اسلامی دانشجویان</v>
      </c>
      <c r="V321" s="1" t="str">
        <f>IFERROR(__xludf.DUMMYFUNCTION("INDEX(SPLIT(A321, ""/""), 4)"),"خبرنامه")</f>
        <v>خبرنامه</v>
      </c>
    </row>
    <row r="322">
      <c r="A322" s="1" t="s">
        <v>831</v>
      </c>
      <c r="B322" s="1" t="s">
        <v>1151</v>
      </c>
      <c r="C322" s="1" t="s">
        <v>21</v>
      </c>
      <c r="D322" s="4" t="s">
        <v>1152</v>
      </c>
      <c r="E322" s="1" t="s">
        <v>750</v>
      </c>
      <c r="F322" s="1" t="s">
        <v>1139</v>
      </c>
      <c r="G322" s="1" t="s">
        <v>1140</v>
      </c>
      <c r="H322" s="1" t="s">
        <v>1153</v>
      </c>
      <c r="I322" s="1" t="str">
        <f t="shared" si="1"/>
        <v>18</v>
      </c>
      <c r="J322" s="5"/>
      <c r="K322" s="1" t="str">
        <f t="shared" si="2"/>
        <v>12</v>
      </c>
      <c r="L322" s="5"/>
      <c r="M322" s="2" t="str">
        <f t="shared" si="3"/>
        <v>1393</v>
      </c>
      <c r="N322" s="5"/>
      <c r="O322" s="2">
        <v>119.0</v>
      </c>
      <c r="P322" s="5"/>
      <c r="Q322" s="5"/>
      <c r="R322" s="6" t="s">
        <v>1153</v>
      </c>
      <c r="S322" s="5"/>
      <c r="T322" s="1" t="str">
        <f>IFERROR(__xludf.DUMMYFUNCTION("INDEX(SPLIT(A322, ""/""), 2)"),"تشکل‌های اسلامی و سیاسی")</f>
        <v>تشکل‌های اسلامی و سیاسی</v>
      </c>
      <c r="U322" s="1" t="str">
        <f>IFERROR(__xludf.DUMMYFUNCTION("INDEX(SPLIT(A322, ""/""), 3)"),"انجمن اسلامی دانشجویان")</f>
        <v>انجمن اسلامی دانشجویان</v>
      </c>
      <c r="V322" s="1" t="str">
        <f>IFERROR(__xludf.DUMMYFUNCTION("INDEX(SPLIT(A322, ""/""), 4)"),"خبرنامه")</f>
        <v>خبرنامه</v>
      </c>
    </row>
    <row r="323">
      <c r="A323" s="1" t="s">
        <v>831</v>
      </c>
      <c r="B323" s="1" t="s">
        <v>1154</v>
      </c>
      <c r="C323" s="1" t="s">
        <v>21</v>
      </c>
      <c r="D323" s="4" t="s">
        <v>1155</v>
      </c>
      <c r="E323" s="1" t="s">
        <v>750</v>
      </c>
      <c r="F323" s="1" t="s">
        <v>1139</v>
      </c>
      <c r="G323" s="1" t="s">
        <v>1140</v>
      </c>
      <c r="H323" s="7" t="s">
        <v>1156</v>
      </c>
      <c r="I323" s="1" t="str">
        <f t="shared" si="1"/>
        <v>6</v>
      </c>
      <c r="J323" s="5"/>
      <c r="K323" s="1" t="str">
        <f t="shared" si="2"/>
        <v>2</v>
      </c>
      <c r="L323" s="5"/>
      <c r="M323" s="2" t="str">
        <f t="shared" si="3"/>
        <v>1394</v>
      </c>
      <c r="N323" s="5"/>
      <c r="O323" s="2">
        <v>120.0</v>
      </c>
      <c r="P323" s="5"/>
      <c r="Q323" s="5"/>
      <c r="R323" s="8" t="s">
        <v>1156</v>
      </c>
      <c r="S323" s="5"/>
      <c r="T323" s="1" t="str">
        <f>IFERROR(__xludf.DUMMYFUNCTION("INDEX(SPLIT(A323, ""/""), 2)"),"تشکل‌های اسلامی و سیاسی")</f>
        <v>تشکل‌های اسلامی و سیاسی</v>
      </c>
      <c r="U323" s="1" t="str">
        <f>IFERROR(__xludf.DUMMYFUNCTION("INDEX(SPLIT(A323, ""/""), 3)"),"انجمن اسلامی دانشجویان")</f>
        <v>انجمن اسلامی دانشجویان</v>
      </c>
      <c r="V323" s="1" t="str">
        <f>IFERROR(__xludf.DUMMYFUNCTION("INDEX(SPLIT(A323, ""/""), 4)"),"خبرنامه")</f>
        <v>خبرنامه</v>
      </c>
    </row>
    <row r="324">
      <c r="A324" s="1" t="s">
        <v>831</v>
      </c>
      <c r="B324" s="1" t="s">
        <v>1157</v>
      </c>
      <c r="C324" s="1" t="s">
        <v>1158</v>
      </c>
      <c r="D324" s="4" t="s">
        <v>1159</v>
      </c>
      <c r="E324" s="1" t="s">
        <v>750</v>
      </c>
      <c r="F324" s="1" t="s">
        <v>1139</v>
      </c>
      <c r="G324" s="1" t="s">
        <v>1140</v>
      </c>
      <c r="H324" s="1" t="s">
        <v>1160</v>
      </c>
      <c r="I324" s="1" t="str">
        <f t="shared" si="1"/>
        <v>20</v>
      </c>
      <c r="J324" s="5"/>
      <c r="K324" s="1" t="str">
        <f t="shared" si="2"/>
        <v>7</v>
      </c>
      <c r="L324" s="5"/>
      <c r="M324" s="2" t="str">
        <f t="shared" si="3"/>
        <v>1394</v>
      </c>
      <c r="N324" s="5"/>
      <c r="O324" s="2">
        <v>121.0</v>
      </c>
      <c r="P324" s="5"/>
      <c r="Q324" s="5"/>
      <c r="R324" s="6" t="s">
        <v>1160</v>
      </c>
      <c r="S324" s="5"/>
      <c r="T324" s="1" t="str">
        <f>IFERROR(__xludf.DUMMYFUNCTION("INDEX(SPLIT(A324, ""/""), 2)"),"تشکل‌های اسلامی و سیاسی")</f>
        <v>تشکل‌های اسلامی و سیاسی</v>
      </c>
      <c r="U324" s="1" t="str">
        <f>IFERROR(__xludf.DUMMYFUNCTION("INDEX(SPLIT(A324, ""/""), 3)"),"انجمن اسلامی دانشجویان")</f>
        <v>انجمن اسلامی دانشجویان</v>
      </c>
      <c r="V324" s="1" t="str">
        <f>IFERROR(__xludf.DUMMYFUNCTION("INDEX(SPLIT(A324, ""/""), 4)"),"خبرنامه")</f>
        <v>خبرنامه</v>
      </c>
    </row>
    <row r="325">
      <c r="A325" s="1" t="s">
        <v>831</v>
      </c>
      <c r="B325" s="1" t="s">
        <v>1161</v>
      </c>
      <c r="C325" s="1" t="s">
        <v>21</v>
      </c>
      <c r="D325" s="4" t="s">
        <v>1162</v>
      </c>
      <c r="E325" s="1" t="s">
        <v>750</v>
      </c>
      <c r="F325" s="1" t="s">
        <v>1139</v>
      </c>
      <c r="G325" s="1" t="s">
        <v>752</v>
      </c>
      <c r="H325" s="1" t="s">
        <v>1160</v>
      </c>
      <c r="I325" s="1" t="str">
        <f t="shared" si="1"/>
        <v>20</v>
      </c>
      <c r="J325" s="5"/>
      <c r="K325" s="1" t="str">
        <f t="shared" si="2"/>
        <v>7</v>
      </c>
      <c r="L325" s="5"/>
      <c r="M325" s="2" t="str">
        <f t="shared" si="3"/>
        <v>1394</v>
      </c>
      <c r="N325" s="5"/>
      <c r="O325" s="2">
        <v>123.0</v>
      </c>
      <c r="P325" s="5"/>
      <c r="Q325" s="5"/>
      <c r="R325" s="6" t="s">
        <v>1160</v>
      </c>
      <c r="S325" s="5"/>
      <c r="T325" s="1" t="str">
        <f>IFERROR(__xludf.DUMMYFUNCTION("INDEX(SPLIT(A325, ""/""), 2)"),"تشکل‌های اسلامی و سیاسی")</f>
        <v>تشکل‌های اسلامی و سیاسی</v>
      </c>
      <c r="U325" s="1" t="str">
        <f>IFERROR(__xludf.DUMMYFUNCTION("INDEX(SPLIT(A325, ""/""), 3)"),"انجمن اسلامی دانشجویان")</f>
        <v>انجمن اسلامی دانشجویان</v>
      </c>
      <c r="V325" s="1" t="str">
        <f>IFERROR(__xludf.DUMMYFUNCTION("INDEX(SPLIT(A325, ""/""), 4)"),"خبرنامه")</f>
        <v>خبرنامه</v>
      </c>
    </row>
    <row r="326">
      <c r="A326" s="1" t="s">
        <v>831</v>
      </c>
      <c r="B326" s="1" t="s">
        <v>1163</v>
      </c>
      <c r="C326" s="1" t="s">
        <v>21</v>
      </c>
      <c r="D326" s="4" t="s">
        <v>1164</v>
      </c>
      <c r="E326" s="1" t="s">
        <v>750</v>
      </c>
      <c r="F326" s="1" t="s">
        <v>1139</v>
      </c>
      <c r="G326" s="1" t="s">
        <v>752</v>
      </c>
      <c r="H326" s="7" t="s">
        <v>1165</v>
      </c>
      <c r="I326" s="1" t="str">
        <f t="shared" si="1"/>
        <v>10</v>
      </c>
      <c r="J326" s="5"/>
      <c r="K326" s="1" t="str">
        <f t="shared" si="2"/>
        <v>8</v>
      </c>
      <c r="L326" s="5"/>
      <c r="M326" s="2" t="str">
        <f t="shared" si="3"/>
        <v>1394</v>
      </c>
      <c r="N326" s="5"/>
      <c r="O326" s="2">
        <v>125.0</v>
      </c>
      <c r="P326" s="5"/>
      <c r="Q326" s="5"/>
      <c r="R326" s="8" t="s">
        <v>1165</v>
      </c>
      <c r="S326" s="5"/>
      <c r="T326" s="1" t="str">
        <f>IFERROR(__xludf.DUMMYFUNCTION("INDEX(SPLIT(A326, ""/""), 2)"),"تشکل‌های اسلامی و سیاسی")</f>
        <v>تشکل‌های اسلامی و سیاسی</v>
      </c>
      <c r="U326" s="1" t="str">
        <f>IFERROR(__xludf.DUMMYFUNCTION("INDEX(SPLIT(A326, ""/""), 3)"),"انجمن اسلامی دانشجویان")</f>
        <v>انجمن اسلامی دانشجویان</v>
      </c>
      <c r="V326" s="1" t="str">
        <f>IFERROR(__xludf.DUMMYFUNCTION("INDEX(SPLIT(A326, ""/""), 4)"),"خبرنامه")</f>
        <v>خبرنامه</v>
      </c>
    </row>
    <row r="327">
      <c r="A327" s="1" t="s">
        <v>831</v>
      </c>
      <c r="B327" s="1" t="s">
        <v>1166</v>
      </c>
      <c r="C327" s="1" t="s">
        <v>21</v>
      </c>
      <c r="D327" s="4" t="s">
        <v>1167</v>
      </c>
      <c r="E327" s="1" t="s">
        <v>750</v>
      </c>
      <c r="F327" s="1" t="s">
        <v>1139</v>
      </c>
      <c r="G327" s="1" t="s">
        <v>752</v>
      </c>
      <c r="H327" s="7" t="s">
        <v>1168</v>
      </c>
      <c r="I327" s="1" t="str">
        <f t="shared" si="1"/>
        <v>9</v>
      </c>
      <c r="J327" s="5"/>
      <c r="K327" s="1" t="str">
        <f t="shared" si="2"/>
        <v>9</v>
      </c>
      <c r="L327" s="5"/>
      <c r="M327" s="2" t="str">
        <f t="shared" si="3"/>
        <v>1394</v>
      </c>
      <c r="N327" s="5"/>
      <c r="O327" s="2">
        <v>127.0</v>
      </c>
      <c r="P327" s="5"/>
      <c r="Q327" s="5"/>
      <c r="R327" s="8" t="s">
        <v>1168</v>
      </c>
      <c r="S327" s="5"/>
      <c r="T327" s="1" t="str">
        <f>IFERROR(__xludf.DUMMYFUNCTION("INDEX(SPLIT(A327, ""/""), 2)"),"تشکل‌های اسلامی و سیاسی")</f>
        <v>تشکل‌های اسلامی و سیاسی</v>
      </c>
      <c r="U327" s="1" t="str">
        <f>IFERROR(__xludf.DUMMYFUNCTION("INDEX(SPLIT(A327, ""/""), 3)"),"انجمن اسلامی دانشجویان")</f>
        <v>انجمن اسلامی دانشجویان</v>
      </c>
      <c r="V327" s="1" t="str">
        <f>IFERROR(__xludf.DUMMYFUNCTION("INDEX(SPLIT(A327, ""/""), 4)"),"خبرنامه")</f>
        <v>خبرنامه</v>
      </c>
    </row>
    <row r="328">
      <c r="A328" s="1" t="s">
        <v>831</v>
      </c>
      <c r="B328" s="1" t="s">
        <v>1169</v>
      </c>
      <c r="C328" s="1" t="s">
        <v>21</v>
      </c>
      <c r="D328" s="4" t="s">
        <v>1170</v>
      </c>
      <c r="E328" s="1" t="s">
        <v>750</v>
      </c>
      <c r="F328" s="1" t="s">
        <v>1139</v>
      </c>
      <c r="G328" s="1" t="s">
        <v>752</v>
      </c>
      <c r="H328" s="1" t="s">
        <v>230</v>
      </c>
      <c r="I328" s="1" t="str">
        <f t="shared" si="1"/>
        <v>15</v>
      </c>
      <c r="J328" s="5"/>
      <c r="K328" s="1" t="str">
        <f t="shared" si="2"/>
        <v>9</v>
      </c>
      <c r="L328" s="5"/>
      <c r="M328" s="2" t="str">
        <f t="shared" si="3"/>
        <v>1394</v>
      </c>
      <c r="N328" s="5"/>
      <c r="O328" s="2">
        <v>128.0</v>
      </c>
      <c r="P328" s="5"/>
      <c r="Q328" s="5"/>
      <c r="R328" s="6" t="s">
        <v>230</v>
      </c>
      <c r="S328" s="5"/>
      <c r="T328" s="1" t="str">
        <f>IFERROR(__xludf.DUMMYFUNCTION("INDEX(SPLIT(A328, ""/""), 2)"),"تشکل‌های اسلامی و سیاسی")</f>
        <v>تشکل‌های اسلامی و سیاسی</v>
      </c>
      <c r="U328" s="1" t="str">
        <f>IFERROR(__xludf.DUMMYFUNCTION("INDEX(SPLIT(A328, ""/""), 3)"),"انجمن اسلامی دانشجویان")</f>
        <v>انجمن اسلامی دانشجویان</v>
      </c>
      <c r="V328" s="1" t="str">
        <f>IFERROR(__xludf.DUMMYFUNCTION("INDEX(SPLIT(A328, ""/""), 4)"),"خبرنامه")</f>
        <v>خبرنامه</v>
      </c>
    </row>
    <row r="329">
      <c r="A329" s="1" t="s">
        <v>831</v>
      </c>
      <c r="B329" s="1" t="s">
        <v>1171</v>
      </c>
      <c r="C329" s="1" t="s">
        <v>21</v>
      </c>
      <c r="D329" s="4" t="s">
        <v>1172</v>
      </c>
      <c r="E329" s="1" t="s">
        <v>750</v>
      </c>
      <c r="F329" s="1" t="s">
        <v>1139</v>
      </c>
      <c r="G329" s="1" t="s">
        <v>752</v>
      </c>
      <c r="H329" s="7" t="s">
        <v>1173</v>
      </c>
      <c r="I329" s="1" t="str">
        <f t="shared" si="1"/>
        <v>3</v>
      </c>
      <c r="J329" s="5"/>
      <c r="K329" s="1" t="str">
        <f t="shared" si="2"/>
        <v>12</v>
      </c>
      <c r="L329" s="5"/>
      <c r="M329" s="2" t="str">
        <f t="shared" si="3"/>
        <v>1394</v>
      </c>
      <c r="N329" s="5"/>
      <c r="O329" s="2">
        <v>132.0</v>
      </c>
      <c r="P329" s="5"/>
      <c r="Q329" s="5"/>
      <c r="R329" s="8" t="s">
        <v>1173</v>
      </c>
      <c r="S329" s="5"/>
      <c r="T329" s="1" t="str">
        <f>IFERROR(__xludf.DUMMYFUNCTION("INDEX(SPLIT(A329, ""/""), 2)"),"تشکل‌های اسلامی و سیاسی")</f>
        <v>تشکل‌های اسلامی و سیاسی</v>
      </c>
      <c r="U329" s="1" t="str">
        <f>IFERROR(__xludf.DUMMYFUNCTION("INDEX(SPLIT(A329, ""/""), 3)"),"انجمن اسلامی دانشجویان")</f>
        <v>انجمن اسلامی دانشجویان</v>
      </c>
      <c r="V329" s="1" t="str">
        <f>IFERROR(__xludf.DUMMYFUNCTION("INDEX(SPLIT(A329, ""/""), 4)"),"خبرنامه")</f>
        <v>خبرنامه</v>
      </c>
    </row>
    <row r="330">
      <c r="A330" s="1" t="s">
        <v>831</v>
      </c>
      <c r="B330" s="1" t="s">
        <v>1174</v>
      </c>
      <c r="C330" s="1" t="s">
        <v>21</v>
      </c>
      <c r="D330" s="4" t="s">
        <v>1175</v>
      </c>
      <c r="E330" s="1" t="s">
        <v>750</v>
      </c>
      <c r="F330" s="1" t="s">
        <v>1139</v>
      </c>
      <c r="G330" s="1" t="s">
        <v>752</v>
      </c>
      <c r="H330" s="7" t="s">
        <v>1176</v>
      </c>
      <c r="I330" s="1" t="str">
        <f t="shared" si="1"/>
        <v>5</v>
      </c>
      <c r="J330" s="5"/>
      <c r="K330" s="1" t="str">
        <f t="shared" si="2"/>
        <v>2</v>
      </c>
      <c r="L330" s="5"/>
      <c r="M330" s="2" t="str">
        <f t="shared" si="3"/>
        <v>1395</v>
      </c>
      <c r="N330" s="5"/>
      <c r="O330" s="2">
        <v>135.0</v>
      </c>
      <c r="P330" s="5"/>
      <c r="Q330" s="5"/>
      <c r="R330" s="8" t="s">
        <v>1176</v>
      </c>
      <c r="S330" s="5"/>
      <c r="T330" s="1" t="str">
        <f>IFERROR(__xludf.DUMMYFUNCTION("INDEX(SPLIT(A330, ""/""), 2)"),"تشکل‌های اسلامی و سیاسی")</f>
        <v>تشکل‌های اسلامی و سیاسی</v>
      </c>
      <c r="U330" s="1" t="str">
        <f>IFERROR(__xludf.DUMMYFUNCTION("INDEX(SPLIT(A330, ""/""), 3)"),"انجمن اسلامی دانشجویان")</f>
        <v>انجمن اسلامی دانشجویان</v>
      </c>
      <c r="V330" s="1" t="str">
        <f>IFERROR(__xludf.DUMMYFUNCTION("INDEX(SPLIT(A330, ""/""), 4)"),"خبرنامه")</f>
        <v>خبرنامه</v>
      </c>
    </row>
    <row r="331">
      <c r="A331" s="1" t="s">
        <v>831</v>
      </c>
      <c r="B331" s="1" t="s">
        <v>1177</v>
      </c>
      <c r="C331" s="1" t="s">
        <v>21</v>
      </c>
      <c r="D331" s="4" t="s">
        <v>1178</v>
      </c>
      <c r="E331" s="1" t="s">
        <v>750</v>
      </c>
      <c r="F331" s="1" t="s">
        <v>1139</v>
      </c>
      <c r="G331" s="1" t="s">
        <v>752</v>
      </c>
      <c r="H331" s="7" t="s">
        <v>1179</v>
      </c>
      <c r="I331" s="1" t="str">
        <f t="shared" si="1"/>
        <v>9</v>
      </c>
      <c r="J331" s="5"/>
      <c r="K331" s="1" t="str">
        <f t="shared" si="2"/>
        <v>2</v>
      </c>
      <c r="L331" s="5"/>
      <c r="M331" s="2" t="str">
        <f t="shared" si="3"/>
        <v>1395</v>
      </c>
      <c r="N331" s="5"/>
      <c r="O331" s="2">
        <v>136.0</v>
      </c>
      <c r="P331" s="5"/>
      <c r="Q331" s="5"/>
      <c r="R331" s="8" t="s">
        <v>1179</v>
      </c>
      <c r="S331" s="5"/>
      <c r="T331" s="1" t="str">
        <f>IFERROR(__xludf.DUMMYFUNCTION("INDEX(SPLIT(A331, ""/""), 2)"),"تشکل‌های اسلامی و سیاسی")</f>
        <v>تشکل‌های اسلامی و سیاسی</v>
      </c>
      <c r="U331" s="1" t="str">
        <f>IFERROR(__xludf.DUMMYFUNCTION("INDEX(SPLIT(A331, ""/""), 3)"),"انجمن اسلامی دانشجویان")</f>
        <v>انجمن اسلامی دانشجویان</v>
      </c>
      <c r="V331" s="1" t="str">
        <f>IFERROR(__xludf.DUMMYFUNCTION("INDEX(SPLIT(A331, ""/""), 4)"),"خبرنامه")</f>
        <v>خبرنامه</v>
      </c>
    </row>
    <row r="332">
      <c r="A332" s="1" t="s">
        <v>831</v>
      </c>
      <c r="B332" s="1" t="s">
        <v>1180</v>
      </c>
      <c r="C332" s="1" t="s">
        <v>21</v>
      </c>
      <c r="D332" s="4" t="s">
        <v>1181</v>
      </c>
      <c r="E332" s="1" t="s">
        <v>750</v>
      </c>
      <c r="F332" s="1" t="s">
        <v>1182</v>
      </c>
      <c r="G332" s="1" t="s">
        <v>1183</v>
      </c>
      <c r="H332" s="1" t="s">
        <v>1184</v>
      </c>
      <c r="I332" s="1" t="str">
        <f t="shared" si="1"/>
        <v>15</v>
      </c>
      <c r="J332" s="5"/>
      <c r="K332" s="1" t="str">
        <f t="shared" si="2"/>
        <v>6</v>
      </c>
      <c r="L332" s="5"/>
      <c r="M332" s="2" t="str">
        <f t="shared" si="3"/>
        <v>1395</v>
      </c>
      <c r="N332" s="5"/>
      <c r="O332" s="2">
        <v>140.0</v>
      </c>
      <c r="P332" s="5"/>
      <c r="Q332" s="5"/>
      <c r="R332" s="6" t="s">
        <v>1184</v>
      </c>
      <c r="S332" s="5"/>
      <c r="T332" s="1" t="str">
        <f>IFERROR(__xludf.DUMMYFUNCTION("INDEX(SPLIT(A332, ""/""), 2)"),"تشکل‌های اسلامی و سیاسی")</f>
        <v>تشکل‌های اسلامی و سیاسی</v>
      </c>
      <c r="U332" s="1" t="str">
        <f>IFERROR(__xludf.DUMMYFUNCTION("INDEX(SPLIT(A332, ""/""), 3)"),"انجمن اسلامی دانشجویان")</f>
        <v>انجمن اسلامی دانشجویان</v>
      </c>
      <c r="V332" s="1" t="str">
        <f>IFERROR(__xludf.DUMMYFUNCTION("INDEX(SPLIT(A332, ""/""), 4)"),"خبرنامه")</f>
        <v>خبرنامه</v>
      </c>
    </row>
    <row r="333">
      <c r="A333" s="1" t="s">
        <v>831</v>
      </c>
      <c r="B333" s="1" t="s">
        <v>1185</v>
      </c>
      <c r="C333" s="1" t="s">
        <v>1158</v>
      </c>
      <c r="D333" s="4" t="s">
        <v>1186</v>
      </c>
      <c r="E333" s="1" t="s">
        <v>750</v>
      </c>
      <c r="F333" s="1" t="s">
        <v>1182</v>
      </c>
      <c r="G333" s="1" t="s">
        <v>1183</v>
      </c>
      <c r="H333" s="7" t="s">
        <v>1187</v>
      </c>
      <c r="I333" s="1" t="str">
        <f t="shared" si="1"/>
        <v>5</v>
      </c>
      <c r="J333" s="5"/>
      <c r="K333" s="1" t="str">
        <f t="shared" si="2"/>
        <v>7</v>
      </c>
      <c r="L333" s="5"/>
      <c r="M333" s="2" t="str">
        <f t="shared" si="3"/>
        <v>1395</v>
      </c>
      <c r="N333" s="5"/>
      <c r="O333" s="2">
        <v>141.0</v>
      </c>
      <c r="P333" s="5"/>
      <c r="Q333" s="5"/>
      <c r="R333" s="8" t="s">
        <v>1187</v>
      </c>
      <c r="S333" s="5"/>
      <c r="T333" s="1" t="str">
        <f>IFERROR(__xludf.DUMMYFUNCTION("INDEX(SPLIT(A333, ""/""), 2)"),"تشکل‌های اسلامی و سیاسی")</f>
        <v>تشکل‌های اسلامی و سیاسی</v>
      </c>
      <c r="U333" s="1" t="str">
        <f>IFERROR(__xludf.DUMMYFUNCTION("INDEX(SPLIT(A333, ""/""), 3)"),"انجمن اسلامی دانشجویان")</f>
        <v>انجمن اسلامی دانشجویان</v>
      </c>
      <c r="V333" s="1" t="str">
        <f>IFERROR(__xludf.DUMMYFUNCTION("INDEX(SPLIT(A333, ""/""), 4)"),"خبرنامه")</f>
        <v>خبرنامه</v>
      </c>
    </row>
    <row r="334">
      <c r="A334" s="1" t="s">
        <v>831</v>
      </c>
      <c r="B334" s="1" t="s">
        <v>1188</v>
      </c>
      <c r="C334" s="1" t="s">
        <v>21</v>
      </c>
      <c r="D334" s="4" t="s">
        <v>1189</v>
      </c>
      <c r="E334" s="1" t="s">
        <v>750</v>
      </c>
      <c r="F334" s="1" t="s">
        <v>1182</v>
      </c>
      <c r="G334" s="1" t="s">
        <v>1183</v>
      </c>
      <c r="H334" s="7" t="s">
        <v>1190</v>
      </c>
      <c r="I334" s="1" t="str">
        <f t="shared" si="1"/>
        <v>10</v>
      </c>
      <c r="J334" s="5"/>
      <c r="K334" s="1" t="str">
        <f t="shared" si="2"/>
        <v>8</v>
      </c>
      <c r="L334" s="5"/>
      <c r="M334" s="2" t="str">
        <f t="shared" si="3"/>
        <v>1395</v>
      </c>
      <c r="N334" s="5"/>
      <c r="O334" s="2">
        <v>143.0</v>
      </c>
      <c r="P334" s="5"/>
      <c r="Q334" s="5"/>
      <c r="R334" s="8" t="s">
        <v>1190</v>
      </c>
      <c r="S334" s="5"/>
      <c r="T334" s="1" t="str">
        <f>IFERROR(__xludf.DUMMYFUNCTION("INDEX(SPLIT(A334, ""/""), 2)"),"تشکل‌های اسلامی و سیاسی")</f>
        <v>تشکل‌های اسلامی و سیاسی</v>
      </c>
      <c r="U334" s="1" t="str">
        <f>IFERROR(__xludf.DUMMYFUNCTION("INDEX(SPLIT(A334, ""/""), 3)"),"انجمن اسلامی دانشجویان")</f>
        <v>انجمن اسلامی دانشجویان</v>
      </c>
      <c r="V334" s="1" t="str">
        <f>IFERROR(__xludf.DUMMYFUNCTION("INDEX(SPLIT(A334, ""/""), 4)"),"خبرنامه")</f>
        <v>خبرنامه</v>
      </c>
    </row>
    <row r="335">
      <c r="A335" s="1" t="s">
        <v>831</v>
      </c>
      <c r="B335" s="1" t="s">
        <v>1191</v>
      </c>
      <c r="C335" s="1" t="s">
        <v>21</v>
      </c>
      <c r="D335" s="4" t="s">
        <v>1192</v>
      </c>
      <c r="E335" s="1" t="s">
        <v>750</v>
      </c>
      <c r="F335" s="1" t="s">
        <v>1182</v>
      </c>
      <c r="G335" s="1" t="s">
        <v>1183</v>
      </c>
      <c r="H335" s="1" t="s">
        <v>1193</v>
      </c>
      <c r="I335" s="1" t="str">
        <f t="shared" si="1"/>
        <v>16</v>
      </c>
      <c r="J335" s="5"/>
      <c r="K335" s="1" t="str">
        <f t="shared" si="2"/>
        <v>9</v>
      </c>
      <c r="L335" s="5"/>
      <c r="M335" s="2" t="str">
        <f t="shared" si="3"/>
        <v>1395</v>
      </c>
      <c r="N335" s="5"/>
      <c r="O335" s="2">
        <v>144.0</v>
      </c>
      <c r="P335" s="5"/>
      <c r="Q335" s="5"/>
      <c r="R335" s="6" t="s">
        <v>1193</v>
      </c>
      <c r="S335" s="5"/>
      <c r="T335" s="1" t="str">
        <f>IFERROR(__xludf.DUMMYFUNCTION("INDEX(SPLIT(A335, ""/""), 2)"),"تشکل‌های اسلامی و سیاسی")</f>
        <v>تشکل‌های اسلامی و سیاسی</v>
      </c>
      <c r="U335" s="1" t="str">
        <f>IFERROR(__xludf.DUMMYFUNCTION("INDEX(SPLIT(A335, ""/""), 3)"),"انجمن اسلامی دانشجویان")</f>
        <v>انجمن اسلامی دانشجویان</v>
      </c>
      <c r="V335" s="1" t="str">
        <f>IFERROR(__xludf.DUMMYFUNCTION("INDEX(SPLIT(A335, ""/""), 4)"),"خبرنامه")</f>
        <v>خبرنامه</v>
      </c>
    </row>
    <row r="336">
      <c r="A336" s="1" t="s">
        <v>831</v>
      </c>
      <c r="B336" s="1" t="s">
        <v>1194</v>
      </c>
      <c r="C336" s="1" t="s">
        <v>21</v>
      </c>
      <c r="D336" s="4" t="s">
        <v>1195</v>
      </c>
      <c r="E336" s="1" t="s">
        <v>750</v>
      </c>
      <c r="F336" s="1" t="s">
        <v>1182</v>
      </c>
      <c r="G336" s="1" t="s">
        <v>1183</v>
      </c>
      <c r="H336" s="1" t="s">
        <v>1196</v>
      </c>
      <c r="I336" s="1" t="str">
        <f t="shared" si="1"/>
        <v>18</v>
      </c>
      <c r="J336" s="5"/>
      <c r="K336" s="1" t="str">
        <f t="shared" si="2"/>
        <v>11</v>
      </c>
      <c r="L336" s="5"/>
      <c r="M336" s="2" t="str">
        <f t="shared" si="3"/>
        <v>1395</v>
      </c>
      <c r="N336" s="5"/>
      <c r="O336" s="2">
        <v>145.0</v>
      </c>
      <c r="P336" s="5"/>
      <c r="Q336" s="5"/>
      <c r="R336" s="6" t="s">
        <v>1196</v>
      </c>
      <c r="S336" s="5"/>
      <c r="T336" s="1" t="str">
        <f>IFERROR(__xludf.DUMMYFUNCTION("INDEX(SPLIT(A336, ""/""), 2)"),"تشکل‌های اسلامی و سیاسی")</f>
        <v>تشکل‌های اسلامی و سیاسی</v>
      </c>
      <c r="U336" s="1" t="str">
        <f>IFERROR(__xludf.DUMMYFUNCTION("INDEX(SPLIT(A336, ""/""), 3)"),"انجمن اسلامی دانشجویان")</f>
        <v>انجمن اسلامی دانشجویان</v>
      </c>
      <c r="V336" s="1" t="str">
        <f>IFERROR(__xludf.DUMMYFUNCTION("INDEX(SPLIT(A336, ""/""), 4)"),"خبرنامه")</f>
        <v>خبرنامه</v>
      </c>
    </row>
    <row r="337">
      <c r="A337" s="1" t="s">
        <v>831</v>
      </c>
      <c r="B337" s="1" t="s">
        <v>1197</v>
      </c>
      <c r="C337" s="1" t="s">
        <v>21</v>
      </c>
      <c r="D337" s="4" t="s">
        <v>1198</v>
      </c>
      <c r="E337" s="1" t="s">
        <v>750</v>
      </c>
      <c r="F337" s="1" t="s">
        <v>1199</v>
      </c>
      <c r="G337" s="1" t="s">
        <v>752</v>
      </c>
      <c r="H337" s="7" t="s">
        <v>1200</v>
      </c>
      <c r="I337" s="1" t="str">
        <f t="shared" si="1"/>
        <v>2</v>
      </c>
      <c r="J337" s="5"/>
      <c r="K337" s="1" t="str">
        <f t="shared" si="2"/>
        <v>12</v>
      </c>
      <c r="L337" s="5"/>
      <c r="M337" s="2" t="str">
        <f t="shared" si="3"/>
        <v>1395</v>
      </c>
      <c r="N337" s="5"/>
      <c r="O337" s="2">
        <v>146.0</v>
      </c>
      <c r="P337" s="5"/>
      <c r="Q337" s="5"/>
      <c r="R337" s="8" t="s">
        <v>1200</v>
      </c>
      <c r="S337" s="5"/>
      <c r="T337" s="1" t="str">
        <f>IFERROR(__xludf.DUMMYFUNCTION("INDEX(SPLIT(A337, ""/""), 2)"),"تشکل‌های اسلامی و سیاسی")</f>
        <v>تشکل‌های اسلامی و سیاسی</v>
      </c>
      <c r="U337" s="1" t="str">
        <f>IFERROR(__xludf.DUMMYFUNCTION("INDEX(SPLIT(A337, ""/""), 3)"),"انجمن اسلامی دانشجویان")</f>
        <v>انجمن اسلامی دانشجویان</v>
      </c>
      <c r="V337" s="1" t="str">
        <f>IFERROR(__xludf.DUMMYFUNCTION("INDEX(SPLIT(A337, ""/""), 4)"),"خبرنامه")</f>
        <v>خبرنامه</v>
      </c>
    </row>
    <row r="338">
      <c r="A338" s="1" t="s">
        <v>831</v>
      </c>
      <c r="B338" s="1" t="s">
        <v>1201</v>
      </c>
      <c r="C338" s="1" t="s">
        <v>21</v>
      </c>
      <c r="D338" s="4" t="s">
        <v>1202</v>
      </c>
      <c r="E338" s="1" t="s">
        <v>750</v>
      </c>
      <c r="F338" s="1" t="s">
        <v>1199</v>
      </c>
      <c r="G338" s="1" t="s">
        <v>752</v>
      </c>
      <c r="H338" s="7" t="s">
        <v>1203</v>
      </c>
      <c r="I338" s="1" t="str">
        <f t="shared" si="1"/>
        <v>9</v>
      </c>
      <c r="J338" s="5"/>
      <c r="K338" s="1" t="str">
        <f t="shared" si="2"/>
        <v>12</v>
      </c>
      <c r="L338" s="5"/>
      <c r="M338" s="2" t="str">
        <f t="shared" si="3"/>
        <v>1395</v>
      </c>
      <c r="N338" s="5"/>
      <c r="O338" s="2">
        <v>147.0</v>
      </c>
      <c r="P338" s="5"/>
      <c r="Q338" s="5"/>
      <c r="R338" s="8" t="s">
        <v>1203</v>
      </c>
      <c r="S338" s="5"/>
      <c r="T338" s="1" t="str">
        <f>IFERROR(__xludf.DUMMYFUNCTION("INDEX(SPLIT(A338, ""/""), 2)"),"تشکل‌های اسلامی و سیاسی")</f>
        <v>تشکل‌های اسلامی و سیاسی</v>
      </c>
      <c r="U338" s="1" t="str">
        <f>IFERROR(__xludf.DUMMYFUNCTION("INDEX(SPLIT(A338, ""/""), 3)"),"انجمن اسلامی دانشجویان")</f>
        <v>انجمن اسلامی دانشجویان</v>
      </c>
      <c r="V338" s="1" t="str">
        <f>IFERROR(__xludf.DUMMYFUNCTION("INDEX(SPLIT(A338, ""/""), 4)"),"خبرنامه")</f>
        <v>خبرنامه</v>
      </c>
    </row>
    <row r="339">
      <c r="A339" s="1" t="s">
        <v>831</v>
      </c>
      <c r="B339" s="1" t="s">
        <v>1204</v>
      </c>
      <c r="C339" s="1" t="s">
        <v>21</v>
      </c>
      <c r="D339" s="4" t="s">
        <v>1205</v>
      </c>
      <c r="E339" s="1" t="s">
        <v>750</v>
      </c>
      <c r="F339" s="1" t="s">
        <v>1199</v>
      </c>
      <c r="G339" s="1" t="s">
        <v>752</v>
      </c>
      <c r="H339" s="1" t="s">
        <v>1206</v>
      </c>
      <c r="I339" s="1" t="str">
        <f t="shared" si="1"/>
        <v>14</v>
      </c>
      <c r="J339" s="5"/>
      <c r="K339" s="1" t="str">
        <f t="shared" si="2"/>
        <v>12</v>
      </c>
      <c r="L339" s="5"/>
      <c r="M339" s="2" t="str">
        <f t="shared" si="3"/>
        <v>1395</v>
      </c>
      <c r="N339" s="5"/>
      <c r="O339" s="2">
        <v>148.0</v>
      </c>
      <c r="P339" s="5"/>
      <c r="Q339" s="5"/>
      <c r="R339" s="6" t="s">
        <v>1206</v>
      </c>
      <c r="S339" s="5"/>
      <c r="T339" s="1" t="str">
        <f>IFERROR(__xludf.DUMMYFUNCTION("INDEX(SPLIT(A339, ""/""), 2)"),"تشکل‌های اسلامی و سیاسی")</f>
        <v>تشکل‌های اسلامی و سیاسی</v>
      </c>
      <c r="U339" s="1" t="str">
        <f>IFERROR(__xludf.DUMMYFUNCTION("INDEX(SPLIT(A339, ""/""), 3)"),"انجمن اسلامی دانشجویان")</f>
        <v>انجمن اسلامی دانشجویان</v>
      </c>
      <c r="V339" s="1" t="str">
        <f>IFERROR(__xludf.DUMMYFUNCTION("INDEX(SPLIT(A339, ""/""), 4)"),"خبرنامه")</f>
        <v>خبرنامه</v>
      </c>
    </row>
    <row r="340">
      <c r="A340" s="1" t="s">
        <v>831</v>
      </c>
      <c r="B340" s="1" t="s">
        <v>1207</v>
      </c>
      <c r="C340" s="1" t="s">
        <v>21</v>
      </c>
      <c r="D340" s="4" t="s">
        <v>1208</v>
      </c>
      <c r="E340" s="1" t="s">
        <v>750</v>
      </c>
      <c r="F340" s="1" t="s">
        <v>1199</v>
      </c>
      <c r="G340" s="1" t="s">
        <v>752</v>
      </c>
      <c r="H340" s="1" t="s">
        <v>1209</v>
      </c>
      <c r="I340" s="1" t="str">
        <f t="shared" si="1"/>
        <v>22</v>
      </c>
      <c r="J340" s="5"/>
      <c r="K340" s="1" t="str">
        <f t="shared" si="2"/>
        <v>12</v>
      </c>
      <c r="L340" s="5"/>
      <c r="M340" s="2" t="str">
        <f t="shared" si="3"/>
        <v>1395</v>
      </c>
      <c r="N340" s="5"/>
      <c r="O340" s="2">
        <v>149.0</v>
      </c>
      <c r="P340" s="5"/>
      <c r="Q340" s="5"/>
      <c r="R340" s="6" t="s">
        <v>1209</v>
      </c>
      <c r="S340" s="5"/>
      <c r="T340" s="1" t="str">
        <f>IFERROR(__xludf.DUMMYFUNCTION("INDEX(SPLIT(A340, ""/""), 2)"),"تشکل‌های اسلامی و سیاسی")</f>
        <v>تشکل‌های اسلامی و سیاسی</v>
      </c>
      <c r="U340" s="1" t="str">
        <f>IFERROR(__xludf.DUMMYFUNCTION("INDEX(SPLIT(A340, ""/""), 3)"),"انجمن اسلامی دانشجویان")</f>
        <v>انجمن اسلامی دانشجویان</v>
      </c>
      <c r="V340" s="1" t="str">
        <f>IFERROR(__xludf.DUMMYFUNCTION("INDEX(SPLIT(A340, ""/""), 4)"),"خبرنامه")</f>
        <v>خبرنامه</v>
      </c>
    </row>
    <row r="341">
      <c r="A341" s="1" t="s">
        <v>831</v>
      </c>
      <c r="B341" s="1" t="s">
        <v>1210</v>
      </c>
      <c r="C341" s="1" t="s">
        <v>21</v>
      </c>
      <c r="D341" s="4" t="s">
        <v>1211</v>
      </c>
      <c r="E341" s="1" t="s">
        <v>750</v>
      </c>
      <c r="F341" s="1" t="s">
        <v>1199</v>
      </c>
      <c r="G341" s="1" t="s">
        <v>752</v>
      </c>
      <c r="H341" s="1" t="s">
        <v>1212</v>
      </c>
      <c r="I341" s="1" t="str">
        <f t="shared" si="1"/>
        <v>26</v>
      </c>
      <c r="J341" s="5"/>
      <c r="K341" s="1" t="str">
        <f t="shared" si="2"/>
        <v>1</v>
      </c>
      <c r="L341" s="5"/>
      <c r="M341" s="2" t="str">
        <f t="shared" si="3"/>
        <v>1396</v>
      </c>
      <c r="N341" s="5"/>
      <c r="O341" s="2">
        <v>150.0</v>
      </c>
      <c r="P341" s="5"/>
      <c r="Q341" s="5"/>
      <c r="R341" s="6" t="s">
        <v>1212</v>
      </c>
      <c r="S341" s="5"/>
      <c r="T341" s="1" t="str">
        <f>IFERROR(__xludf.DUMMYFUNCTION("INDEX(SPLIT(A341, ""/""), 2)"),"تشکل‌های اسلامی و سیاسی")</f>
        <v>تشکل‌های اسلامی و سیاسی</v>
      </c>
      <c r="U341" s="1" t="str">
        <f>IFERROR(__xludf.DUMMYFUNCTION("INDEX(SPLIT(A341, ""/""), 3)"),"انجمن اسلامی دانشجویان")</f>
        <v>انجمن اسلامی دانشجویان</v>
      </c>
      <c r="V341" s="1" t="str">
        <f>IFERROR(__xludf.DUMMYFUNCTION("INDEX(SPLIT(A341, ""/""), 4)"),"خبرنامه")</f>
        <v>خبرنامه</v>
      </c>
    </row>
    <row r="342">
      <c r="A342" s="1" t="s">
        <v>831</v>
      </c>
      <c r="B342" s="1" t="s">
        <v>1213</v>
      </c>
      <c r="C342" s="1" t="s">
        <v>21</v>
      </c>
      <c r="D342" s="4" t="s">
        <v>1214</v>
      </c>
      <c r="E342" s="1" t="s">
        <v>750</v>
      </c>
      <c r="F342" s="1" t="s">
        <v>1199</v>
      </c>
      <c r="G342" s="1" t="s">
        <v>752</v>
      </c>
      <c r="H342" s="7" t="s">
        <v>1215</v>
      </c>
      <c r="I342" s="1" t="str">
        <f t="shared" si="1"/>
        <v>11</v>
      </c>
      <c r="J342" s="5"/>
      <c r="K342" s="1" t="str">
        <f t="shared" si="2"/>
        <v>2</v>
      </c>
      <c r="L342" s="5"/>
      <c r="M342" s="2" t="str">
        <f t="shared" si="3"/>
        <v>1396</v>
      </c>
      <c r="N342" s="5"/>
      <c r="O342" s="2">
        <v>151.0</v>
      </c>
      <c r="P342" s="5"/>
      <c r="Q342" s="5"/>
      <c r="R342" s="8" t="s">
        <v>1215</v>
      </c>
      <c r="S342" s="5"/>
      <c r="T342" s="1" t="str">
        <f>IFERROR(__xludf.DUMMYFUNCTION("INDEX(SPLIT(A342, ""/""), 2)"),"تشکل‌های اسلامی و سیاسی")</f>
        <v>تشکل‌های اسلامی و سیاسی</v>
      </c>
      <c r="U342" s="1" t="str">
        <f>IFERROR(__xludf.DUMMYFUNCTION("INDEX(SPLIT(A342, ""/""), 3)"),"انجمن اسلامی دانشجویان")</f>
        <v>انجمن اسلامی دانشجویان</v>
      </c>
      <c r="V342" s="1" t="str">
        <f>IFERROR(__xludf.DUMMYFUNCTION("INDEX(SPLIT(A342, ""/""), 4)"),"خبرنامه")</f>
        <v>خبرنامه</v>
      </c>
    </row>
    <row r="343">
      <c r="A343" s="1" t="s">
        <v>831</v>
      </c>
      <c r="B343" s="1" t="s">
        <v>1216</v>
      </c>
      <c r="C343" s="1" t="s">
        <v>21</v>
      </c>
      <c r="D343" s="4" t="s">
        <v>1217</v>
      </c>
      <c r="E343" s="1" t="s">
        <v>750</v>
      </c>
      <c r="F343" s="1" t="s">
        <v>1199</v>
      </c>
      <c r="G343" s="1" t="s">
        <v>752</v>
      </c>
      <c r="H343" s="7" t="s">
        <v>1218</v>
      </c>
      <c r="I343" s="1" t="str">
        <f t="shared" si="1"/>
        <v>3</v>
      </c>
      <c r="J343" s="5"/>
      <c r="K343" s="1" t="str">
        <f t="shared" si="2"/>
        <v>7</v>
      </c>
      <c r="L343" s="5"/>
      <c r="M343" s="2" t="str">
        <f t="shared" si="3"/>
        <v>1396</v>
      </c>
      <c r="N343" s="5"/>
      <c r="O343" s="2">
        <v>153.0</v>
      </c>
      <c r="P343" s="5"/>
      <c r="Q343" s="5"/>
      <c r="R343" s="8" t="s">
        <v>1218</v>
      </c>
      <c r="S343" s="5"/>
      <c r="T343" s="1" t="str">
        <f>IFERROR(__xludf.DUMMYFUNCTION("INDEX(SPLIT(A343, ""/""), 2)"),"تشکل‌های اسلامی و سیاسی")</f>
        <v>تشکل‌های اسلامی و سیاسی</v>
      </c>
      <c r="U343" s="1" t="str">
        <f>IFERROR(__xludf.DUMMYFUNCTION("INDEX(SPLIT(A343, ""/""), 3)"),"انجمن اسلامی دانشجویان")</f>
        <v>انجمن اسلامی دانشجویان</v>
      </c>
      <c r="V343" s="1" t="str">
        <f>IFERROR(__xludf.DUMMYFUNCTION("INDEX(SPLIT(A343, ""/""), 4)"),"خبرنامه")</f>
        <v>خبرنامه</v>
      </c>
    </row>
    <row r="344">
      <c r="A344" s="1" t="s">
        <v>831</v>
      </c>
      <c r="B344" s="1" t="s">
        <v>1219</v>
      </c>
      <c r="C344" s="1" t="s">
        <v>21</v>
      </c>
      <c r="D344" s="4" t="s">
        <v>1220</v>
      </c>
      <c r="E344" s="1" t="s">
        <v>750</v>
      </c>
      <c r="F344" s="1" t="s">
        <v>1199</v>
      </c>
      <c r="G344" s="1" t="s">
        <v>752</v>
      </c>
      <c r="H344" s="1" t="s">
        <v>1221</v>
      </c>
      <c r="I344" s="1" t="str">
        <f t="shared" si="1"/>
        <v>16</v>
      </c>
      <c r="J344" s="5"/>
      <c r="K344" s="1" t="str">
        <f t="shared" si="2"/>
        <v>7</v>
      </c>
      <c r="L344" s="5"/>
      <c r="M344" s="2" t="str">
        <f t="shared" si="3"/>
        <v>1396</v>
      </c>
      <c r="N344" s="5"/>
      <c r="O344" s="2">
        <v>154.0</v>
      </c>
      <c r="P344" s="5"/>
      <c r="Q344" s="5"/>
      <c r="R344" s="6" t="s">
        <v>1221</v>
      </c>
      <c r="S344" s="5"/>
      <c r="T344" s="1" t="str">
        <f>IFERROR(__xludf.DUMMYFUNCTION("INDEX(SPLIT(A344, ""/""), 2)"),"تشکل‌های اسلامی و سیاسی")</f>
        <v>تشکل‌های اسلامی و سیاسی</v>
      </c>
      <c r="U344" s="1" t="str">
        <f>IFERROR(__xludf.DUMMYFUNCTION("INDEX(SPLIT(A344, ""/""), 3)"),"انجمن اسلامی دانشجویان")</f>
        <v>انجمن اسلامی دانشجویان</v>
      </c>
      <c r="V344" s="1" t="str">
        <f>IFERROR(__xludf.DUMMYFUNCTION("INDEX(SPLIT(A344, ""/""), 4)"),"خبرنامه")</f>
        <v>خبرنامه</v>
      </c>
    </row>
    <row r="345">
      <c r="A345" s="1" t="s">
        <v>831</v>
      </c>
      <c r="B345" s="1" t="s">
        <v>1222</v>
      </c>
      <c r="C345" s="1" t="s">
        <v>21</v>
      </c>
      <c r="D345" s="4" t="s">
        <v>1223</v>
      </c>
      <c r="E345" s="1" t="s">
        <v>750</v>
      </c>
      <c r="F345" s="1" t="s">
        <v>1199</v>
      </c>
      <c r="G345" s="1" t="s">
        <v>752</v>
      </c>
      <c r="H345" s="1" t="s">
        <v>1224</v>
      </c>
      <c r="I345" s="1" t="str">
        <f t="shared" si="1"/>
        <v>22</v>
      </c>
      <c r="J345" s="5"/>
      <c r="K345" s="1" t="str">
        <f t="shared" si="2"/>
        <v>7</v>
      </c>
      <c r="L345" s="5"/>
      <c r="M345" s="2" t="str">
        <f t="shared" si="3"/>
        <v>1396</v>
      </c>
      <c r="N345" s="5"/>
      <c r="O345" s="2">
        <v>155.0</v>
      </c>
      <c r="P345" s="5"/>
      <c r="Q345" s="5"/>
      <c r="R345" s="6" t="s">
        <v>1224</v>
      </c>
      <c r="S345" s="5"/>
      <c r="T345" s="1" t="str">
        <f>IFERROR(__xludf.DUMMYFUNCTION("INDEX(SPLIT(A345, ""/""), 2)"),"تشکل‌های اسلامی و سیاسی")</f>
        <v>تشکل‌های اسلامی و سیاسی</v>
      </c>
      <c r="U345" s="1" t="str">
        <f>IFERROR(__xludf.DUMMYFUNCTION("INDEX(SPLIT(A345, ""/""), 3)"),"انجمن اسلامی دانشجویان")</f>
        <v>انجمن اسلامی دانشجویان</v>
      </c>
      <c r="V345" s="1" t="str">
        <f>IFERROR(__xludf.DUMMYFUNCTION("INDEX(SPLIT(A345, ""/""), 4)"),"خبرنامه")</f>
        <v>خبرنامه</v>
      </c>
    </row>
    <row r="346">
      <c r="A346" s="1" t="s">
        <v>831</v>
      </c>
      <c r="B346" s="1" t="s">
        <v>1225</v>
      </c>
      <c r="C346" s="1" t="s">
        <v>21</v>
      </c>
      <c r="D346" s="4" t="s">
        <v>1226</v>
      </c>
      <c r="E346" s="1" t="s">
        <v>750</v>
      </c>
      <c r="F346" s="1" t="s">
        <v>1199</v>
      </c>
      <c r="G346" s="1" t="s">
        <v>752</v>
      </c>
      <c r="H346" s="1" t="s">
        <v>1227</v>
      </c>
      <c r="I346" s="1" t="str">
        <f t="shared" si="1"/>
        <v>29</v>
      </c>
      <c r="J346" s="5"/>
      <c r="K346" s="1" t="str">
        <f t="shared" si="2"/>
        <v>7</v>
      </c>
      <c r="L346" s="5"/>
      <c r="M346" s="2" t="str">
        <f t="shared" si="3"/>
        <v>1396</v>
      </c>
      <c r="N346" s="5"/>
      <c r="O346" s="2">
        <v>156.0</v>
      </c>
      <c r="P346" s="5"/>
      <c r="Q346" s="5"/>
      <c r="R346" s="6" t="s">
        <v>1227</v>
      </c>
      <c r="S346" s="5"/>
      <c r="T346" s="1" t="str">
        <f>IFERROR(__xludf.DUMMYFUNCTION("INDEX(SPLIT(A346, ""/""), 2)"),"تشکل‌های اسلامی و سیاسی")</f>
        <v>تشکل‌های اسلامی و سیاسی</v>
      </c>
      <c r="U346" s="1" t="str">
        <f>IFERROR(__xludf.DUMMYFUNCTION("INDEX(SPLIT(A346, ""/""), 3)"),"انجمن اسلامی دانشجویان")</f>
        <v>انجمن اسلامی دانشجویان</v>
      </c>
      <c r="V346" s="1" t="str">
        <f>IFERROR(__xludf.DUMMYFUNCTION("INDEX(SPLIT(A346, ""/""), 4)"),"خبرنامه")</f>
        <v>خبرنامه</v>
      </c>
    </row>
    <row r="347">
      <c r="A347" s="1" t="s">
        <v>831</v>
      </c>
      <c r="B347" s="1" t="s">
        <v>1228</v>
      </c>
      <c r="C347" s="1" t="s">
        <v>21</v>
      </c>
      <c r="D347" s="4" t="s">
        <v>1229</v>
      </c>
      <c r="E347" s="1" t="s">
        <v>750</v>
      </c>
      <c r="F347" s="1" t="s">
        <v>1199</v>
      </c>
      <c r="G347" s="1" t="s">
        <v>752</v>
      </c>
      <c r="H347" s="7" t="s">
        <v>1230</v>
      </c>
      <c r="I347" s="1" t="str">
        <f t="shared" si="1"/>
        <v>6</v>
      </c>
      <c r="J347" s="5"/>
      <c r="K347" s="1" t="str">
        <f t="shared" si="2"/>
        <v>8</v>
      </c>
      <c r="L347" s="5"/>
      <c r="M347" s="2" t="str">
        <f t="shared" si="3"/>
        <v>1396</v>
      </c>
      <c r="N347" s="5"/>
      <c r="O347" s="2">
        <v>157.0</v>
      </c>
      <c r="P347" s="5"/>
      <c r="Q347" s="5"/>
      <c r="R347" s="8" t="s">
        <v>1230</v>
      </c>
      <c r="S347" s="5"/>
      <c r="T347" s="1" t="str">
        <f>IFERROR(__xludf.DUMMYFUNCTION("INDEX(SPLIT(A347, ""/""), 2)"),"تشکل‌های اسلامی و سیاسی")</f>
        <v>تشکل‌های اسلامی و سیاسی</v>
      </c>
      <c r="U347" s="1" t="str">
        <f>IFERROR(__xludf.DUMMYFUNCTION("INDEX(SPLIT(A347, ""/""), 3)"),"انجمن اسلامی دانشجویان")</f>
        <v>انجمن اسلامی دانشجویان</v>
      </c>
      <c r="V347" s="1" t="str">
        <f>IFERROR(__xludf.DUMMYFUNCTION("INDEX(SPLIT(A347, ""/""), 4)"),"خبرنامه")</f>
        <v>خبرنامه</v>
      </c>
    </row>
    <row r="348">
      <c r="A348" s="1" t="s">
        <v>831</v>
      </c>
      <c r="B348" s="1" t="s">
        <v>1231</v>
      </c>
      <c r="C348" s="1" t="s">
        <v>21</v>
      </c>
      <c r="D348" s="4" t="s">
        <v>1232</v>
      </c>
      <c r="E348" s="1" t="s">
        <v>750</v>
      </c>
      <c r="F348" s="1" t="s">
        <v>1199</v>
      </c>
      <c r="G348" s="1" t="s">
        <v>752</v>
      </c>
      <c r="H348" s="1" t="s">
        <v>275</v>
      </c>
      <c r="I348" s="1" t="str">
        <f t="shared" si="1"/>
        <v>15</v>
      </c>
      <c r="J348" s="5"/>
      <c r="K348" s="1" t="str">
        <f t="shared" si="2"/>
        <v>8</v>
      </c>
      <c r="L348" s="5"/>
      <c r="M348" s="2" t="str">
        <f t="shared" si="3"/>
        <v>1396</v>
      </c>
      <c r="N348" s="5"/>
      <c r="O348" s="2">
        <v>158.0</v>
      </c>
      <c r="P348" s="5"/>
      <c r="Q348" s="5"/>
      <c r="R348" s="6" t="s">
        <v>275</v>
      </c>
      <c r="S348" s="5"/>
      <c r="T348" s="1" t="str">
        <f>IFERROR(__xludf.DUMMYFUNCTION("INDEX(SPLIT(A348, ""/""), 2)"),"تشکل‌های اسلامی و سیاسی")</f>
        <v>تشکل‌های اسلامی و سیاسی</v>
      </c>
      <c r="U348" s="1" t="str">
        <f>IFERROR(__xludf.DUMMYFUNCTION("INDEX(SPLIT(A348, ""/""), 3)"),"انجمن اسلامی دانشجویان")</f>
        <v>انجمن اسلامی دانشجویان</v>
      </c>
      <c r="V348" s="1" t="str">
        <f>IFERROR(__xludf.DUMMYFUNCTION("INDEX(SPLIT(A348, ""/""), 4)"),"خبرنامه")</f>
        <v>خبرنامه</v>
      </c>
    </row>
    <row r="349">
      <c r="A349" s="1" t="s">
        <v>831</v>
      </c>
      <c r="B349" s="1" t="s">
        <v>1233</v>
      </c>
      <c r="C349" s="1" t="s">
        <v>21</v>
      </c>
      <c r="D349" s="4" t="s">
        <v>1234</v>
      </c>
      <c r="E349" s="1" t="s">
        <v>750</v>
      </c>
      <c r="F349" s="1" t="s">
        <v>1199</v>
      </c>
      <c r="G349" s="1" t="s">
        <v>752</v>
      </c>
      <c r="H349" s="1" t="s">
        <v>1235</v>
      </c>
      <c r="I349" s="1" t="str">
        <f t="shared" si="1"/>
        <v>22</v>
      </c>
      <c r="J349" s="5"/>
      <c r="K349" s="1" t="str">
        <f t="shared" si="2"/>
        <v>8</v>
      </c>
      <c r="L349" s="5"/>
      <c r="M349" s="2" t="str">
        <f t="shared" si="3"/>
        <v>1396</v>
      </c>
      <c r="N349" s="5"/>
      <c r="O349" s="2">
        <v>159.0</v>
      </c>
      <c r="P349" s="5"/>
      <c r="Q349" s="5"/>
      <c r="R349" s="6" t="s">
        <v>1235</v>
      </c>
      <c r="S349" s="5"/>
      <c r="T349" s="1" t="str">
        <f>IFERROR(__xludf.DUMMYFUNCTION("INDEX(SPLIT(A349, ""/""), 2)"),"تشکل‌های اسلامی و سیاسی")</f>
        <v>تشکل‌های اسلامی و سیاسی</v>
      </c>
      <c r="U349" s="1" t="str">
        <f>IFERROR(__xludf.DUMMYFUNCTION("INDEX(SPLIT(A349, ""/""), 3)"),"انجمن اسلامی دانشجویان")</f>
        <v>انجمن اسلامی دانشجویان</v>
      </c>
      <c r="V349" s="1" t="str">
        <f>IFERROR(__xludf.DUMMYFUNCTION("INDEX(SPLIT(A349, ""/""), 4)"),"خبرنامه")</f>
        <v>خبرنامه</v>
      </c>
    </row>
    <row r="350">
      <c r="A350" s="1" t="s">
        <v>831</v>
      </c>
      <c r="B350" s="1" t="s">
        <v>1236</v>
      </c>
      <c r="C350" s="1" t="s">
        <v>21</v>
      </c>
      <c r="D350" s="4" t="s">
        <v>1237</v>
      </c>
      <c r="E350" s="1" t="s">
        <v>750</v>
      </c>
      <c r="F350" s="1" t="s">
        <v>1199</v>
      </c>
      <c r="G350" s="1" t="s">
        <v>752</v>
      </c>
      <c r="H350" s="1" t="s">
        <v>1238</v>
      </c>
      <c r="I350" s="1" t="str">
        <f t="shared" si="1"/>
        <v>29</v>
      </c>
      <c r="J350" s="5"/>
      <c r="K350" s="1" t="str">
        <f t="shared" si="2"/>
        <v>8</v>
      </c>
      <c r="L350" s="5"/>
      <c r="M350" s="2" t="str">
        <f t="shared" si="3"/>
        <v>1396</v>
      </c>
      <c r="N350" s="5"/>
      <c r="O350" s="2">
        <v>160.0</v>
      </c>
      <c r="P350" s="5"/>
      <c r="Q350" s="5"/>
      <c r="R350" s="6" t="s">
        <v>1238</v>
      </c>
      <c r="S350" s="5"/>
      <c r="T350" s="1" t="str">
        <f>IFERROR(__xludf.DUMMYFUNCTION("INDEX(SPLIT(A350, ""/""), 2)"),"تشکل‌های اسلامی و سیاسی")</f>
        <v>تشکل‌های اسلامی و سیاسی</v>
      </c>
      <c r="U350" s="1" t="str">
        <f>IFERROR(__xludf.DUMMYFUNCTION("INDEX(SPLIT(A350, ""/""), 3)"),"انجمن اسلامی دانشجویان")</f>
        <v>انجمن اسلامی دانشجویان</v>
      </c>
      <c r="V350" s="1" t="str">
        <f>IFERROR(__xludf.DUMMYFUNCTION("INDEX(SPLIT(A350, ""/""), 4)"),"خبرنامه")</f>
        <v>خبرنامه</v>
      </c>
    </row>
    <row r="351">
      <c r="A351" s="1" t="s">
        <v>831</v>
      </c>
      <c r="B351" s="1" t="s">
        <v>1239</v>
      </c>
      <c r="C351" s="1" t="s">
        <v>21</v>
      </c>
      <c r="D351" s="4" t="s">
        <v>1240</v>
      </c>
      <c r="E351" s="1" t="s">
        <v>750</v>
      </c>
      <c r="F351" s="1" t="s">
        <v>1199</v>
      </c>
      <c r="G351" s="1" t="s">
        <v>752</v>
      </c>
      <c r="H351" s="1" t="s">
        <v>1241</v>
      </c>
      <c r="I351" s="1" t="str">
        <f t="shared" si="1"/>
        <v>20</v>
      </c>
      <c r="J351" s="5"/>
      <c r="K351" s="1" t="str">
        <f t="shared" si="2"/>
        <v>9</v>
      </c>
      <c r="L351" s="5"/>
      <c r="M351" s="2" t="str">
        <f t="shared" si="3"/>
        <v>1396</v>
      </c>
      <c r="N351" s="5"/>
      <c r="O351" s="2">
        <v>162.0</v>
      </c>
      <c r="P351" s="5"/>
      <c r="Q351" s="5"/>
      <c r="R351" s="6" t="s">
        <v>1241</v>
      </c>
      <c r="S351" s="5"/>
      <c r="T351" s="1" t="str">
        <f>IFERROR(__xludf.DUMMYFUNCTION("INDEX(SPLIT(A351, ""/""), 2)"),"تشکل‌های اسلامی و سیاسی")</f>
        <v>تشکل‌های اسلامی و سیاسی</v>
      </c>
      <c r="U351" s="1" t="str">
        <f>IFERROR(__xludf.DUMMYFUNCTION("INDEX(SPLIT(A351, ""/""), 3)"),"انجمن اسلامی دانشجویان")</f>
        <v>انجمن اسلامی دانشجویان</v>
      </c>
      <c r="V351" s="1" t="str">
        <f>IFERROR(__xludf.DUMMYFUNCTION("INDEX(SPLIT(A351, ""/""), 4)"),"خبرنامه")</f>
        <v>خبرنامه</v>
      </c>
    </row>
    <row r="352">
      <c r="A352" s="1" t="s">
        <v>831</v>
      </c>
      <c r="B352" s="1" t="s">
        <v>1242</v>
      </c>
      <c r="C352" s="1" t="s">
        <v>21</v>
      </c>
      <c r="D352" s="4" t="s">
        <v>1243</v>
      </c>
      <c r="E352" s="1" t="s">
        <v>750</v>
      </c>
      <c r="F352" s="1" t="s">
        <v>1199</v>
      </c>
      <c r="G352" s="1" t="s">
        <v>752</v>
      </c>
      <c r="H352" s="1" t="s">
        <v>1244</v>
      </c>
      <c r="I352" s="1" t="str">
        <f t="shared" si="1"/>
        <v>26</v>
      </c>
      <c r="J352" s="5"/>
      <c r="K352" s="1" t="str">
        <f t="shared" si="2"/>
        <v>9</v>
      </c>
      <c r="L352" s="5"/>
      <c r="M352" s="2" t="str">
        <f t="shared" si="3"/>
        <v>1396</v>
      </c>
      <c r="N352" s="5"/>
      <c r="O352" s="2">
        <v>163.0</v>
      </c>
      <c r="P352" s="5"/>
      <c r="Q352" s="5"/>
      <c r="R352" s="6" t="s">
        <v>1244</v>
      </c>
      <c r="S352" s="5"/>
      <c r="T352" s="1" t="str">
        <f>IFERROR(__xludf.DUMMYFUNCTION("INDEX(SPLIT(A352, ""/""), 2)"),"تشکل‌های اسلامی و سیاسی")</f>
        <v>تشکل‌های اسلامی و سیاسی</v>
      </c>
      <c r="U352" s="1" t="str">
        <f>IFERROR(__xludf.DUMMYFUNCTION("INDEX(SPLIT(A352, ""/""), 3)"),"انجمن اسلامی دانشجویان")</f>
        <v>انجمن اسلامی دانشجویان</v>
      </c>
      <c r="V352" s="1" t="str">
        <f>IFERROR(__xludf.DUMMYFUNCTION("INDEX(SPLIT(A352, ""/""), 4)"),"خبرنامه")</f>
        <v>خبرنامه</v>
      </c>
    </row>
    <row r="353">
      <c r="A353" s="1" t="s">
        <v>831</v>
      </c>
      <c r="B353" s="1" t="s">
        <v>1245</v>
      </c>
      <c r="C353" s="1" t="s">
        <v>21</v>
      </c>
      <c r="D353" s="4" t="s">
        <v>1246</v>
      </c>
      <c r="E353" s="1" t="s">
        <v>750</v>
      </c>
      <c r="F353" s="1" t="s">
        <v>1199</v>
      </c>
      <c r="G353" s="1" t="s">
        <v>1247</v>
      </c>
      <c r="H353" s="7" t="s">
        <v>1248</v>
      </c>
      <c r="I353" s="1" t="str">
        <f t="shared" si="1"/>
        <v>2</v>
      </c>
      <c r="J353" s="5"/>
      <c r="K353" s="1" t="str">
        <f t="shared" si="2"/>
        <v>10</v>
      </c>
      <c r="L353" s="5"/>
      <c r="M353" s="2" t="str">
        <f t="shared" si="3"/>
        <v>1396</v>
      </c>
      <c r="N353" s="5"/>
      <c r="O353" s="2">
        <v>164.0</v>
      </c>
      <c r="P353" s="5"/>
      <c r="Q353" s="5"/>
      <c r="R353" s="8" t="s">
        <v>1248</v>
      </c>
      <c r="S353" s="5"/>
      <c r="T353" s="1" t="str">
        <f>IFERROR(__xludf.DUMMYFUNCTION("INDEX(SPLIT(A353, ""/""), 2)"),"تشکل‌های اسلامی و سیاسی")</f>
        <v>تشکل‌های اسلامی و سیاسی</v>
      </c>
      <c r="U353" s="1" t="str">
        <f>IFERROR(__xludf.DUMMYFUNCTION("INDEX(SPLIT(A353, ""/""), 3)"),"انجمن اسلامی دانشجویان")</f>
        <v>انجمن اسلامی دانشجویان</v>
      </c>
      <c r="V353" s="1" t="str">
        <f>IFERROR(__xludf.DUMMYFUNCTION("INDEX(SPLIT(A353, ""/""), 4)"),"خبرنامه")</f>
        <v>خبرنامه</v>
      </c>
    </row>
    <row r="354">
      <c r="A354" s="1" t="s">
        <v>831</v>
      </c>
      <c r="B354" s="1" t="s">
        <v>1249</v>
      </c>
      <c r="C354" s="1" t="s">
        <v>21</v>
      </c>
      <c r="D354" s="4" t="s">
        <v>1250</v>
      </c>
      <c r="E354" s="1" t="s">
        <v>750</v>
      </c>
      <c r="F354" s="1" t="s">
        <v>1199</v>
      </c>
      <c r="G354" s="1" t="s">
        <v>1247</v>
      </c>
      <c r="H354" s="1" t="s">
        <v>1251</v>
      </c>
      <c r="I354" s="1" t="str">
        <f t="shared" si="1"/>
        <v>23</v>
      </c>
      <c r="J354" s="5"/>
      <c r="K354" s="1" t="str">
        <f t="shared" si="2"/>
        <v>11</v>
      </c>
      <c r="L354" s="5"/>
      <c r="M354" s="2" t="str">
        <f t="shared" si="3"/>
        <v>1396</v>
      </c>
      <c r="N354" s="5"/>
      <c r="O354" s="2">
        <v>165.0</v>
      </c>
      <c r="P354" s="5"/>
      <c r="Q354" s="5"/>
      <c r="R354" s="6" t="s">
        <v>1251</v>
      </c>
      <c r="S354" s="5"/>
      <c r="T354" s="1" t="str">
        <f>IFERROR(__xludf.DUMMYFUNCTION("INDEX(SPLIT(A354, ""/""), 2)"),"تشکل‌های اسلامی و سیاسی")</f>
        <v>تشکل‌های اسلامی و سیاسی</v>
      </c>
      <c r="U354" s="1" t="str">
        <f>IFERROR(__xludf.DUMMYFUNCTION("INDEX(SPLIT(A354, ""/""), 3)"),"انجمن اسلامی دانشجویان")</f>
        <v>انجمن اسلامی دانشجویان</v>
      </c>
      <c r="V354" s="1" t="str">
        <f>IFERROR(__xludf.DUMMYFUNCTION("INDEX(SPLIT(A354, ""/""), 4)"),"خبرنامه")</f>
        <v>خبرنامه</v>
      </c>
    </row>
    <row r="355">
      <c r="A355" s="1" t="s">
        <v>831</v>
      </c>
      <c r="B355" s="1" t="s">
        <v>1252</v>
      </c>
      <c r="C355" s="1" t="s">
        <v>21</v>
      </c>
      <c r="D355" s="4" t="s">
        <v>1253</v>
      </c>
      <c r="E355" s="1" t="s">
        <v>750</v>
      </c>
      <c r="F355" s="1" t="s">
        <v>1199</v>
      </c>
      <c r="G355" s="1" t="s">
        <v>1247</v>
      </c>
      <c r="H355" s="1" t="s">
        <v>1254</v>
      </c>
      <c r="I355" s="1" t="str">
        <f t="shared" si="1"/>
        <v>30</v>
      </c>
      <c r="J355" s="5"/>
      <c r="K355" s="1" t="str">
        <f t="shared" si="2"/>
        <v>11</v>
      </c>
      <c r="L355" s="5"/>
      <c r="M355" s="2" t="str">
        <f t="shared" si="3"/>
        <v>1396</v>
      </c>
      <c r="N355" s="5"/>
      <c r="O355" s="2">
        <v>166.0</v>
      </c>
      <c r="P355" s="5"/>
      <c r="Q355" s="5"/>
      <c r="R355" s="6" t="s">
        <v>1254</v>
      </c>
      <c r="S355" s="5"/>
      <c r="T355" s="1" t="str">
        <f>IFERROR(__xludf.DUMMYFUNCTION("INDEX(SPLIT(A355, ""/""), 2)"),"تشکل‌های اسلامی و سیاسی")</f>
        <v>تشکل‌های اسلامی و سیاسی</v>
      </c>
      <c r="U355" s="1" t="str">
        <f>IFERROR(__xludf.DUMMYFUNCTION("INDEX(SPLIT(A355, ""/""), 3)"),"انجمن اسلامی دانشجویان")</f>
        <v>انجمن اسلامی دانشجویان</v>
      </c>
      <c r="V355" s="1" t="str">
        <f>IFERROR(__xludf.DUMMYFUNCTION("INDEX(SPLIT(A355, ""/""), 4)"),"خبرنامه")</f>
        <v>خبرنامه</v>
      </c>
    </row>
    <row r="356">
      <c r="A356" s="1" t="s">
        <v>831</v>
      </c>
      <c r="B356" s="1" t="s">
        <v>1255</v>
      </c>
      <c r="C356" s="1" t="s">
        <v>21</v>
      </c>
      <c r="D356" s="4" t="s">
        <v>1256</v>
      </c>
      <c r="E356" s="1" t="s">
        <v>750</v>
      </c>
      <c r="F356" s="1" t="s">
        <v>1199</v>
      </c>
      <c r="G356" s="1" t="s">
        <v>1247</v>
      </c>
      <c r="H356" s="1" t="s">
        <v>1257</v>
      </c>
      <c r="I356" s="1" t="str">
        <f t="shared" si="1"/>
        <v>14</v>
      </c>
      <c r="J356" s="5"/>
      <c r="K356" s="1" t="str">
        <f t="shared" si="2"/>
        <v>12</v>
      </c>
      <c r="L356" s="5"/>
      <c r="M356" s="2" t="str">
        <f t="shared" si="3"/>
        <v>1396</v>
      </c>
      <c r="N356" s="5"/>
      <c r="O356" s="2">
        <v>167.0</v>
      </c>
      <c r="P356" s="5"/>
      <c r="Q356" s="5"/>
      <c r="R356" s="6" t="s">
        <v>1257</v>
      </c>
      <c r="S356" s="5"/>
      <c r="T356" s="1" t="str">
        <f>IFERROR(__xludf.DUMMYFUNCTION("INDEX(SPLIT(A356, ""/""), 2)"),"تشکل‌های اسلامی و سیاسی")</f>
        <v>تشکل‌های اسلامی و سیاسی</v>
      </c>
      <c r="U356" s="1" t="str">
        <f>IFERROR(__xludf.DUMMYFUNCTION("INDEX(SPLIT(A356, ""/""), 3)"),"انجمن اسلامی دانشجویان")</f>
        <v>انجمن اسلامی دانشجویان</v>
      </c>
      <c r="V356" s="1" t="str">
        <f>IFERROR(__xludf.DUMMYFUNCTION("INDEX(SPLIT(A356, ""/""), 4)"),"خبرنامه")</f>
        <v>خبرنامه</v>
      </c>
    </row>
    <row r="357">
      <c r="A357" s="1" t="s">
        <v>831</v>
      </c>
      <c r="B357" s="1" t="s">
        <v>1258</v>
      </c>
      <c r="C357" s="1" t="s">
        <v>21</v>
      </c>
      <c r="D357" s="4" t="s">
        <v>1259</v>
      </c>
      <c r="E357" s="1" t="s">
        <v>750</v>
      </c>
      <c r="F357" s="1" t="s">
        <v>1199</v>
      </c>
      <c r="G357" s="1" t="s">
        <v>1247</v>
      </c>
      <c r="H357" s="1" t="s">
        <v>1260</v>
      </c>
      <c r="I357" s="1" t="str">
        <f t="shared" si="1"/>
        <v>21</v>
      </c>
      <c r="J357" s="5"/>
      <c r="K357" s="1" t="str">
        <f t="shared" si="2"/>
        <v>12</v>
      </c>
      <c r="L357" s="5"/>
      <c r="M357" s="2" t="str">
        <f t="shared" si="3"/>
        <v>1396</v>
      </c>
      <c r="N357" s="5"/>
      <c r="O357" s="2">
        <v>168.0</v>
      </c>
      <c r="P357" s="5"/>
      <c r="Q357" s="5"/>
      <c r="R357" s="6" t="s">
        <v>1260</v>
      </c>
      <c r="S357" s="5"/>
      <c r="T357" s="1" t="str">
        <f>IFERROR(__xludf.DUMMYFUNCTION("INDEX(SPLIT(A357, ""/""), 2)"),"تشکل‌های اسلامی و سیاسی")</f>
        <v>تشکل‌های اسلامی و سیاسی</v>
      </c>
      <c r="U357" s="1" t="str">
        <f>IFERROR(__xludf.DUMMYFUNCTION("INDEX(SPLIT(A357, ""/""), 3)"),"انجمن اسلامی دانشجویان")</f>
        <v>انجمن اسلامی دانشجویان</v>
      </c>
      <c r="V357" s="1" t="str">
        <f>IFERROR(__xludf.DUMMYFUNCTION("INDEX(SPLIT(A357, ""/""), 4)"),"خبرنامه")</f>
        <v>خبرنامه</v>
      </c>
    </row>
    <row r="358">
      <c r="A358" s="1" t="s">
        <v>831</v>
      </c>
      <c r="B358" s="1" t="s">
        <v>1261</v>
      </c>
      <c r="C358" s="1" t="s">
        <v>21</v>
      </c>
      <c r="D358" s="4" t="s">
        <v>1262</v>
      </c>
      <c r="E358" s="1" t="s">
        <v>750</v>
      </c>
      <c r="F358" s="1" t="s">
        <v>1199</v>
      </c>
      <c r="G358" s="1" t="s">
        <v>1247</v>
      </c>
      <c r="H358" s="7" t="s">
        <v>1263</v>
      </c>
      <c r="I358" s="1" t="str">
        <f t="shared" si="1"/>
        <v>3</v>
      </c>
      <c r="J358" s="5"/>
      <c r="K358" s="1" t="str">
        <f t="shared" si="2"/>
        <v>2</v>
      </c>
      <c r="L358" s="5"/>
      <c r="M358" s="2" t="str">
        <f t="shared" si="3"/>
        <v>1397</v>
      </c>
      <c r="N358" s="5"/>
      <c r="O358" s="2">
        <v>169.0</v>
      </c>
      <c r="P358" s="5"/>
      <c r="Q358" s="5"/>
      <c r="R358" s="8" t="s">
        <v>1263</v>
      </c>
      <c r="S358" s="5"/>
      <c r="T358" s="1" t="str">
        <f>IFERROR(__xludf.DUMMYFUNCTION("INDEX(SPLIT(A358, ""/""), 2)"),"تشکل‌های اسلامی و سیاسی")</f>
        <v>تشکل‌های اسلامی و سیاسی</v>
      </c>
      <c r="U358" s="1" t="str">
        <f>IFERROR(__xludf.DUMMYFUNCTION("INDEX(SPLIT(A358, ""/""), 3)"),"انجمن اسلامی دانشجویان")</f>
        <v>انجمن اسلامی دانشجویان</v>
      </c>
      <c r="V358" s="1" t="str">
        <f>IFERROR(__xludf.DUMMYFUNCTION("INDEX(SPLIT(A358, ""/""), 4)"),"خبرنامه")</f>
        <v>خبرنامه</v>
      </c>
    </row>
    <row r="359">
      <c r="A359" s="1" t="s">
        <v>831</v>
      </c>
      <c r="B359" s="1" t="s">
        <v>1264</v>
      </c>
      <c r="C359" s="1" t="s">
        <v>21</v>
      </c>
      <c r="D359" s="4" t="s">
        <v>1265</v>
      </c>
      <c r="E359" s="1" t="s">
        <v>750</v>
      </c>
      <c r="F359" s="1" t="s">
        <v>1266</v>
      </c>
      <c r="G359" s="1" t="s">
        <v>752</v>
      </c>
      <c r="H359" s="1" t="s">
        <v>294</v>
      </c>
      <c r="I359" s="1" t="str">
        <f t="shared" si="1"/>
        <v>16</v>
      </c>
      <c r="J359" s="5"/>
      <c r="K359" s="1" t="str">
        <f t="shared" si="2"/>
        <v>2</v>
      </c>
      <c r="L359" s="5"/>
      <c r="M359" s="2" t="str">
        <f t="shared" si="3"/>
        <v>1397</v>
      </c>
      <c r="N359" s="5"/>
      <c r="O359" s="2">
        <v>170.0</v>
      </c>
      <c r="P359" s="5"/>
      <c r="Q359" s="5"/>
      <c r="R359" s="6" t="s">
        <v>294</v>
      </c>
      <c r="S359" s="5"/>
      <c r="T359" s="1" t="str">
        <f>IFERROR(__xludf.DUMMYFUNCTION("INDEX(SPLIT(A359, ""/""), 2)"),"تشکل‌های اسلامی و سیاسی")</f>
        <v>تشکل‌های اسلامی و سیاسی</v>
      </c>
      <c r="U359" s="1" t="str">
        <f>IFERROR(__xludf.DUMMYFUNCTION("INDEX(SPLIT(A359, ""/""), 3)"),"انجمن اسلامی دانشجویان")</f>
        <v>انجمن اسلامی دانشجویان</v>
      </c>
      <c r="V359" s="1" t="str">
        <f>IFERROR(__xludf.DUMMYFUNCTION("INDEX(SPLIT(A359, ""/""), 4)"),"خبرنامه")</f>
        <v>خبرنامه</v>
      </c>
    </row>
    <row r="360">
      <c r="A360" s="1" t="s">
        <v>831</v>
      </c>
      <c r="B360" s="1" t="s">
        <v>1267</v>
      </c>
      <c r="C360" s="1" t="s">
        <v>21</v>
      </c>
      <c r="D360" s="4" t="s">
        <v>1268</v>
      </c>
      <c r="E360" s="1" t="s">
        <v>750</v>
      </c>
      <c r="F360" s="1" t="s">
        <v>1266</v>
      </c>
      <c r="G360" s="1" t="s">
        <v>752</v>
      </c>
      <c r="H360" s="1" t="s">
        <v>1269</v>
      </c>
      <c r="I360" s="1" t="str">
        <f t="shared" si="1"/>
        <v>23</v>
      </c>
      <c r="J360" s="5"/>
      <c r="K360" s="1" t="str">
        <f t="shared" si="2"/>
        <v>2</v>
      </c>
      <c r="L360" s="5"/>
      <c r="M360" s="2" t="str">
        <f t="shared" si="3"/>
        <v>1397</v>
      </c>
      <c r="N360" s="5"/>
      <c r="O360" s="2">
        <v>171.0</v>
      </c>
      <c r="P360" s="5"/>
      <c r="Q360" s="5"/>
      <c r="R360" s="6" t="s">
        <v>1269</v>
      </c>
      <c r="S360" s="5"/>
      <c r="T360" s="1" t="str">
        <f>IFERROR(__xludf.DUMMYFUNCTION("INDEX(SPLIT(A360, ""/""), 2)"),"تشکل‌های اسلامی و سیاسی")</f>
        <v>تشکل‌های اسلامی و سیاسی</v>
      </c>
      <c r="U360" s="1" t="str">
        <f>IFERROR(__xludf.DUMMYFUNCTION("INDEX(SPLIT(A360, ""/""), 3)"),"انجمن اسلامی دانشجویان")</f>
        <v>انجمن اسلامی دانشجویان</v>
      </c>
      <c r="V360" s="1" t="str">
        <f>IFERROR(__xludf.DUMMYFUNCTION("INDEX(SPLIT(A360, ""/""), 4)"),"خبرنامه")</f>
        <v>خبرنامه</v>
      </c>
    </row>
    <row r="361">
      <c r="A361" s="1" t="s">
        <v>831</v>
      </c>
      <c r="B361" s="1" t="s">
        <v>1270</v>
      </c>
      <c r="C361" s="1" t="s">
        <v>21</v>
      </c>
      <c r="D361" s="4" t="s">
        <v>1271</v>
      </c>
      <c r="E361" s="1" t="s">
        <v>750</v>
      </c>
      <c r="F361" s="1" t="s">
        <v>1266</v>
      </c>
      <c r="G361" s="1" t="s">
        <v>752</v>
      </c>
      <c r="H361" s="1" t="s">
        <v>1272</v>
      </c>
      <c r="I361" s="1" t="str">
        <f t="shared" si="1"/>
        <v>30</v>
      </c>
      <c r="J361" s="5"/>
      <c r="K361" s="1" t="str">
        <f t="shared" si="2"/>
        <v>2</v>
      </c>
      <c r="L361" s="5"/>
      <c r="M361" s="2" t="str">
        <f t="shared" si="3"/>
        <v>1397</v>
      </c>
      <c r="N361" s="5"/>
      <c r="O361" s="2">
        <v>172.0</v>
      </c>
      <c r="P361" s="5"/>
      <c r="Q361" s="5"/>
      <c r="R361" s="6" t="s">
        <v>1272</v>
      </c>
      <c r="S361" s="5"/>
      <c r="T361" s="1" t="str">
        <f>IFERROR(__xludf.DUMMYFUNCTION("INDEX(SPLIT(A361, ""/""), 2)"),"تشکل‌های اسلامی و سیاسی")</f>
        <v>تشکل‌های اسلامی و سیاسی</v>
      </c>
      <c r="U361" s="1" t="str">
        <f>IFERROR(__xludf.DUMMYFUNCTION("INDEX(SPLIT(A361, ""/""), 3)"),"انجمن اسلامی دانشجویان")</f>
        <v>انجمن اسلامی دانشجویان</v>
      </c>
      <c r="V361" s="1" t="str">
        <f>IFERROR(__xludf.DUMMYFUNCTION("INDEX(SPLIT(A361, ""/""), 4)"),"خبرنامه")</f>
        <v>خبرنامه</v>
      </c>
    </row>
    <row r="362">
      <c r="A362" s="1" t="s">
        <v>831</v>
      </c>
      <c r="B362" s="1" t="s">
        <v>1273</v>
      </c>
      <c r="C362" s="1" t="s">
        <v>21</v>
      </c>
      <c r="D362" s="4" t="s">
        <v>1274</v>
      </c>
      <c r="E362" s="1" t="s">
        <v>750</v>
      </c>
      <c r="F362" s="1" t="s">
        <v>1266</v>
      </c>
      <c r="G362" s="1" t="s">
        <v>1275</v>
      </c>
      <c r="H362" s="7" t="s">
        <v>1276</v>
      </c>
      <c r="I362" s="1" t="str">
        <f t="shared" si="1"/>
        <v>6</v>
      </c>
      <c r="J362" s="5"/>
      <c r="K362" s="1" t="str">
        <f t="shared" si="2"/>
        <v>8</v>
      </c>
      <c r="L362" s="5"/>
      <c r="M362" s="2" t="str">
        <f t="shared" si="3"/>
        <v>1397</v>
      </c>
      <c r="N362" s="5"/>
      <c r="O362" s="2">
        <v>174.0</v>
      </c>
      <c r="P362" s="5"/>
      <c r="Q362" s="5"/>
      <c r="R362" s="8" t="s">
        <v>1276</v>
      </c>
      <c r="S362" s="5"/>
      <c r="T362" s="1" t="str">
        <f>IFERROR(__xludf.DUMMYFUNCTION("INDEX(SPLIT(A362, ""/""), 2)"),"تشکل‌های اسلامی و سیاسی")</f>
        <v>تشکل‌های اسلامی و سیاسی</v>
      </c>
      <c r="U362" s="1" t="str">
        <f>IFERROR(__xludf.DUMMYFUNCTION("INDEX(SPLIT(A362, ""/""), 3)"),"انجمن اسلامی دانشجویان")</f>
        <v>انجمن اسلامی دانشجویان</v>
      </c>
      <c r="V362" s="1" t="str">
        <f>IFERROR(__xludf.DUMMYFUNCTION("INDEX(SPLIT(A362, ""/""), 4)"),"خبرنامه")</f>
        <v>خبرنامه</v>
      </c>
    </row>
    <row r="363">
      <c r="A363" s="1" t="s">
        <v>831</v>
      </c>
      <c r="B363" s="1" t="s">
        <v>1277</v>
      </c>
      <c r="C363" s="1" t="s">
        <v>21</v>
      </c>
      <c r="D363" s="4" t="s">
        <v>1278</v>
      </c>
      <c r="E363" s="1" t="s">
        <v>750</v>
      </c>
      <c r="F363" s="1" t="s">
        <v>1266</v>
      </c>
      <c r="G363" s="1" t="s">
        <v>1275</v>
      </c>
      <c r="H363" s="1" t="s">
        <v>1279</v>
      </c>
      <c r="I363" s="1" t="str">
        <f t="shared" si="1"/>
        <v>13</v>
      </c>
      <c r="J363" s="5"/>
      <c r="K363" s="1" t="str">
        <f t="shared" si="2"/>
        <v>8</v>
      </c>
      <c r="L363" s="5"/>
      <c r="M363" s="2" t="str">
        <f t="shared" si="3"/>
        <v>1397</v>
      </c>
      <c r="N363" s="5"/>
      <c r="O363" s="2">
        <v>175.0</v>
      </c>
      <c r="P363" s="5"/>
      <c r="Q363" s="5"/>
      <c r="R363" s="6" t="s">
        <v>1279</v>
      </c>
      <c r="S363" s="5"/>
      <c r="T363" s="1" t="str">
        <f>IFERROR(__xludf.DUMMYFUNCTION("INDEX(SPLIT(A363, ""/""), 2)"),"تشکل‌های اسلامی و سیاسی")</f>
        <v>تشکل‌های اسلامی و سیاسی</v>
      </c>
      <c r="U363" s="1" t="str">
        <f>IFERROR(__xludf.DUMMYFUNCTION("INDEX(SPLIT(A363, ""/""), 3)"),"انجمن اسلامی دانشجویان")</f>
        <v>انجمن اسلامی دانشجویان</v>
      </c>
      <c r="V363" s="1" t="str">
        <f>IFERROR(__xludf.DUMMYFUNCTION("INDEX(SPLIT(A363, ""/""), 4)"),"خبرنامه")</f>
        <v>خبرنامه</v>
      </c>
    </row>
    <row r="364">
      <c r="A364" s="1" t="s">
        <v>831</v>
      </c>
      <c r="B364" s="1" t="s">
        <v>1280</v>
      </c>
      <c r="C364" s="1" t="s">
        <v>21</v>
      </c>
      <c r="D364" s="4" t="s">
        <v>1281</v>
      </c>
      <c r="E364" s="1" t="s">
        <v>750</v>
      </c>
      <c r="F364" s="1" t="s">
        <v>1266</v>
      </c>
      <c r="G364" s="1" t="s">
        <v>1275</v>
      </c>
      <c r="H364" s="1" t="s">
        <v>1282</v>
      </c>
      <c r="I364" s="1" t="str">
        <f t="shared" si="1"/>
        <v>22</v>
      </c>
      <c r="J364" s="5"/>
      <c r="K364" s="1" t="str">
        <f t="shared" si="2"/>
        <v>8</v>
      </c>
      <c r="L364" s="5"/>
      <c r="M364" s="2" t="str">
        <f t="shared" si="3"/>
        <v>1397</v>
      </c>
      <c r="N364" s="5"/>
      <c r="O364" s="2">
        <v>176.0</v>
      </c>
      <c r="P364" s="5"/>
      <c r="Q364" s="5"/>
      <c r="R364" s="6" t="s">
        <v>1282</v>
      </c>
      <c r="S364" s="5"/>
      <c r="T364" s="1" t="str">
        <f>IFERROR(__xludf.DUMMYFUNCTION("INDEX(SPLIT(A364, ""/""), 2)"),"تشکل‌های اسلامی و سیاسی")</f>
        <v>تشکل‌های اسلامی و سیاسی</v>
      </c>
      <c r="U364" s="1" t="str">
        <f>IFERROR(__xludf.DUMMYFUNCTION("INDEX(SPLIT(A364, ""/""), 3)"),"انجمن اسلامی دانشجویان")</f>
        <v>انجمن اسلامی دانشجویان</v>
      </c>
      <c r="V364" s="1" t="str">
        <f>IFERROR(__xludf.DUMMYFUNCTION("INDEX(SPLIT(A364, ""/""), 4)"),"خبرنامه")</f>
        <v>خبرنامه</v>
      </c>
    </row>
    <row r="365">
      <c r="A365" s="1" t="s">
        <v>831</v>
      </c>
      <c r="B365" s="1" t="s">
        <v>1283</v>
      </c>
      <c r="C365" s="1" t="s">
        <v>21</v>
      </c>
      <c r="D365" s="4" t="s">
        <v>1284</v>
      </c>
      <c r="E365" s="1" t="s">
        <v>750</v>
      </c>
      <c r="F365" s="1" t="s">
        <v>1266</v>
      </c>
      <c r="G365" s="1" t="s">
        <v>1275</v>
      </c>
      <c r="H365" s="7" t="s">
        <v>704</v>
      </c>
      <c r="I365" s="1" t="str">
        <f t="shared" si="1"/>
        <v>6</v>
      </c>
      <c r="J365" s="5"/>
      <c r="K365" s="1" t="str">
        <f t="shared" si="2"/>
        <v>9</v>
      </c>
      <c r="L365" s="5"/>
      <c r="M365" s="2" t="str">
        <f t="shared" si="3"/>
        <v>1397</v>
      </c>
      <c r="N365" s="5"/>
      <c r="O365" s="2">
        <v>177.0</v>
      </c>
      <c r="P365" s="5"/>
      <c r="Q365" s="5"/>
      <c r="R365" s="8" t="s">
        <v>704</v>
      </c>
      <c r="S365" s="5"/>
      <c r="T365" s="1" t="str">
        <f>IFERROR(__xludf.DUMMYFUNCTION("INDEX(SPLIT(A365, ""/""), 2)"),"تشکل‌های اسلامی و سیاسی")</f>
        <v>تشکل‌های اسلامی و سیاسی</v>
      </c>
      <c r="U365" s="1" t="str">
        <f>IFERROR(__xludf.DUMMYFUNCTION("INDEX(SPLIT(A365, ""/""), 3)"),"انجمن اسلامی دانشجویان")</f>
        <v>انجمن اسلامی دانشجویان</v>
      </c>
      <c r="V365" s="1" t="str">
        <f>IFERROR(__xludf.DUMMYFUNCTION("INDEX(SPLIT(A365, ""/""), 4)"),"خبرنامه")</f>
        <v>خبرنامه</v>
      </c>
    </row>
    <row r="366">
      <c r="A366" s="1" t="s">
        <v>831</v>
      </c>
      <c r="B366" s="1" t="s">
        <v>1285</v>
      </c>
      <c r="C366" s="1" t="s">
        <v>21</v>
      </c>
      <c r="D366" s="4" t="s">
        <v>1286</v>
      </c>
      <c r="E366" s="1" t="s">
        <v>750</v>
      </c>
      <c r="F366" s="1" t="s">
        <v>1266</v>
      </c>
      <c r="G366" s="1" t="s">
        <v>1275</v>
      </c>
      <c r="H366" s="1" t="s">
        <v>1287</v>
      </c>
      <c r="I366" s="1" t="str">
        <f t="shared" si="1"/>
        <v>17</v>
      </c>
      <c r="J366" s="5"/>
      <c r="K366" s="1" t="str">
        <f t="shared" si="2"/>
        <v>9</v>
      </c>
      <c r="L366" s="5"/>
      <c r="M366" s="2" t="str">
        <f t="shared" si="3"/>
        <v>1397</v>
      </c>
      <c r="N366" s="5"/>
      <c r="O366" s="2">
        <v>178.0</v>
      </c>
      <c r="P366" s="5"/>
      <c r="Q366" s="5"/>
      <c r="R366" s="6" t="s">
        <v>1287</v>
      </c>
      <c r="S366" s="5"/>
      <c r="T366" s="1" t="str">
        <f>IFERROR(__xludf.DUMMYFUNCTION("INDEX(SPLIT(A366, ""/""), 2)"),"تشکل‌های اسلامی و سیاسی")</f>
        <v>تشکل‌های اسلامی و سیاسی</v>
      </c>
      <c r="U366" s="1" t="str">
        <f>IFERROR(__xludf.DUMMYFUNCTION("INDEX(SPLIT(A366, ""/""), 3)"),"انجمن اسلامی دانشجویان")</f>
        <v>انجمن اسلامی دانشجویان</v>
      </c>
      <c r="V366" s="1" t="str">
        <f>IFERROR(__xludf.DUMMYFUNCTION("INDEX(SPLIT(A366, ""/""), 4)"),"خبرنامه")</f>
        <v>خبرنامه</v>
      </c>
    </row>
    <row r="367">
      <c r="A367" s="1" t="s">
        <v>831</v>
      </c>
      <c r="B367" s="1" t="s">
        <v>1288</v>
      </c>
      <c r="C367" s="1" t="s">
        <v>21</v>
      </c>
      <c r="D367" s="4" t="s">
        <v>1289</v>
      </c>
      <c r="E367" s="1" t="s">
        <v>750</v>
      </c>
      <c r="F367" s="1" t="s">
        <v>1266</v>
      </c>
      <c r="G367" s="1" t="s">
        <v>1275</v>
      </c>
      <c r="H367" s="1" t="s">
        <v>1290</v>
      </c>
      <c r="I367" s="1" t="str">
        <f t="shared" si="1"/>
        <v>26</v>
      </c>
      <c r="J367" s="5"/>
      <c r="K367" s="1" t="str">
        <f t="shared" si="2"/>
        <v>9</v>
      </c>
      <c r="L367" s="5"/>
      <c r="M367" s="2" t="str">
        <f t="shared" si="3"/>
        <v>1397</v>
      </c>
      <c r="N367" s="5"/>
      <c r="O367" s="2">
        <v>179.0</v>
      </c>
      <c r="P367" s="5"/>
      <c r="Q367" s="5"/>
      <c r="R367" s="6" t="s">
        <v>1290</v>
      </c>
      <c r="S367" s="5"/>
      <c r="T367" s="1" t="str">
        <f>IFERROR(__xludf.DUMMYFUNCTION("INDEX(SPLIT(A367, ""/""), 2)"),"تشکل‌های اسلامی و سیاسی")</f>
        <v>تشکل‌های اسلامی و سیاسی</v>
      </c>
      <c r="U367" s="1" t="str">
        <f>IFERROR(__xludf.DUMMYFUNCTION("INDEX(SPLIT(A367, ""/""), 3)"),"انجمن اسلامی دانشجویان")</f>
        <v>انجمن اسلامی دانشجویان</v>
      </c>
      <c r="V367" s="1" t="str">
        <f>IFERROR(__xludf.DUMMYFUNCTION("INDEX(SPLIT(A367, ""/""), 4)"),"خبرنامه")</f>
        <v>خبرنامه</v>
      </c>
    </row>
    <row r="368">
      <c r="A368" s="1" t="s">
        <v>831</v>
      </c>
      <c r="B368" s="1" t="s">
        <v>1291</v>
      </c>
      <c r="C368" s="1" t="s">
        <v>21</v>
      </c>
      <c r="D368" s="4" t="s">
        <v>1292</v>
      </c>
      <c r="E368" s="1" t="s">
        <v>750</v>
      </c>
      <c r="F368" s="1" t="s">
        <v>1293</v>
      </c>
      <c r="G368" s="1" t="s">
        <v>1294</v>
      </c>
      <c r="H368" s="1" t="s">
        <v>178</v>
      </c>
      <c r="I368" s="1" t="str">
        <f t="shared" si="1"/>
        <v>15</v>
      </c>
      <c r="J368" s="5"/>
      <c r="K368" s="1" t="str">
        <f t="shared" si="2"/>
        <v>11</v>
      </c>
      <c r="L368" s="5"/>
      <c r="M368" s="2" t="str">
        <f t="shared" si="3"/>
        <v>1397</v>
      </c>
      <c r="N368" s="5"/>
      <c r="O368" s="2">
        <v>180.0</v>
      </c>
      <c r="P368" s="5"/>
      <c r="Q368" s="5"/>
      <c r="R368" s="6" t="s">
        <v>178</v>
      </c>
      <c r="S368" s="5"/>
      <c r="T368" s="1" t="str">
        <f>IFERROR(__xludf.DUMMYFUNCTION("INDEX(SPLIT(A368, ""/""), 2)"),"تشکل‌های اسلامی و سیاسی")</f>
        <v>تشکل‌های اسلامی و سیاسی</v>
      </c>
      <c r="U368" s="1" t="str">
        <f>IFERROR(__xludf.DUMMYFUNCTION("INDEX(SPLIT(A368, ""/""), 3)"),"انجمن اسلامی دانشجویان")</f>
        <v>انجمن اسلامی دانشجویان</v>
      </c>
      <c r="V368" s="1" t="str">
        <f>IFERROR(__xludf.DUMMYFUNCTION("INDEX(SPLIT(A368, ""/""), 4)"),"خبرنامه")</f>
        <v>خبرنامه</v>
      </c>
    </row>
    <row r="369">
      <c r="A369" s="1" t="s">
        <v>831</v>
      </c>
      <c r="B369" s="1" t="s">
        <v>1295</v>
      </c>
      <c r="C369" s="1" t="s">
        <v>21</v>
      </c>
      <c r="D369" s="4" t="s">
        <v>1296</v>
      </c>
      <c r="E369" s="1" t="s">
        <v>750</v>
      </c>
      <c r="F369" s="1" t="s">
        <v>1293</v>
      </c>
      <c r="G369" s="1" t="s">
        <v>1294</v>
      </c>
      <c r="H369" s="1" t="s">
        <v>1297</v>
      </c>
      <c r="I369" s="1" t="str">
        <f t="shared" si="1"/>
        <v>30</v>
      </c>
      <c r="J369" s="5"/>
      <c r="K369" s="1" t="str">
        <f t="shared" si="2"/>
        <v>11</v>
      </c>
      <c r="L369" s="5"/>
      <c r="M369" s="2" t="str">
        <f t="shared" si="3"/>
        <v>1397</v>
      </c>
      <c r="N369" s="5"/>
      <c r="O369" s="2">
        <v>181.0</v>
      </c>
      <c r="P369" s="5"/>
      <c r="Q369" s="5"/>
      <c r="R369" s="6" t="s">
        <v>1297</v>
      </c>
      <c r="S369" s="5"/>
      <c r="T369" s="1" t="str">
        <f>IFERROR(__xludf.DUMMYFUNCTION("INDEX(SPLIT(A369, ""/""), 2)"),"تشکل‌های اسلامی و سیاسی")</f>
        <v>تشکل‌های اسلامی و سیاسی</v>
      </c>
      <c r="U369" s="1" t="str">
        <f>IFERROR(__xludf.DUMMYFUNCTION("INDEX(SPLIT(A369, ""/""), 3)"),"انجمن اسلامی دانشجویان")</f>
        <v>انجمن اسلامی دانشجویان</v>
      </c>
      <c r="V369" s="1" t="str">
        <f>IFERROR(__xludf.DUMMYFUNCTION("INDEX(SPLIT(A369, ""/""), 4)"),"خبرنامه")</f>
        <v>خبرنامه</v>
      </c>
    </row>
    <row r="370">
      <c r="A370" s="1" t="s">
        <v>831</v>
      </c>
      <c r="B370" s="1" t="s">
        <v>1298</v>
      </c>
      <c r="C370" s="1" t="s">
        <v>21</v>
      </c>
      <c r="D370" s="4" t="s">
        <v>1299</v>
      </c>
      <c r="E370" s="1" t="s">
        <v>750</v>
      </c>
      <c r="F370" s="1" t="s">
        <v>1293</v>
      </c>
      <c r="G370" s="1" t="s">
        <v>1294</v>
      </c>
      <c r="H370" s="1" t="s">
        <v>1300</v>
      </c>
      <c r="I370" s="1" t="str">
        <f t="shared" si="1"/>
        <v>21</v>
      </c>
      <c r="J370" s="5"/>
      <c r="K370" s="1" t="str">
        <f t="shared" si="2"/>
        <v>12</v>
      </c>
      <c r="L370" s="5"/>
      <c r="M370" s="2" t="str">
        <f t="shared" si="3"/>
        <v>1397</v>
      </c>
      <c r="N370" s="5"/>
      <c r="O370" s="2">
        <v>182.0</v>
      </c>
      <c r="P370" s="5"/>
      <c r="Q370" s="5"/>
      <c r="R370" s="6" t="s">
        <v>1300</v>
      </c>
      <c r="S370" s="5"/>
      <c r="T370" s="1" t="str">
        <f>IFERROR(__xludf.DUMMYFUNCTION("INDEX(SPLIT(A370, ""/""), 2)"),"تشکل‌های اسلامی و سیاسی")</f>
        <v>تشکل‌های اسلامی و سیاسی</v>
      </c>
      <c r="U370" s="1" t="str">
        <f>IFERROR(__xludf.DUMMYFUNCTION("INDEX(SPLIT(A370, ""/""), 3)"),"انجمن اسلامی دانشجویان")</f>
        <v>انجمن اسلامی دانشجویان</v>
      </c>
      <c r="V370" s="1" t="str">
        <f>IFERROR(__xludf.DUMMYFUNCTION("INDEX(SPLIT(A370, ""/""), 4)"),"خبرنامه")</f>
        <v>خبرنامه</v>
      </c>
    </row>
    <row r="371">
      <c r="A371" s="1" t="s">
        <v>831</v>
      </c>
      <c r="B371" s="1" t="s">
        <v>1301</v>
      </c>
      <c r="C371" s="1" t="s">
        <v>21</v>
      </c>
      <c r="D371" s="4" t="s">
        <v>1302</v>
      </c>
      <c r="E371" s="1" t="s">
        <v>750</v>
      </c>
      <c r="F371" s="1" t="s">
        <v>1293</v>
      </c>
      <c r="G371" s="1" t="s">
        <v>1294</v>
      </c>
      <c r="H371" s="1" t="s">
        <v>1303</v>
      </c>
      <c r="I371" s="1" t="str">
        <f t="shared" si="1"/>
        <v>26</v>
      </c>
      <c r="J371" s="5"/>
      <c r="K371" s="1" t="str">
        <f t="shared" si="2"/>
        <v>1</v>
      </c>
      <c r="L371" s="5"/>
      <c r="M371" s="2" t="str">
        <f t="shared" si="3"/>
        <v>1398</v>
      </c>
      <c r="N371" s="5"/>
      <c r="O371" s="2">
        <v>183.0</v>
      </c>
      <c r="P371" s="5"/>
      <c r="Q371" s="5"/>
      <c r="R371" s="6" t="s">
        <v>1303</v>
      </c>
      <c r="S371" s="5"/>
      <c r="T371" s="1" t="str">
        <f>IFERROR(__xludf.DUMMYFUNCTION("INDEX(SPLIT(A371, ""/""), 2)"),"تشکل‌های اسلامی و سیاسی")</f>
        <v>تشکل‌های اسلامی و سیاسی</v>
      </c>
      <c r="U371" s="1" t="str">
        <f>IFERROR(__xludf.DUMMYFUNCTION("INDEX(SPLIT(A371, ""/""), 3)"),"انجمن اسلامی دانشجویان")</f>
        <v>انجمن اسلامی دانشجویان</v>
      </c>
      <c r="V371" s="1" t="str">
        <f>IFERROR(__xludf.DUMMYFUNCTION("INDEX(SPLIT(A371, ""/""), 4)"),"خبرنامه")</f>
        <v>خبرنامه</v>
      </c>
    </row>
    <row r="372">
      <c r="A372" s="1" t="s">
        <v>831</v>
      </c>
      <c r="B372" s="1" t="s">
        <v>1304</v>
      </c>
      <c r="C372" s="1" t="s">
        <v>21</v>
      </c>
      <c r="D372" s="4" t="s">
        <v>1305</v>
      </c>
      <c r="E372" s="1" t="s">
        <v>750</v>
      </c>
      <c r="F372" s="1" t="s">
        <v>1293</v>
      </c>
      <c r="G372" s="1" t="s">
        <v>1294</v>
      </c>
      <c r="H372" s="1" t="s">
        <v>1306</v>
      </c>
      <c r="I372" s="1" t="str">
        <f t="shared" si="1"/>
        <v>30</v>
      </c>
      <c r="J372" s="5"/>
      <c r="K372" s="1" t="str">
        <f t="shared" si="2"/>
        <v>2</v>
      </c>
      <c r="L372" s="5"/>
      <c r="M372" s="2" t="str">
        <f t="shared" si="3"/>
        <v>1398</v>
      </c>
      <c r="N372" s="5"/>
      <c r="O372" s="2">
        <v>184.0</v>
      </c>
      <c r="P372" s="5"/>
      <c r="Q372" s="5"/>
      <c r="R372" s="6" t="s">
        <v>1306</v>
      </c>
      <c r="S372" s="5"/>
      <c r="T372" s="1" t="str">
        <f>IFERROR(__xludf.DUMMYFUNCTION("INDEX(SPLIT(A372, ""/""), 2)"),"تشکل‌های اسلامی و سیاسی")</f>
        <v>تشکل‌های اسلامی و سیاسی</v>
      </c>
      <c r="U372" s="1" t="str">
        <f>IFERROR(__xludf.DUMMYFUNCTION("INDEX(SPLIT(A372, ""/""), 3)"),"انجمن اسلامی دانشجویان")</f>
        <v>انجمن اسلامی دانشجویان</v>
      </c>
      <c r="V372" s="1" t="str">
        <f>IFERROR(__xludf.DUMMYFUNCTION("INDEX(SPLIT(A372, ""/""), 4)"),"خبرنامه")</f>
        <v>خبرنامه</v>
      </c>
    </row>
    <row r="373">
      <c r="A373" s="1" t="s">
        <v>831</v>
      </c>
      <c r="B373" s="1" t="s">
        <v>1307</v>
      </c>
      <c r="C373" s="1" t="s">
        <v>21</v>
      </c>
      <c r="D373" s="4" t="s">
        <v>1308</v>
      </c>
      <c r="E373" s="1" t="s">
        <v>750</v>
      </c>
      <c r="F373" s="1" t="s">
        <v>1293</v>
      </c>
      <c r="G373" s="1" t="s">
        <v>1294</v>
      </c>
      <c r="H373" s="1" t="s">
        <v>1309</v>
      </c>
      <c r="I373" s="1" t="str">
        <f t="shared" si="1"/>
        <v>18</v>
      </c>
      <c r="J373" s="5"/>
      <c r="K373" s="1" t="str">
        <f t="shared" si="2"/>
        <v>4</v>
      </c>
      <c r="L373" s="5"/>
      <c r="M373" s="2" t="str">
        <f t="shared" si="3"/>
        <v>1398</v>
      </c>
      <c r="N373" s="5"/>
      <c r="O373" s="2">
        <v>185.0</v>
      </c>
      <c r="P373" s="5"/>
      <c r="Q373" s="5"/>
      <c r="R373" s="6" t="s">
        <v>1309</v>
      </c>
      <c r="S373" s="5"/>
      <c r="T373" s="1" t="str">
        <f>IFERROR(__xludf.DUMMYFUNCTION("INDEX(SPLIT(A373, ""/""), 2)"),"تشکل‌های اسلامی و سیاسی")</f>
        <v>تشکل‌های اسلامی و سیاسی</v>
      </c>
      <c r="U373" s="1" t="str">
        <f>IFERROR(__xludf.DUMMYFUNCTION("INDEX(SPLIT(A373, ""/""), 3)"),"انجمن اسلامی دانشجویان")</f>
        <v>انجمن اسلامی دانشجویان</v>
      </c>
      <c r="V373" s="1" t="str">
        <f>IFERROR(__xludf.DUMMYFUNCTION("INDEX(SPLIT(A373, ""/""), 4)"),"خبرنامه")</f>
        <v>خبرنامه</v>
      </c>
    </row>
    <row r="374">
      <c r="A374" s="1" t="s">
        <v>831</v>
      </c>
      <c r="B374" s="1" t="s">
        <v>1310</v>
      </c>
      <c r="C374" s="1" t="s">
        <v>21</v>
      </c>
      <c r="D374" s="4" t="s">
        <v>1311</v>
      </c>
      <c r="E374" s="1" t="s">
        <v>750</v>
      </c>
      <c r="F374" s="1" t="s">
        <v>1293</v>
      </c>
      <c r="G374" s="1" t="s">
        <v>1294</v>
      </c>
      <c r="H374" s="7" t="s">
        <v>1312</v>
      </c>
      <c r="I374" s="1" t="str">
        <f t="shared" si="1"/>
        <v>8</v>
      </c>
      <c r="J374" s="5"/>
      <c r="K374" s="1" t="str">
        <f t="shared" si="2"/>
        <v>7</v>
      </c>
      <c r="L374" s="5"/>
      <c r="M374" s="2" t="str">
        <f t="shared" si="3"/>
        <v>1398</v>
      </c>
      <c r="N374" s="5"/>
      <c r="O374" s="2">
        <v>186.0</v>
      </c>
      <c r="P374" s="5"/>
      <c r="Q374" s="5"/>
      <c r="R374" s="8" t="s">
        <v>1312</v>
      </c>
      <c r="S374" s="5"/>
      <c r="T374" s="1" t="str">
        <f>IFERROR(__xludf.DUMMYFUNCTION("INDEX(SPLIT(A374, ""/""), 2)"),"تشکل‌های اسلامی و سیاسی")</f>
        <v>تشکل‌های اسلامی و سیاسی</v>
      </c>
      <c r="U374" s="1" t="str">
        <f>IFERROR(__xludf.DUMMYFUNCTION("INDEX(SPLIT(A374, ""/""), 3)"),"انجمن اسلامی دانشجویان")</f>
        <v>انجمن اسلامی دانشجویان</v>
      </c>
      <c r="V374" s="1" t="str">
        <f>IFERROR(__xludf.DUMMYFUNCTION("INDEX(SPLIT(A374, ""/""), 4)"),"خبرنامه")</f>
        <v>خبرنامه</v>
      </c>
    </row>
    <row r="375">
      <c r="A375" s="1" t="s">
        <v>831</v>
      </c>
      <c r="B375" s="1" t="s">
        <v>1313</v>
      </c>
      <c r="C375" s="1" t="s">
        <v>21</v>
      </c>
      <c r="D375" s="4" t="s">
        <v>1314</v>
      </c>
      <c r="E375" s="1" t="s">
        <v>750</v>
      </c>
      <c r="F375" s="1" t="s">
        <v>1293</v>
      </c>
      <c r="G375" s="1" t="s">
        <v>1294</v>
      </c>
      <c r="H375" s="1" t="s">
        <v>1315</v>
      </c>
      <c r="I375" s="1" t="str">
        <f t="shared" si="1"/>
        <v>14</v>
      </c>
      <c r="J375" s="5"/>
      <c r="K375" s="1" t="str">
        <f t="shared" si="2"/>
        <v>8</v>
      </c>
      <c r="L375" s="5"/>
      <c r="M375" s="2" t="str">
        <f t="shared" si="3"/>
        <v>1398</v>
      </c>
      <c r="N375" s="5"/>
      <c r="O375" s="2">
        <v>187.0</v>
      </c>
      <c r="P375" s="5"/>
      <c r="Q375" s="5"/>
      <c r="R375" s="6" t="s">
        <v>1315</v>
      </c>
      <c r="S375" s="5"/>
      <c r="T375" s="1" t="str">
        <f>IFERROR(__xludf.DUMMYFUNCTION("INDEX(SPLIT(A375, ""/""), 2)"),"تشکل‌های اسلامی و سیاسی")</f>
        <v>تشکل‌های اسلامی و سیاسی</v>
      </c>
      <c r="U375" s="1" t="str">
        <f>IFERROR(__xludf.DUMMYFUNCTION("INDEX(SPLIT(A375, ""/""), 3)"),"انجمن اسلامی دانشجویان")</f>
        <v>انجمن اسلامی دانشجویان</v>
      </c>
      <c r="V375" s="1" t="str">
        <f>IFERROR(__xludf.DUMMYFUNCTION("INDEX(SPLIT(A375, ""/""), 4)"),"خبرنامه")</f>
        <v>خبرنامه</v>
      </c>
    </row>
    <row r="376">
      <c r="A376" s="1" t="s">
        <v>831</v>
      </c>
      <c r="B376" s="1" t="s">
        <v>1316</v>
      </c>
      <c r="C376" s="1" t="s">
        <v>21</v>
      </c>
      <c r="D376" s="4" t="s">
        <v>1317</v>
      </c>
      <c r="E376" s="1" t="s">
        <v>750</v>
      </c>
      <c r="F376" s="1" t="s">
        <v>1293</v>
      </c>
      <c r="G376" s="1" t="s">
        <v>1294</v>
      </c>
      <c r="H376" s="7" t="s">
        <v>1318</v>
      </c>
      <c r="I376" s="1" t="str">
        <f t="shared" si="1"/>
        <v>12</v>
      </c>
      <c r="J376" s="5"/>
      <c r="K376" s="1" t="str">
        <f t="shared" si="2"/>
        <v>9</v>
      </c>
      <c r="L376" s="5"/>
      <c r="M376" s="2" t="str">
        <f t="shared" si="3"/>
        <v>1398</v>
      </c>
      <c r="N376" s="5"/>
      <c r="O376" s="2">
        <v>188.0</v>
      </c>
      <c r="P376" s="5"/>
      <c r="Q376" s="5"/>
      <c r="R376" s="8" t="s">
        <v>1318</v>
      </c>
      <c r="S376" s="5"/>
      <c r="T376" s="1" t="str">
        <f>IFERROR(__xludf.DUMMYFUNCTION("INDEX(SPLIT(A376, ""/""), 2)"),"تشکل‌های اسلامی و سیاسی")</f>
        <v>تشکل‌های اسلامی و سیاسی</v>
      </c>
      <c r="U376" s="1" t="str">
        <f>IFERROR(__xludf.DUMMYFUNCTION("INDEX(SPLIT(A376, ""/""), 3)"),"انجمن اسلامی دانشجویان")</f>
        <v>انجمن اسلامی دانشجویان</v>
      </c>
      <c r="V376" s="1" t="str">
        <f>IFERROR(__xludf.DUMMYFUNCTION("INDEX(SPLIT(A376, ""/""), 4)"),"خبرنامه")</f>
        <v>خبرنامه</v>
      </c>
    </row>
    <row r="377">
      <c r="A377" s="1" t="s">
        <v>831</v>
      </c>
      <c r="B377" s="1" t="s">
        <v>1319</v>
      </c>
      <c r="C377" s="1" t="s">
        <v>21</v>
      </c>
      <c r="D377" s="4" t="s">
        <v>1320</v>
      </c>
      <c r="E377" s="1" t="s">
        <v>750</v>
      </c>
      <c r="F377" s="1" t="s">
        <v>1293</v>
      </c>
      <c r="G377" s="1" t="s">
        <v>1294</v>
      </c>
      <c r="H377" s="1" t="s">
        <v>709</v>
      </c>
      <c r="I377" s="1" t="str">
        <f t="shared" si="1"/>
        <v>16</v>
      </c>
      <c r="J377" s="5"/>
      <c r="K377" s="1" t="str">
        <f t="shared" si="2"/>
        <v>9</v>
      </c>
      <c r="L377" s="5"/>
      <c r="M377" s="2" t="str">
        <f t="shared" si="3"/>
        <v>1398</v>
      </c>
      <c r="N377" s="5"/>
      <c r="O377" s="2">
        <v>189.0</v>
      </c>
      <c r="P377" s="5"/>
      <c r="Q377" s="5"/>
      <c r="R377" s="6" t="s">
        <v>709</v>
      </c>
      <c r="S377" s="5"/>
      <c r="T377" s="1" t="str">
        <f>IFERROR(__xludf.DUMMYFUNCTION("INDEX(SPLIT(A377, ""/""), 2)"),"تشکل‌های اسلامی و سیاسی")</f>
        <v>تشکل‌های اسلامی و سیاسی</v>
      </c>
      <c r="U377" s="1" t="str">
        <f>IFERROR(__xludf.DUMMYFUNCTION("INDEX(SPLIT(A377, ""/""), 3)"),"انجمن اسلامی دانشجویان")</f>
        <v>انجمن اسلامی دانشجویان</v>
      </c>
      <c r="V377" s="1" t="str">
        <f>IFERROR(__xludf.DUMMYFUNCTION("INDEX(SPLIT(A377, ""/""), 4)"),"خبرنامه")</f>
        <v>خبرنامه</v>
      </c>
    </row>
    <row r="378">
      <c r="A378" s="1" t="s">
        <v>831</v>
      </c>
      <c r="B378" s="1" t="s">
        <v>1321</v>
      </c>
      <c r="C378" s="1" t="s">
        <v>21</v>
      </c>
      <c r="D378" s="4" t="s">
        <v>1322</v>
      </c>
      <c r="E378" s="1" t="s">
        <v>750</v>
      </c>
      <c r="F378" s="1" t="s">
        <v>1293</v>
      </c>
      <c r="G378" s="1" t="s">
        <v>1294</v>
      </c>
      <c r="H378" s="1" t="s">
        <v>1323</v>
      </c>
      <c r="I378" s="1" t="str">
        <f t="shared" si="1"/>
        <v>13</v>
      </c>
      <c r="J378" s="5"/>
      <c r="K378" s="1" t="str">
        <f t="shared" si="2"/>
        <v>3</v>
      </c>
      <c r="L378" s="5"/>
      <c r="M378" s="2" t="str">
        <f t="shared" si="3"/>
        <v>1399</v>
      </c>
      <c r="N378" s="5"/>
      <c r="O378" s="2">
        <v>190.0</v>
      </c>
      <c r="P378" s="5"/>
      <c r="Q378" s="5"/>
      <c r="R378" s="6" t="s">
        <v>1323</v>
      </c>
      <c r="S378" s="5"/>
      <c r="T378" s="1" t="str">
        <f>IFERROR(__xludf.DUMMYFUNCTION("INDEX(SPLIT(A378, ""/""), 2)"),"تشکل‌های اسلامی و سیاسی")</f>
        <v>تشکل‌های اسلامی و سیاسی</v>
      </c>
      <c r="U378" s="1" t="str">
        <f>IFERROR(__xludf.DUMMYFUNCTION("INDEX(SPLIT(A378, ""/""), 3)"),"انجمن اسلامی دانشجویان")</f>
        <v>انجمن اسلامی دانشجویان</v>
      </c>
      <c r="V378" s="1" t="str">
        <f>IFERROR(__xludf.DUMMYFUNCTION("INDEX(SPLIT(A378, ""/""), 4)"),"خبرنامه")</f>
        <v>خبرنامه</v>
      </c>
    </row>
    <row r="379">
      <c r="A379" s="1" t="s">
        <v>831</v>
      </c>
      <c r="B379" s="1" t="s">
        <v>1324</v>
      </c>
      <c r="C379" s="1" t="s">
        <v>21</v>
      </c>
      <c r="D379" s="4" t="s">
        <v>1325</v>
      </c>
      <c r="E379" s="1" t="s">
        <v>750</v>
      </c>
      <c r="F379" s="1" t="s">
        <v>1326</v>
      </c>
      <c r="G379" s="1" t="s">
        <v>1327</v>
      </c>
      <c r="H379" s="1" t="s">
        <v>32</v>
      </c>
      <c r="I379" s="1" t="str">
        <f t="shared" si="1"/>
        <v>x</v>
      </c>
      <c r="J379" s="5"/>
      <c r="K379" s="1" t="str">
        <f t="shared" si="2"/>
        <v>8</v>
      </c>
      <c r="L379" s="5"/>
      <c r="M379" s="2" t="str">
        <f t="shared" si="3"/>
        <v>1399</v>
      </c>
      <c r="N379" s="5"/>
      <c r="O379" s="2">
        <v>191.0</v>
      </c>
      <c r="P379" s="5"/>
      <c r="Q379" s="5"/>
      <c r="R379" s="6" t="s">
        <v>33</v>
      </c>
      <c r="S379" s="5"/>
      <c r="T379" s="1" t="str">
        <f>IFERROR(__xludf.DUMMYFUNCTION("INDEX(SPLIT(A379, ""/""), 2)"),"تشکل‌های اسلامی و سیاسی")</f>
        <v>تشکل‌های اسلامی و سیاسی</v>
      </c>
      <c r="U379" s="1" t="str">
        <f>IFERROR(__xludf.DUMMYFUNCTION("INDEX(SPLIT(A379, ""/""), 3)"),"انجمن اسلامی دانشجویان")</f>
        <v>انجمن اسلامی دانشجویان</v>
      </c>
      <c r="V379" s="1" t="str">
        <f>IFERROR(__xludf.DUMMYFUNCTION("INDEX(SPLIT(A379, ""/""), 4)"),"خبرنامه")</f>
        <v>خبرنامه</v>
      </c>
    </row>
    <row r="380">
      <c r="A380" s="1" t="s">
        <v>831</v>
      </c>
      <c r="B380" s="1" t="s">
        <v>1328</v>
      </c>
      <c r="C380" s="1" t="s">
        <v>21</v>
      </c>
      <c r="D380" s="4" t="s">
        <v>1329</v>
      </c>
      <c r="E380" s="1" t="s">
        <v>750</v>
      </c>
      <c r="F380" s="1" t="s">
        <v>1326</v>
      </c>
      <c r="G380" s="1" t="s">
        <v>1327</v>
      </c>
      <c r="H380" s="1" t="s">
        <v>38</v>
      </c>
      <c r="I380" s="1" t="str">
        <f t="shared" si="1"/>
        <v>x</v>
      </c>
      <c r="J380" s="5"/>
      <c r="K380" s="1" t="str">
        <f t="shared" si="2"/>
        <v>9</v>
      </c>
      <c r="L380" s="5"/>
      <c r="M380" s="2" t="str">
        <f t="shared" si="3"/>
        <v>1399</v>
      </c>
      <c r="N380" s="5"/>
      <c r="O380" s="2">
        <v>192.0</v>
      </c>
      <c r="P380" s="5"/>
      <c r="Q380" s="5"/>
      <c r="R380" s="6" t="s">
        <v>39</v>
      </c>
      <c r="S380" s="5"/>
      <c r="T380" s="1" t="str">
        <f>IFERROR(__xludf.DUMMYFUNCTION("INDEX(SPLIT(A380, ""/""), 2)"),"تشکل‌های اسلامی و سیاسی")</f>
        <v>تشکل‌های اسلامی و سیاسی</v>
      </c>
      <c r="U380" s="1" t="str">
        <f>IFERROR(__xludf.DUMMYFUNCTION("INDEX(SPLIT(A380, ""/""), 3)"),"انجمن اسلامی دانشجویان")</f>
        <v>انجمن اسلامی دانشجویان</v>
      </c>
      <c r="V380" s="1" t="str">
        <f>IFERROR(__xludf.DUMMYFUNCTION("INDEX(SPLIT(A380, ""/""), 4)"),"خبرنامه")</f>
        <v>خبرنامه</v>
      </c>
    </row>
    <row r="381">
      <c r="A381" s="1" t="s">
        <v>831</v>
      </c>
      <c r="B381" s="1" t="s">
        <v>1330</v>
      </c>
      <c r="C381" s="1" t="s">
        <v>21</v>
      </c>
      <c r="D381" s="4" t="s">
        <v>1331</v>
      </c>
      <c r="E381" s="1" t="s">
        <v>750</v>
      </c>
      <c r="F381" s="1" t="s">
        <v>1326</v>
      </c>
      <c r="G381" s="1" t="s">
        <v>1327</v>
      </c>
      <c r="H381" s="1" t="s">
        <v>1332</v>
      </c>
      <c r="I381" s="1" t="str">
        <f t="shared" si="1"/>
        <v>18</v>
      </c>
      <c r="J381" s="5"/>
      <c r="K381" s="1" t="str">
        <f t="shared" si="2"/>
        <v>9</v>
      </c>
      <c r="L381" s="5"/>
      <c r="M381" s="2" t="str">
        <f t="shared" si="3"/>
        <v>1399</v>
      </c>
      <c r="N381" s="5"/>
      <c r="O381" s="2">
        <v>193.0</v>
      </c>
      <c r="P381" s="5"/>
      <c r="Q381" s="5"/>
      <c r="R381" s="6" t="s">
        <v>1332</v>
      </c>
      <c r="S381" s="5"/>
      <c r="T381" s="1" t="str">
        <f>IFERROR(__xludf.DUMMYFUNCTION("INDEX(SPLIT(A381, ""/""), 2)"),"تشکل‌های اسلامی و سیاسی")</f>
        <v>تشکل‌های اسلامی و سیاسی</v>
      </c>
      <c r="U381" s="1" t="str">
        <f>IFERROR(__xludf.DUMMYFUNCTION("INDEX(SPLIT(A381, ""/""), 3)"),"انجمن اسلامی دانشجویان")</f>
        <v>انجمن اسلامی دانشجویان</v>
      </c>
      <c r="V381" s="1" t="str">
        <f>IFERROR(__xludf.DUMMYFUNCTION("INDEX(SPLIT(A381, ""/""), 4)"),"خبرنامه")</f>
        <v>خبرنامه</v>
      </c>
    </row>
    <row r="382">
      <c r="A382" s="1" t="s">
        <v>831</v>
      </c>
      <c r="B382" s="1" t="s">
        <v>1333</v>
      </c>
      <c r="C382" s="1" t="s">
        <v>21</v>
      </c>
      <c r="D382" s="4" t="s">
        <v>1334</v>
      </c>
      <c r="E382" s="1" t="s">
        <v>750</v>
      </c>
      <c r="F382" s="1" t="s">
        <v>1326</v>
      </c>
      <c r="G382" s="1" t="s">
        <v>1327</v>
      </c>
      <c r="H382" s="1" t="s">
        <v>1335</v>
      </c>
      <c r="I382" s="1" t="str">
        <f t="shared" si="1"/>
        <v>22</v>
      </c>
      <c r="J382" s="5"/>
      <c r="K382" s="1" t="str">
        <f t="shared" si="2"/>
        <v>10</v>
      </c>
      <c r="L382" s="5"/>
      <c r="M382" s="2" t="str">
        <f t="shared" si="3"/>
        <v>1399</v>
      </c>
      <c r="N382" s="5"/>
      <c r="O382" s="2">
        <v>194.0</v>
      </c>
      <c r="P382" s="5"/>
      <c r="Q382" s="5"/>
      <c r="R382" s="6" t="s">
        <v>1335</v>
      </c>
      <c r="S382" s="5"/>
      <c r="T382" s="1" t="str">
        <f>IFERROR(__xludf.DUMMYFUNCTION("INDEX(SPLIT(A382, ""/""), 2)"),"تشکل‌های اسلامی و سیاسی")</f>
        <v>تشکل‌های اسلامی و سیاسی</v>
      </c>
      <c r="U382" s="1" t="str">
        <f>IFERROR(__xludf.DUMMYFUNCTION("INDEX(SPLIT(A382, ""/""), 3)"),"انجمن اسلامی دانشجویان")</f>
        <v>انجمن اسلامی دانشجویان</v>
      </c>
      <c r="V382" s="1" t="str">
        <f>IFERROR(__xludf.DUMMYFUNCTION("INDEX(SPLIT(A382, ""/""), 4)"),"خبرنامه")</f>
        <v>خبرنامه</v>
      </c>
    </row>
    <row r="383">
      <c r="A383" s="1" t="s">
        <v>831</v>
      </c>
      <c r="B383" s="1" t="s">
        <v>1336</v>
      </c>
      <c r="C383" s="1" t="s">
        <v>21</v>
      </c>
      <c r="D383" s="4" t="s">
        <v>1337</v>
      </c>
      <c r="E383" s="1" t="s">
        <v>750</v>
      </c>
      <c r="F383" s="1" t="s">
        <v>1327</v>
      </c>
      <c r="G383" s="1" t="s">
        <v>1338</v>
      </c>
      <c r="H383" s="1" t="s">
        <v>414</v>
      </c>
      <c r="I383" s="1" t="str">
        <f t="shared" si="1"/>
        <v>x</v>
      </c>
      <c r="J383" s="5"/>
      <c r="K383" s="1" t="str">
        <f t="shared" si="2"/>
        <v>9</v>
      </c>
      <c r="L383" s="5"/>
      <c r="M383" s="2" t="str">
        <f t="shared" si="3"/>
        <v>1400</v>
      </c>
      <c r="N383" s="5"/>
      <c r="O383" s="2">
        <v>195.0</v>
      </c>
      <c r="P383" s="5"/>
      <c r="Q383" s="5"/>
      <c r="R383" s="6" t="s">
        <v>415</v>
      </c>
      <c r="S383" s="5"/>
      <c r="T383" s="1" t="str">
        <f>IFERROR(__xludf.DUMMYFUNCTION("INDEX(SPLIT(A383, ""/""), 2)"),"تشکل‌های اسلامی و سیاسی")</f>
        <v>تشکل‌های اسلامی و سیاسی</v>
      </c>
      <c r="U383" s="1" t="str">
        <f>IFERROR(__xludf.DUMMYFUNCTION("INDEX(SPLIT(A383, ""/""), 3)"),"انجمن اسلامی دانشجویان")</f>
        <v>انجمن اسلامی دانشجویان</v>
      </c>
      <c r="V383" s="1" t="str">
        <f>IFERROR(__xludf.DUMMYFUNCTION("INDEX(SPLIT(A383, ""/""), 4)"),"خبرنامه")</f>
        <v>خبرنامه</v>
      </c>
    </row>
    <row r="384">
      <c r="A384" s="1" t="s">
        <v>831</v>
      </c>
      <c r="B384" s="1" t="s">
        <v>1339</v>
      </c>
      <c r="C384" s="1" t="s">
        <v>21</v>
      </c>
      <c r="D384" s="4" t="s">
        <v>1340</v>
      </c>
      <c r="E384" s="1" t="s">
        <v>750</v>
      </c>
      <c r="F384" s="1" t="s">
        <v>1327</v>
      </c>
      <c r="G384" s="1" t="s">
        <v>1338</v>
      </c>
      <c r="H384" s="1" t="s">
        <v>712</v>
      </c>
      <c r="I384" s="1" t="str">
        <f t="shared" si="1"/>
        <v>x</v>
      </c>
      <c r="J384" s="5"/>
      <c r="K384" s="1" t="str">
        <f t="shared" si="2"/>
        <v>10</v>
      </c>
      <c r="L384" s="5"/>
      <c r="M384" s="2" t="str">
        <f t="shared" si="3"/>
        <v>1400</v>
      </c>
      <c r="N384" s="5"/>
      <c r="O384" s="2">
        <v>196.0</v>
      </c>
      <c r="P384" s="5"/>
      <c r="Q384" s="5"/>
      <c r="R384" s="6" t="s">
        <v>713</v>
      </c>
      <c r="S384" s="5"/>
      <c r="T384" s="1" t="str">
        <f>IFERROR(__xludf.DUMMYFUNCTION("INDEX(SPLIT(A384, ""/""), 2)"),"تشکل‌های اسلامی و سیاسی")</f>
        <v>تشکل‌های اسلامی و سیاسی</v>
      </c>
      <c r="U384" s="1" t="str">
        <f>IFERROR(__xludf.DUMMYFUNCTION("INDEX(SPLIT(A384, ""/""), 3)"),"انجمن اسلامی دانشجویان")</f>
        <v>انجمن اسلامی دانشجویان</v>
      </c>
      <c r="V384" s="1" t="str">
        <f>IFERROR(__xludf.DUMMYFUNCTION("INDEX(SPLIT(A384, ""/""), 4)"),"خبرنامه")</f>
        <v>خبرنامه</v>
      </c>
    </row>
    <row r="385">
      <c r="A385" s="1" t="s">
        <v>831</v>
      </c>
      <c r="B385" s="1" t="s">
        <v>1341</v>
      </c>
      <c r="C385" s="1" t="s">
        <v>21</v>
      </c>
      <c r="D385" s="4" t="s">
        <v>1342</v>
      </c>
      <c r="E385" s="1" t="s">
        <v>750</v>
      </c>
      <c r="F385" s="1" t="s">
        <v>1327</v>
      </c>
      <c r="G385" s="1" t="s">
        <v>1338</v>
      </c>
      <c r="H385" s="1" t="s">
        <v>418</v>
      </c>
      <c r="I385" s="1" t="str">
        <f t="shared" si="1"/>
        <v>x</v>
      </c>
      <c r="J385" s="5"/>
      <c r="K385" s="1" t="str">
        <f t="shared" si="2"/>
        <v>11</v>
      </c>
      <c r="L385" s="5"/>
      <c r="M385" s="2" t="str">
        <f t="shared" si="3"/>
        <v>1400</v>
      </c>
      <c r="N385" s="5"/>
      <c r="O385" s="2">
        <v>197.0</v>
      </c>
      <c r="P385" s="5"/>
      <c r="Q385" s="5"/>
      <c r="R385" s="6" t="s">
        <v>419</v>
      </c>
      <c r="S385" s="5"/>
      <c r="T385" s="1" t="str">
        <f>IFERROR(__xludf.DUMMYFUNCTION("INDEX(SPLIT(A385, ""/""), 2)"),"تشکل‌های اسلامی و سیاسی")</f>
        <v>تشکل‌های اسلامی و سیاسی</v>
      </c>
      <c r="U385" s="1" t="str">
        <f>IFERROR(__xludf.DUMMYFUNCTION("INDEX(SPLIT(A385, ""/""), 3)"),"انجمن اسلامی دانشجویان")</f>
        <v>انجمن اسلامی دانشجویان</v>
      </c>
      <c r="V385" s="1" t="str">
        <f>IFERROR(__xludf.DUMMYFUNCTION("INDEX(SPLIT(A385, ""/""), 4)"),"خبرنامه")</f>
        <v>خبرنامه</v>
      </c>
    </row>
    <row r="386">
      <c r="A386" s="1" t="s">
        <v>831</v>
      </c>
      <c r="B386" s="1" t="s">
        <v>1343</v>
      </c>
      <c r="C386" s="1" t="s">
        <v>21</v>
      </c>
      <c r="D386" s="4" t="s">
        <v>1344</v>
      </c>
      <c r="E386" s="1" t="s">
        <v>750</v>
      </c>
      <c r="F386" s="1" t="s">
        <v>1345</v>
      </c>
      <c r="G386" s="1" t="s">
        <v>752</v>
      </c>
      <c r="H386" s="1" t="s">
        <v>155</v>
      </c>
      <c r="I386" s="1" t="str">
        <f t="shared" si="1"/>
        <v>x</v>
      </c>
      <c r="J386" s="5"/>
      <c r="K386" s="1" t="str">
        <f t="shared" si="2"/>
        <v>12</v>
      </c>
      <c r="L386" s="5"/>
      <c r="M386" s="2" t="str">
        <f t="shared" si="3"/>
        <v>1401</v>
      </c>
      <c r="N386" s="5"/>
      <c r="O386" s="2">
        <v>198.0</v>
      </c>
      <c r="P386" s="5"/>
      <c r="Q386" s="5"/>
      <c r="R386" s="6" t="s">
        <v>156</v>
      </c>
      <c r="S386" s="5"/>
      <c r="T386" s="1" t="str">
        <f>IFERROR(__xludf.DUMMYFUNCTION("INDEX(SPLIT(A386, ""/""), 2)"),"تشکل‌های اسلامی و سیاسی")</f>
        <v>تشکل‌های اسلامی و سیاسی</v>
      </c>
      <c r="U386" s="1" t="str">
        <f>IFERROR(__xludf.DUMMYFUNCTION("INDEX(SPLIT(A386, ""/""), 3)"),"انجمن اسلامی دانشجویان")</f>
        <v>انجمن اسلامی دانشجویان</v>
      </c>
      <c r="V386" s="1" t="str">
        <f>IFERROR(__xludf.DUMMYFUNCTION("INDEX(SPLIT(A386, ""/""), 4)"),"خبرنامه")</f>
        <v>خبرنامه</v>
      </c>
    </row>
    <row r="387">
      <c r="A387" s="1" t="s">
        <v>831</v>
      </c>
      <c r="B387" s="1" t="s">
        <v>1346</v>
      </c>
      <c r="C387" s="1" t="s">
        <v>21</v>
      </c>
      <c r="D387" s="4" t="s">
        <v>1347</v>
      </c>
      <c r="E387" s="1" t="s">
        <v>750</v>
      </c>
      <c r="F387" s="1" t="s">
        <v>1345</v>
      </c>
      <c r="G387" s="1" t="s">
        <v>752</v>
      </c>
      <c r="H387" s="1" t="s">
        <v>155</v>
      </c>
      <c r="I387" s="1" t="str">
        <f t="shared" si="1"/>
        <v>x</v>
      </c>
      <c r="J387" s="5"/>
      <c r="K387" s="1" t="str">
        <f t="shared" si="2"/>
        <v>12</v>
      </c>
      <c r="L387" s="5"/>
      <c r="M387" s="2" t="str">
        <f t="shared" si="3"/>
        <v>1401</v>
      </c>
      <c r="N387" s="5"/>
      <c r="O387" s="2">
        <v>199.0</v>
      </c>
      <c r="P387" s="5"/>
      <c r="Q387" s="5"/>
      <c r="R387" s="6" t="s">
        <v>156</v>
      </c>
      <c r="S387" s="5"/>
      <c r="T387" s="1" t="str">
        <f>IFERROR(__xludf.DUMMYFUNCTION("INDEX(SPLIT(A387, ""/""), 2)"),"تشکل‌های اسلامی و سیاسی")</f>
        <v>تشکل‌های اسلامی و سیاسی</v>
      </c>
      <c r="U387" s="1" t="str">
        <f>IFERROR(__xludf.DUMMYFUNCTION("INDEX(SPLIT(A387, ""/""), 3)"),"انجمن اسلامی دانشجویان")</f>
        <v>انجمن اسلامی دانشجویان</v>
      </c>
      <c r="V387" s="1" t="str">
        <f>IFERROR(__xludf.DUMMYFUNCTION("INDEX(SPLIT(A387, ""/""), 4)"),"خبرنامه")</f>
        <v>خبرنامه</v>
      </c>
    </row>
    <row r="388">
      <c r="A388" s="1" t="s">
        <v>831</v>
      </c>
      <c r="B388" s="1" t="s">
        <v>1348</v>
      </c>
      <c r="C388" s="1" t="s">
        <v>21</v>
      </c>
      <c r="D388" s="4" t="s">
        <v>1349</v>
      </c>
      <c r="E388" s="1" t="s">
        <v>750</v>
      </c>
      <c r="F388" s="1" t="s">
        <v>1338</v>
      </c>
      <c r="G388" s="1" t="s">
        <v>1350</v>
      </c>
      <c r="H388" s="7" t="s">
        <v>1351</v>
      </c>
      <c r="I388" s="1" t="str">
        <f t="shared" si="1"/>
        <v>10</v>
      </c>
      <c r="J388" s="5"/>
      <c r="K388" s="1" t="str">
        <f t="shared" si="2"/>
        <v>7</v>
      </c>
      <c r="L388" s="5"/>
      <c r="M388" s="2" t="str">
        <f t="shared" si="3"/>
        <v>1402</v>
      </c>
      <c r="N388" s="5"/>
      <c r="O388" s="2">
        <v>200.0</v>
      </c>
      <c r="P388" s="5"/>
      <c r="Q388" s="5"/>
      <c r="R388" s="8" t="s">
        <v>1351</v>
      </c>
      <c r="S388" s="5"/>
      <c r="T388" s="1" t="str">
        <f>IFERROR(__xludf.DUMMYFUNCTION("INDEX(SPLIT(A388, ""/""), 2)"),"تشکل‌های اسلامی و سیاسی")</f>
        <v>تشکل‌های اسلامی و سیاسی</v>
      </c>
      <c r="U388" s="1" t="str">
        <f>IFERROR(__xludf.DUMMYFUNCTION("INDEX(SPLIT(A388, ""/""), 3)"),"انجمن اسلامی دانشجویان")</f>
        <v>انجمن اسلامی دانشجویان</v>
      </c>
      <c r="V388" s="1" t="str">
        <f>IFERROR(__xludf.DUMMYFUNCTION("INDEX(SPLIT(A388, ""/""), 4)"),"خبرنامه")</f>
        <v>خبرنامه</v>
      </c>
    </row>
    <row r="389">
      <c r="A389" s="1" t="s">
        <v>831</v>
      </c>
      <c r="B389" s="1" t="s">
        <v>1352</v>
      </c>
      <c r="C389" s="1" t="s">
        <v>21</v>
      </c>
      <c r="D389" s="4" t="s">
        <v>1353</v>
      </c>
      <c r="E389" s="1" t="s">
        <v>750</v>
      </c>
      <c r="F389" s="1" t="s">
        <v>1338</v>
      </c>
      <c r="G389" s="1" t="s">
        <v>1350</v>
      </c>
      <c r="H389" s="1" t="s">
        <v>462</v>
      </c>
      <c r="I389" s="1" t="str">
        <f t="shared" si="1"/>
        <v>x</v>
      </c>
      <c r="J389" s="5"/>
      <c r="K389" s="1" t="str">
        <f t="shared" si="2"/>
        <v>8</v>
      </c>
      <c r="L389" s="5"/>
      <c r="M389" s="2" t="str">
        <f t="shared" si="3"/>
        <v>1402</v>
      </c>
      <c r="N389" s="5"/>
      <c r="O389" s="2">
        <v>201.0</v>
      </c>
      <c r="P389" s="5"/>
      <c r="Q389" s="5"/>
      <c r="R389" s="6" t="s">
        <v>463</v>
      </c>
      <c r="S389" s="5"/>
      <c r="T389" s="1" t="str">
        <f>IFERROR(__xludf.DUMMYFUNCTION("INDEX(SPLIT(A389, ""/""), 2)"),"تشکل‌های اسلامی و سیاسی")</f>
        <v>تشکل‌های اسلامی و سیاسی</v>
      </c>
      <c r="U389" s="1" t="str">
        <f>IFERROR(__xludf.DUMMYFUNCTION("INDEX(SPLIT(A389, ""/""), 3)"),"انجمن اسلامی دانشجویان")</f>
        <v>انجمن اسلامی دانشجویان</v>
      </c>
      <c r="V389" s="1" t="str">
        <f>IFERROR(__xludf.DUMMYFUNCTION("INDEX(SPLIT(A389, ""/""), 4)"),"خبرنامه")</f>
        <v>خبرنامه</v>
      </c>
    </row>
    <row r="390">
      <c r="A390" s="1" t="s">
        <v>831</v>
      </c>
      <c r="B390" s="1" t="s">
        <v>1354</v>
      </c>
      <c r="C390" s="1" t="s">
        <v>21</v>
      </c>
      <c r="D390" s="4" t="s">
        <v>1355</v>
      </c>
      <c r="E390" s="1" t="s">
        <v>750</v>
      </c>
      <c r="F390" s="1" t="s">
        <v>1338</v>
      </c>
      <c r="G390" s="1" t="s">
        <v>1350</v>
      </c>
      <c r="H390" s="1" t="s">
        <v>466</v>
      </c>
      <c r="I390" s="1" t="str">
        <f t="shared" si="1"/>
        <v>x</v>
      </c>
      <c r="J390" s="5"/>
      <c r="K390" s="1" t="str">
        <f t="shared" si="2"/>
        <v>9</v>
      </c>
      <c r="L390" s="5"/>
      <c r="M390" s="2" t="str">
        <f t="shared" si="3"/>
        <v>1402</v>
      </c>
      <c r="N390" s="5"/>
      <c r="O390" s="2">
        <v>202.0</v>
      </c>
      <c r="P390" s="5"/>
      <c r="Q390" s="5"/>
      <c r="R390" s="6" t="s">
        <v>467</v>
      </c>
      <c r="S390" s="5"/>
      <c r="T390" s="1" t="str">
        <f>IFERROR(__xludf.DUMMYFUNCTION("INDEX(SPLIT(A390, ""/""), 2)"),"تشکل‌های اسلامی و سیاسی")</f>
        <v>تشکل‌های اسلامی و سیاسی</v>
      </c>
      <c r="U390" s="1" t="str">
        <f>IFERROR(__xludf.DUMMYFUNCTION("INDEX(SPLIT(A390, ""/""), 3)"),"انجمن اسلامی دانشجویان")</f>
        <v>انجمن اسلامی دانشجویان</v>
      </c>
      <c r="V390" s="1" t="str">
        <f>IFERROR(__xludf.DUMMYFUNCTION("INDEX(SPLIT(A390, ""/""), 4)"),"خبرنامه")</f>
        <v>خبرنامه</v>
      </c>
    </row>
    <row r="391">
      <c r="A391" s="1" t="s">
        <v>831</v>
      </c>
      <c r="B391" s="1" t="s">
        <v>1356</v>
      </c>
      <c r="C391" s="1" t="s">
        <v>21</v>
      </c>
      <c r="D391" s="4" t="s">
        <v>1357</v>
      </c>
      <c r="E391" s="1" t="s">
        <v>750</v>
      </c>
      <c r="F391" s="1" t="s">
        <v>1338</v>
      </c>
      <c r="G391" s="1" t="s">
        <v>1358</v>
      </c>
      <c r="H391" s="1" t="s">
        <v>540</v>
      </c>
      <c r="I391" s="1" t="str">
        <f t="shared" si="1"/>
        <v>x</v>
      </c>
      <c r="J391" s="5"/>
      <c r="K391" s="1" t="str">
        <f t="shared" si="2"/>
        <v>4</v>
      </c>
      <c r="L391" s="5"/>
      <c r="M391" s="2" t="str">
        <f t="shared" si="3"/>
        <v>1403</v>
      </c>
      <c r="N391" s="5"/>
      <c r="O391" s="2">
        <v>203.0</v>
      </c>
      <c r="P391" s="5"/>
      <c r="Q391" s="5"/>
      <c r="R391" s="6" t="s">
        <v>541</v>
      </c>
      <c r="S391" s="5"/>
      <c r="T391" s="1" t="str">
        <f>IFERROR(__xludf.DUMMYFUNCTION("INDEX(SPLIT(A391, ""/""), 2)"),"تشکل‌های اسلامی و سیاسی")</f>
        <v>تشکل‌های اسلامی و سیاسی</v>
      </c>
      <c r="U391" s="1" t="str">
        <f>IFERROR(__xludf.DUMMYFUNCTION("INDEX(SPLIT(A391, ""/""), 3)"),"انجمن اسلامی دانشجویان")</f>
        <v>انجمن اسلامی دانشجویان</v>
      </c>
      <c r="V391" s="1" t="str">
        <f>IFERROR(__xludf.DUMMYFUNCTION("INDEX(SPLIT(A391, ""/""), 4)"),"خبرنامه")</f>
        <v>خبرنامه</v>
      </c>
    </row>
    <row r="392">
      <c r="A392" s="1" t="s">
        <v>831</v>
      </c>
      <c r="B392" s="1" t="s">
        <v>1359</v>
      </c>
      <c r="C392" s="1" t="s">
        <v>21</v>
      </c>
      <c r="D392" s="4" t="s">
        <v>1360</v>
      </c>
      <c r="E392" s="1" t="s">
        <v>750</v>
      </c>
      <c r="F392" s="1" t="s">
        <v>1338</v>
      </c>
      <c r="G392" s="1" t="s">
        <v>1358</v>
      </c>
      <c r="H392" s="1" t="s">
        <v>540</v>
      </c>
      <c r="I392" s="1" t="str">
        <f t="shared" si="1"/>
        <v>x</v>
      </c>
      <c r="J392" s="5"/>
      <c r="K392" s="1" t="str">
        <f t="shared" si="2"/>
        <v>4</v>
      </c>
      <c r="L392" s="5"/>
      <c r="M392" s="2" t="str">
        <f t="shared" si="3"/>
        <v>1403</v>
      </c>
      <c r="N392" s="5"/>
      <c r="O392" s="2">
        <v>204.0</v>
      </c>
      <c r="P392" s="5"/>
      <c r="Q392" s="5"/>
      <c r="R392" s="6" t="s">
        <v>541</v>
      </c>
      <c r="S392" s="5"/>
      <c r="T392" s="1" t="str">
        <f>IFERROR(__xludf.DUMMYFUNCTION("INDEX(SPLIT(A392, ""/""), 2)"),"تشکل‌های اسلامی و سیاسی")</f>
        <v>تشکل‌های اسلامی و سیاسی</v>
      </c>
      <c r="U392" s="1" t="str">
        <f>IFERROR(__xludf.DUMMYFUNCTION("INDEX(SPLIT(A392, ""/""), 3)"),"انجمن اسلامی دانشجویان")</f>
        <v>انجمن اسلامی دانشجویان</v>
      </c>
      <c r="V392" s="1" t="str">
        <f>IFERROR(__xludf.DUMMYFUNCTION("INDEX(SPLIT(A392, ""/""), 4)"),"خبرنامه")</f>
        <v>خبرنامه</v>
      </c>
    </row>
    <row r="393">
      <c r="A393" s="1" t="s">
        <v>831</v>
      </c>
      <c r="B393" s="1" t="s">
        <v>1361</v>
      </c>
      <c r="C393" s="1" t="s">
        <v>21</v>
      </c>
      <c r="D393" s="4" t="s">
        <v>1362</v>
      </c>
      <c r="E393" s="1" t="s">
        <v>750</v>
      </c>
      <c r="F393" s="1" t="s">
        <v>1358</v>
      </c>
      <c r="G393" s="1" t="s">
        <v>1363</v>
      </c>
      <c r="H393" s="1" t="s">
        <v>1364</v>
      </c>
      <c r="I393" s="1" t="str">
        <f t="shared" si="1"/>
        <v>x</v>
      </c>
      <c r="J393" s="5"/>
      <c r="K393" s="1" t="str">
        <f t="shared" si="2"/>
        <v>5</v>
      </c>
      <c r="L393" s="5"/>
      <c r="M393" s="2" t="str">
        <f t="shared" si="3"/>
        <v>1403</v>
      </c>
      <c r="N393" s="5"/>
      <c r="O393" s="2">
        <v>205.0</v>
      </c>
      <c r="P393" s="5"/>
      <c r="Q393" s="5"/>
      <c r="R393" s="6" t="s">
        <v>1365</v>
      </c>
      <c r="S393" s="5"/>
      <c r="T393" s="1" t="str">
        <f>IFERROR(__xludf.DUMMYFUNCTION("INDEX(SPLIT(A393, ""/""), 2)"),"تشکل‌های اسلامی و سیاسی")</f>
        <v>تشکل‌های اسلامی و سیاسی</v>
      </c>
      <c r="U393" s="1" t="str">
        <f>IFERROR(__xludf.DUMMYFUNCTION("INDEX(SPLIT(A393, ""/""), 3)"),"انجمن اسلامی دانشجویان")</f>
        <v>انجمن اسلامی دانشجویان</v>
      </c>
      <c r="V393" s="1" t="str">
        <f>IFERROR(__xludf.DUMMYFUNCTION("INDEX(SPLIT(A393, ""/""), 4)"),"خبرنامه")</f>
        <v>خبرنامه</v>
      </c>
    </row>
    <row r="394">
      <c r="A394" s="1" t="s">
        <v>831</v>
      </c>
      <c r="B394" s="1" t="s">
        <v>1366</v>
      </c>
      <c r="C394" s="1" t="s">
        <v>21</v>
      </c>
      <c r="D394" s="4" t="s">
        <v>1367</v>
      </c>
      <c r="E394" s="1" t="s">
        <v>750</v>
      </c>
      <c r="F394" s="1" t="s">
        <v>1368</v>
      </c>
      <c r="G394" s="1" t="s">
        <v>1369</v>
      </c>
      <c r="H394" s="1" t="s">
        <v>1370</v>
      </c>
      <c r="I394" s="1" t="str">
        <f t="shared" si="1"/>
        <v>x</v>
      </c>
      <c r="J394" s="5"/>
      <c r="K394" s="1" t="str">
        <f t="shared" si="2"/>
        <v>2</v>
      </c>
      <c r="L394" s="5"/>
      <c r="M394" s="2" t="str">
        <f t="shared" si="3"/>
        <v>1404</v>
      </c>
      <c r="N394" s="5"/>
      <c r="O394" s="2">
        <v>206.0</v>
      </c>
      <c r="P394" s="5"/>
      <c r="Q394" s="5"/>
      <c r="R394" s="6" t="s">
        <v>1371</v>
      </c>
      <c r="S394" s="5"/>
      <c r="T394" s="1" t="str">
        <f>IFERROR(__xludf.DUMMYFUNCTION("INDEX(SPLIT(A394, ""/""), 2)"),"تشکل‌های اسلامی و سیاسی")</f>
        <v>تشکل‌های اسلامی و سیاسی</v>
      </c>
      <c r="U394" s="1" t="str">
        <f>IFERROR(__xludf.DUMMYFUNCTION("INDEX(SPLIT(A394, ""/""), 3)"),"انجمن اسلامی دانشجویان")</f>
        <v>انجمن اسلامی دانشجویان</v>
      </c>
      <c r="V394" s="1" t="str">
        <f>IFERROR(__xludf.DUMMYFUNCTION("INDEX(SPLIT(A394, ""/""), 4)"),"خبرنامه")</f>
        <v>خبرنامه</v>
      </c>
    </row>
    <row r="395">
      <c r="A395" s="1" t="s">
        <v>831</v>
      </c>
      <c r="B395" s="1" t="s">
        <v>1372</v>
      </c>
      <c r="C395" s="1" t="s">
        <v>21</v>
      </c>
      <c r="D395" s="4" t="s">
        <v>1373</v>
      </c>
      <c r="E395" s="1" t="s">
        <v>750</v>
      </c>
      <c r="F395" s="1" t="s">
        <v>1368</v>
      </c>
      <c r="G395" s="1" t="s">
        <v>1369</v>
      </c>
      <c r="H395" s="1" t="s">
        <v>1370</v>
      </c>
      <c r="I395" s="1" t="str">
        <f t="shared" si="1"/>
        <v>x</v>
      </c>
      <c r="J395" s="5"/>
      <c r="K395" s="1" t="str">
        <f t="shared" si="2"/>
        <v>2</v>
      </c>
      <c r="L395" s="5"/>
      <c r="M395" s="2" t="str">
        <f t="shared" si="3"/>
        <v>1404</v>
      </c>
      <c r="N395" s="5"/>
      <c r="O395" s="2">
        <v>207.0</v>
      </c>
      <c r="P395" s="5"/>
      <c r="Q395" s="5"/>
      <c r="R395" s="6" t="s">
        <v>1371</v>
      </c>
      <c r="S395" s="5"/>
      <c r="T395" s="1" t="str">
        <f>IFERROR(__xludf.DUMMYFUNCTION("INDEX(SPLIT(A395, ""/""), 2)"),"تشکل‌های اسلامی و سیاسی")</f>
        <v>تشکل‌های اسلامی و سیاسی</v>
      </c>
      <c r="U395" s="1" t="str">
        <f>IFERROR(__xludf.DUMMYFUNCTION("INDEX(SPLIT(A395, ""/""), 3)"),"انجمن اسلامی دانشجویان")</f>
        <v>انجمن اسلامی دانشجویان</v>
      </c>
      <c r="V395" s="1" t="str">
        <f>IFERROR(__xludf.DUMMYFUNCTION("INDEX(SPLIT(A395, ""/""), 4)"),"خبرنامه")</f>
        <v>خبرنامه</v>
      </c>
    </row>
    <row r="396">
      <c r="A396" s="1" t="s">
        <v>831</v>
      </c>
      <c r="B396" s="1" t="s">
        <v>1374</v>
      </c>
      <c r="C396" s="1" t="s">
        <v>21</v>
      </c>
      <c r="D396" s="4" t="s">
        <v>1375</v>
      </c>
      <c r="E396" s="1" t="s">
        <v>750</v>
      </c>
      <c r="F396" s="1" t="s">
        <v>1368</v>
      </c>
      <c r="G396" s="1" t="s">
        <v>1369</v>
      </c>
      <c r="H396" s="1" t="s">
        <v>1376</v>
      </c>
      <c r="I396" s="1" t="str">
        <f t="shared" si="1"/>
        <v>22</v>
      </c>
      <c r="J396" s="5"/>
      <c r="K396" s="1" t="str">
        <f t="shared" si="2"/>
        <v>2</v>
      </c>
      <c r="L396" s="5"/>
      <c r="M396" s="2" t="str">
        <f t="shared" si="3"/>
        <v>1404</v>
      </c>
      <c r="N396" s="5"/>
      <c r="O396" s="2">
        <v>208.0</v>
      </c>
      <c r="P396" s="5"/>
      <c r="Q396" s="5"/>
      <c r="R396" s="6" t="s">
        <v>1376</v>
      </c>
      <c r="S396" s="5"/>
      <c r="T396" s="1" t="str">
        <f>IFERROR(__xludf.DUMMYFUNCTION("INDEX(SPLIT(A396, ""/""), 2)"),"تشکل‌های اسلامی و سیاسی")</f>
        <v>تشکل‌های اسلامی و سیاسی</v>
      </c>
      <c r="U396" s="1" t="str">
        <f>IFERROR(__xludf.DUMMYFUNCTION("INDEX(SPLIT(A396, ""/""), 3)"),"انجمن اسلامی دانشجویان")</f>
        <v>انجمن اسلامی دانشجویان</v>
      </c>
      <c r="V396" s="1" t="str">
        <f>IFERROR(__xludf.DUMMYFUNCTION("INDEX(SPLIT(A396, ""/""), 4)"),"خبرنامه")</f>
        <v>خبرنامه</v>
      </c>
    </row>
    <row r="397">
      <c r="A397" s="1" t="s">
        <v>831</v>
      </c>
      <c r="B397" s="1" t="s">
        <v>1377</v>
      </c>
      <c r="C397" s="1" t="s">
        <v>21</v>
      </c>
      <c r="D397" s="4" t="s">
        <v>1378</v>
      </c>
      <c r="E397" s="1" t="s">
        <v>750</v>
      </c>
      <c r="F397" s="1" t="s">
        <v>1368</v>
      </c>
      <c r="G397" s="1" t="s">
        <v>1369</v>
      </c>
      <c r="H397" s="7" t="s">
        <v>1379</v>
      </c>
      <c r="I397" s="1" t="str">
        <f t="shared" si="1"/>
        <v>4</v>
      </c>
      <c r="J397" s="5"/>
      <c r="K397" s="1" t="str">
        <f t="shared" si="2"/>
        <v>3</v>
      </c>
      <c r="L397" s="5"/>
      <c r="M397" s="2" t="str">
        <f t="shared" si="3"/>
        <v>1404</v>
      </c>
      <c r="N397" s="5"/>
      <c r="O397" s="2">
        <v>209.0</v>
      </c>
      <c r="P397" s="5"/>
      <c r="Q397" s="5"/>
      <c r="R397" s="8" t="s">
        <v>1379</v>
      </c>
      <c r="S397" s="5"/>
      <c r="T397" s="1" t="str">
        <f>IFERROR(__xludf.DUMMYFUNCTION("INDEX(SPLIT(A397, ""/""), 2)"),"تشکل‌های اسلامی و سیاسی")</f>
        <v>تشکل‌های اسلامی و سیاسی</v>
      </c>
      <c r="U397" s="1" t="str">
        <f>IFERROR(__xludf.DUMMYFUNCTION("INDEX(SPLIT(A397, ""/""), 3)"),"انجمن اسلامی دانشجویان")</f>
        <v>انجمن اسلامی دانشجویان</v>
      </c>
      <c r="V397" s="1" t="str">
        <f>IFERROR(__xludf.DUMMYFUNCTION("INDEX(SPLIT(A397, ""/""), 4)"),"خبرنامه")</f>
        <v>خبرنامه</v>
      </c>
    </row>
    <row r="398">
      <c r="A398" s="1" t="s">
        <v>1380</v>
      </c>
      <c r="B398" s="1" t="s">
        <v>1381</v>
      </c>
      <c r="C398" s="1" t="s">
        <v>21</v>
      </c>
      <c r="D398" s="4" t="s">
        <v>1382</v>
      </c>
      <c r="E398" s="1" t="s">
        <v>750</v>
      </c>
      <c r="F398" s="1" t="s">
        <v>1383</v>
      </c>
      <c r="G398" s="1" t="s">
        <v>1384</v>
      </c>
      <c r="H398" s="1" t="s">
        <v>291</v>
      </c>
      <c r="I398" s="1" t="str">
        <f t="shared" si="1"/>
        <v>x</v>
      </c>
      <c r="J398" s="5"/>
      <c r="K398" s="1" t="str">
        <f t="shared" si="2"/>
        <v>x</v>
      </c>
      <c r="L398" s="5"/>
      <c r="M398" s="2" t="str">
        <f t="shared" si="3"/>
        <v>x</v>
      </c>
      <c r="N398" s="1">
        <v>0.0</v>
      </c>
      <c r="O398" s="1" t="s">
        <v>1385</v>
      </c>
      <c r="P398" s="7" t="s">
        <v>1386</v>
      </c>
      <c r="Q398" s="1" t="s">
        <v>1387</v>
      </c>
      <c r="R398" s="6" t="s">
        <v>1388</v>
      </c>
      <c r="S398" s="5"/>
      <c r="T398" s="1" t="str">
        <f>IFERROR(__xludf.DUMMYFUNCTION("INDEX(SPLIT(A398, ""/""), 2)"),"تشکل‌های اسلامی و سیاسی")</f>
        <v>تشکل‌های اسلامی و سیاسی</v>
      </c>
      <c r="U398" s="1" t="str">
        <f>IFERROR(__xludf.DUMMYFUNCTION("INDEX(SPLIT(A398, ""/""), 3)"),"انجمن اسلامی دانشجویان")</f>
        <v>انجمن اسلامی دانشجویان</v>
      </c>
      <c r="V398" s="1" t="str">
        <f>IFERROR(__xludf.DUMMYFUNCTION("INDEX(SPLIT(A398, ""/""), 4)"),"دانشجو")</f>
        <v>دانشجو</v>
      </c>
    </row>
    <row r="399">
      <c r="A399" s="1" t="s">
        <v>1380</v>
      </c>
      <c r="B399" s="1" t="s">
        <v>1389</v>
      </c>
      <c r="C399" s="1" t="s">
        <v>21</v>
      </c>
      <c r="D399" s="4" t="s">
        <v>1390</v>
      </c>
      <c r="E399" s="1" t="s">
        <v>750</v>
      </c>
      <c r="F399" s="1" t="s">
        <v>71</v>
      </c>
      <c r="G399" s="1" t="s">
        <v>71</v>
      </c>
      <c r="H399" s="1" t="s">
        <v>173</v>
      </c>
      <c r="I399" s="1" t="str">
        <f t="shared" si="1"/>
        <v>x</v>
      </c>
      <c r="J399" s="5"/>
      <c r="K399" s="1" t="str">
        <f t="shared" si="2"/>
        <v>10</v>
      </c>
      <c r="L399" s="5"/>
      <c r="M399" s="2" t="str">
        <f t="shared" si="3"/>
        <v>1397</v>
      </c>
      <c r="N399" s="1">
        <v>0.0</v>
      </c>
      <c r="O399" s="1">
        <v>3.0</v>
      </c>
      <c r="P399" s="5"/>
      <c r="Q399" s="5"/>
      <c r="R399" s="6" t="s">
        <v>174</v>
      </c>
      <c r="S399" s="5"/>
      <c r="T399" s="1" t="str">
        <f>IFERROR(__xludf.DUMMYFUNCTION("INDEX(SPLIT(A399, ""/""), 2)"),"تشکل‌های اسلامی و سیاسی")</f>
        <v>تشکل‌های اسلامی و سیاسی</v>
      </c>
      <c r="U399" s="1" t="str">
        <f>IFERROR(__xludf.DUMMYFUNCTION("INDEX(SPLIT(A399, ""/""), 3)"),"انجمن اسلامی دانشجویان")</f>
        <v>انجمن اسلامی دانشجویان</v>
      </c>
      <c r="V399" s="1" t="str">
        <f>IFERROR(__xludf.DUMMYFUNCTION("INDEX(SPLIT(A399, ""/""), 4)"),"دانشجو")</f>
        <v>دانشجو</v>
      </c>
    </row>
    <row r="400">
      <c r="A400" s="1" t="s">
        <v>1380</v>
      </c>
      <c r="B400" s="1" t="s">
        <v>1391</v>
      </c>
      <c r="C400" s="1" t="s">
        <v>21</v>
      </c>
      <c r="D400" s="4" t="s">
        <v>1392</v>
      </c>
      <c r="E400" s="1" t="s">
        <v>750</v>
      </c>
      <c r="F400" s="1" t="s">
        <v>71</v>
      </c>
      <c r="G400" s="1" t="s">
        <v>71</v>
      </c>
      <c r="H400" s="7" t="s">
        <v>1393</v>
      </c>
      <c r="I400" s="1" t="str">
        <f t="shared" si="1"/>
        <v>4</v>
      </c>
      <c r="J400" s="5"/>
      <c r="K400" s="1" t="str">
        <f t="shared" si="2"/>
        <v>7</v>
      </c>
      <c r="L400" s="5"/>
      <c r="M400" s="2" t="str">
        <f t="shared" si="3"/>
        <v>1389</v>
      </c>
      <c r="N400" s="1">
        <v>0.0</v>
      </c>
      <c r="O400" s="1" t="s">
        <v>1394</v>
      </c>
      <c r="P400" s="5"/>
      <c r="Q400" s="5"/>
      <c r="R400" s="8" t="s">
        <v>1393</v>
      </c>
      <c r="S400" s="5"/>
      <c r="T400" s="1" t="str">
        <f>IFERROR(__xludf.DUMMYFUNCTION("INDEX(SPLIT(A400, ""/""), 2)"),"تشکل‌های اسلامی و سیاسی")</f>
        <v>تشکل‌های اسلامی و سیاسی</v>
      </c>
      <c r="U400" s="1" t="str">
        <f>IFERROR(__xludf.DUMMYFUNCTION("INDEX(SPLIT(A400, ""/""), 3)"),"انجمن اسلامی دانشجویان")</f>
        <v>انجمن اسلامی دانشجویان</v>
      </c>
      <c r="V400" s="1" t="str">
        <f>IFERROR(__xludf.DUMMYFUNCTION("INDEX(SPLIT(A400, ""/""), 4)"),"دانشجو")</f>
        <v>دانشجو</v>
      </c>
    </row>
    <row r="401">
      <c r="A401" s="1" t="s">
        <v>1380</v>
      </c>
      <c r="B401" s="1" t="s">
        <v>1395</v>
      </c>
      <c r="C401" s="1" t="s">
        <v>21</v>
      </c>
      <c r="D401" s="4" t="s">
        <v>1396</v>
      </c>
      <c r="E401" s="1" t="s">
        <v>750</v>
      </c>
      <c r="F401" s="1" t="s">
        <v>1397</v>
      </c>
      <c r="G401" s="1" t="s">
        <v>752</v>
      </c>
      <c r="H401" s="1" t="s">
        <v>1398</v>
      </c>
      <c r="I401" s="1" t="str">
        <f t="shared" si="1"/>
        <v>14</v>
      </c>
      <c r="J401" s="5"/>
      <c r="K401" s="1" t="str">
        <f t="shared" si="2"/>
        <v>4</v>
      </c>
      <c r="L401" s="5"/>
      <c r="M401" s="2" t="str">
        <f t="shared" si="3"/>
        <v>1395</v>
      </c>
      <c r="N401" s="1">
        <v>1.0</v>
      </c>
      <c r="O401" s="1">
        <v>1.0</v>
      </c>
      <c r="P401" s="5"/>
      <c r="Q401" s="5"/>
      <c r="R401" s="6" t="s">
        <v>1398</v>
      </c>
      <c r="S401" s="5"/>
      <c r="T401" s="1" t="str">
        <f>IFERROR(__xludf.DUMMYFUNCTION("INDEX(SPLIT(A401, ""/""), 2)"),"تشکل‌های اسلامی و سیاسی")</f>
        <v>تشکل‌های اسلامی و سیاسی</v>
      </c>
      <c r="U401" s="1" t="str">
        <f>IFERROR(__xludf.DUMMYFUNCTION("INDEX(SPLIT(A401, ""/""), 3)"),"انجمن اسلامی دانشجویان")</f>
        <v>انجمن اسلامی دانشجویان</v>
      </c>
      <c r="V401" s="1" t="str">
        <f>IFERROR(__xludf.DUMMYFUNCTION("INDEX(SPLIT(A401, ""/""), 4)"),"دانشجو")</f>
        <v>دانشجو</v>
      </c>
    </row>
    <row r="402">
      <c r="A402" s="1" t="s">
        <v>1380</v>
      </c>
      <c r="B402" s="1" t="s">
        <v>1399</v>
      </c>
      <c r="C402" s="1" t="s">
        <v>21</v>
      </c>
      <c r="D402" s="4" t="s">
        <v>1400</v>
      </c>
      <c r="E402" s="1" t="s">
        <v>750</v>
      </c>
      <c r="F402" s="1" t="s">
        <v>1401</v>
      </c>
      <c r="G402" s="1" t="s">
        <v>1401</v>
      </c>
      <c r="H402" s="1" t="s">
        <v>1398</v>
      </c>
      <c r="I402" s="1" t="str">
        <f t="shared" si="1"/>
        <v>14</v>
      </c>
      <c r="J402" s="5"/>
      <c r="K402" s="1" t="str">
        <f t="shared" si="2"/>
        <v>4</v>
      </c>
      <c r="L402" s="5"/>
      <c r="M402" s="2" t="str">
        <f t="shared" si="3"/>
        <v>1395</v>
      </c>
      <c r="N402" s="1">
        <v>2.0</v>
      </c>
      <c r="O402" s="1">
        <v>1.0</v>
      </c>
      <c r="P402" s="5"/>
      <c r="Q402" s="5"/>
      <c r="R402" s="6" t="s">
        <v>1398</v>
      </c>
      <c r="S402" s="5"/>
      <c r="T402" s="1" t="str">
        <f>IFERROR(__xludf.DUMMYFUNCTION("INDEX(SPLIT(A402, ""/""), 2)"),"تشکل‌های اسلامی و سیاسی")</f>
        <v>تشکل‌های اسلامی و سیاسی</v>
      </c>
      <c r="U402" s="1" t="str">
        <f>IFERROR(__xludf.DUMMYFUNCTION("INDEX(SPLIT(A402, ""/""), 3)"),"انجمن اسلامی دانشجویان")</f>
        <v>انجمن اسلامی دانشجویان</v>
      </c>
      <c r="V402" s="1" t="str">
        <f>IFERROR(__xludf.DUMMYFUNCTION("INDEX(SPLIT(A402, ""/""), 4)"),"دانشجو")</f>
        <v>دانشجو</v>
      </c>
    </row>
    <row r="403">
      <c r="A403" s="1" t="s">
        <v>1380</v>
      </c>
      <c r="B403" s="1" t="s">
        <v>1402</v>
      </c>
      <c r="C403" s="1" t="s">
        <v>21</v>
      </c>
      <c r="D403" s="4" t="s">
        <v>1403</v>
      </c>
      <c r="E403" s="1" t="s">
        <v>750</v>
      </c>
      <c r="F403" s="1" t="s">
        <v>1404</v>
      </c>
      <c r="G403" s="1" t="s">
        <v>771</v>
      </c>
      <c r="H403" s="7" t="s">
        <v>1405</v>
      </c>
      <c r="I403" s="1" t="str">
        <f t="shared" si="1"/>
        <v>4</v>
      </c>
      <c r="J403" s="5"/>
      <c r="K403" s="1" t="str">
        <f t="shared" si="2"/>
        <v>10</v>
      </c>
      <c r="L403" s="5"/>
      <c r="M403" s="2" t="str">
        <f t="shared" si="3"/>
        <v>1396</v>
      </c>
      <c r="N403" s="1">
        <v>3.0</v>
      </c>
      <c r="O403" s="1">
        <v>1.0</v>
      </c>
      <c r="P403" s="5"/>
      <c r="Q403" s="5"/>
      <c r="R403" s="8" t="s">
        <v>1405</v>
      </c>
      <c r="S403" s="5"/>
      <c r="T403" s="1" t="str">
        <f>IFERROR(__xludf.DUMMYFUNCTION("INDEX(SPLIT(A403, ""/""), 2)"),"تشکل‌های اسلامی و سیاسی")</f>
        <v>تشکل‌های اسلامی و سیاسی</v>
      </c>
      <c r="U403" s="1" t="str">
        <f>IFERROR(__xludf.DUMMYFUNCTION("INDEX(SPLIT(A403, ""/""), 3)"),"انجمن اسلامی دانشجویان")</f>
        <v>انجمن اسلامی دانشجویان</v>
      </c>
      <c r="V403" s="1" t="str">
        <f>IFERROR(__xludf.DUMMYFUNCTION("INDEX(SPLIT(A403, ""/""), 4)"),"دانشجو")</f>
        <v>دانشجو</v>
      </c>
    </row>
    <row r="404">
      <c r="A404" s="1" t="s">
        <v>1380</v>
      </c>
      <c r="B404" s="1" t="s">
        <v>1406</v>
      </c>
      <c r="C404" s="1" t="s">
        <v>21</v>
      </c>
      <c r="D404" s="4" t="s">
        <v>1407</v>
      </c>
      <c r="E404" s="1" t="s">
        <v>750</v>
      </c>
      <c r="F404" s="1" t="s">
        <v>1404</v>
      </c>
      <c r="G404" s="1" t="s">
        <v>771</v>
      </c>
      <c r="H404" s="1" t="s">
        <v>1103</v>
      </c>
      <c r="I404" s="1" t="str">
        <f t="shared" si="1"/>
        <v>21</v>
      </c>
      <c r="J404" s="5"/>
      <c r="K404" s="1" t="str">
        <f t="shared" si="2"/>
        <v>9</v>
      </c>
      <c r="L404" s="5"/>
      <c r="M404" s="2" t="str">
        <f t="shared" si="3"/>
        <v>1388</v>
      </c>
      <c r="N404" s="1">
        <v>3.0</v>
      </c>
      <c r="O404" s="1">
        <v>3.0</v>
      </c>
      <c r="P404" s="5"/>
      <c r="Q404" s="5"/>
      <c r="R404" s="6" t="s">
        <v>1103</v>
      </c>
      <c r="S404" s="5"/>
      <c r="T404" s="1" t="str">
        <f>IFERROR(__xludf.DUMMYFUNCTION("INDEX(SPLIT(A404, ""/""), 2)"),"تشکل‌های اسلامی و سیاسی")</f>
        <v>تشکل‌های اسلامی و سیاسی</v>
      </c>
      <c r="U404" s="1" t="str">
        <f>IFERROR(__xludf.DUMMYFUNCTION("INDEX(SPLIT(A404, ""/""), 3)"),"انجمن اسلامی دانشجویان")</f>
        <v>انجمن اسلامی دانشجویان</v>
      </c>
      <c r="V404" s="1" t="str">
        <f>IFERROR(__xludf.DUMMYFUNCTION("INDEX(SPLIT(A404, ""/""), 4)"),"دانشجو")</f>
        <v>دانشجو</v>
      </c>
    </row>
    <row r="405">
      <c r="A405" s="1" t="s">
        <v>1380</v>
      </c>
      <c r="B405" s="1" t="s">
        <v>1408</v>
      </c>
      <c r="C405" s="1" t="s">
        <v>21</v>
      </c>
      <c r="D405" s="4" t="s">
        <v>1409</v>
      </c>
      <c r="E405" s="1" t="s">
        <v>750</v>
      </c>
      <c r="F405" s="1" t="s">
        <v>1410</v>
      </c>
      <c r="G405" s="1" t="s">
        <v>1275</v>
      </c>
      <c r="H405" s="7" t="s">
        <v>1393</v>
      </c>
      <c r="I405" s="1" t="str">
        <f t="shared" si="1"/>
        <v>4</v>
      </c>
      <c r="J405" s="5"/>
      <c r="K405" s="1" t="str">
        <f t="shared" si="2"/>
        <v>7</v>
      </c>
      <c r="L405" s="5"/>
      <c r="M405" s="2" t="str">
        <f t="shared" si="3"/>
        <v>1389</v>
      </c>
      <c r="N405" s="1">
        <v>3.0</v>
      </c>
      <c r="O405" s="1">
        <v>4.0</v>
      </c>
      <c r="P405" s="5"/>
      <c r="Q405" s="5"/>
      <c r="R405" s="8" t="s">
        <v>1393</v>
      </c>
      <c r="S405" s="5"/>
      <c r="T405" s="1" t="str">
        <f>IFERROR(__xludf.DUMMYFUNCTION("INDEX(SPLIT(A405, ""/""), 2)"),"تشکل‌های اسلامی و سیاسی")</f>
        <v>تشکل‌های اسلامی و سیاسی</v>
      </c>
      <c r="U405" s="1" t="str">
        <f>IFERROR(__xludf.DUMMYFUNCTION("INDEX(SPLIT(A405, ""/""), 3)"),"انجمن اسلامی دانشجویان")</f>
        <v>انجمن اسلامی دانشجویان</v>
      </c>
      <c r="V405" s="1" t="str">
        <f>IFERROR(__xludf.DUMMYFUNCTION("INDEX(SPLIT(A405, ""/""), 4)"),"دانشجو")</f>
        <v>دانشجو</v>
      </c>
    </row>
    <row r="406">
      <c r="A406" s="1" t="s">
        <v>1380</v>
      </c>
      <c r="B406" s="1" t="s">
        <v>1411</v>
      </c>
      <c r="C406" s="1" t="s">
        <v>21</v>
      </c>
      <c r="D406" s="4" t="s">
        <v>1412</v>
      </c>
      <c r="E406" s="1" t="s">
        <v>750</v>
      </c>
      <c r="F406" s="1" t="s">
        <v>1410</v>
      </c>
      <c r="G406" s="1" t="s">
        <v>1275</v>
      </c>
      <c r="H406" s="1" t="s">
        <v>181</v>
      </c>
      <c r="I406" s="1" t="str">
        <f t="shared" si="1"/>
        <v>x</v>
      </c>
      <c r="J406" s="5"/>
      <c r="K406" s="1" t="str">
        <f t="shared" si="2"/>
        <v>12</v>
      </c>
      <c r="L406" s="5"/>
      <c r="M406" s="2" t="str">
        <f t="shared" si="3"/>
        <v>1397</v>
      </c>
      <c r="N406" s="1">
        <v>3.0</v>
      </c>
      <c r="O406" s="1">
        <v>5.0</v>
      </c>
      <c r="P406" s="5"/>
      <c r="Q406" s="5"/>
      <c r="R406" s="6" t="s">
        <v>182</v>
      </c>
      <c r="S406" s="5"/>
      <c r="T406" s="1" t="str">
        <f>IFERROR(__xludf.DUMMYFUNCTION("INDEX(SPLIT(A406, ""/""), 2)"),"تشکل‌های اسلامی و سیاسی")</f>
        <v>تشکل‌های اسلامی و سیاسی</v>
      </c>
      <c r="U406" s="1" t="str">
        <f>IFERROR(__xludf.DUMMYFUNCTION("INDEX(SPLIT(A406, ""/""), 3)"),"انجمن اسلامی دانشجویان")</f>
        <v>انجمن اسلامی دانشجویان</v>
      </c>
      <c r="V406" s="1" t="str">
        <f>IFERROR(__xludf.DUMMYFUNCTION("INDEX(SPLIT(A406, ""/""), 4)"),"دانشجو")</f>
        <v>دانشجو</v>
      </c>
    </row>
    <row r="407">
      <c r="A407" s="1" t="s">
        <v>1380</v>
      </c>
      <c r="B407" s="1" t="s">
        <v>1413</v>
      </c>
      <c r="C407" s="1" t="s">
        <v>21</v>
      </c>
      <c r="D407" s="4" t="s">
        <v>1414</v>
      </c>
      <c r="E407" s="1" t="s">
        <v>750</v>
      </c>
      <c r="F407" s="1" t="s">
        <v>1410</v>
      </c>
      <c r="G407" s="1" t="s">
        <v>1415</v>
      </c>
      <c r="H407" s="1" t="s">
        <v>329</v>
      </c>
      <c r="I407" s="1" t="str">
        <f t="shared" si="1"/>
        <v>x</v>
      </c>
      <c r="J407" s="5"/>
      <c r="K407" s="1" t="str">
        <f t="shared" si="2"/>
        <v>2</v>
      </c>
      <c r="L407" s="5"/>
      <c r="M407" s="2" t="str">
        <f t="shared" si="3"/>
        <v>1398</v>
      </c>
      <c r="N407" s="1">
        <v>3.0</v>
      </c>
      <c r="O407" s="1">
        <v>6.0</v>
      </c>
      <c r="P407" s="5"/>
      <c r="Q407" s="5"/>
      <c r="R407" s="6" t="s">
        <v>330</v>
      </c>
      <c r="S407" s="5"/>
      <c r="T407" s="1" t="str">
        <f>IFERROR(__xludf.DUMMYFUNCTION("INDEX(SPLIT(A407, ""/""), 2)"),"تشکل‌های اسلامی و سیاسی")</f>
        <v>تشکل‌های اسلامی و سیاسی</v>
      </c>
      <c r="U407" s="1" t="str">
        <f>IFERROR(__xludf.DUMMYFUNCTION("INDEX(SPLIT(A407, ""/""), 3)"),"انجمن اسلامی دانشجویان")</f>
        <v>انجمن اسلامی دانشجویان</v>
      </c>
      <c r="V407" s="1" t="str">
        <f>IFERROR(__xludf.DUMMYFUNCTION("INDEX(SPLIT(A407, ""/""), 4)"),"دانشجو")</f>
        <v>دانشجو</v>
      </c>
    </row>
    <row r="408">
      <c r="A408" s="1" t="s">
        <v>1380</v>
      </c>
      <c r="B408" s="1" t="s">
        <v>1416</v>
      </c>
      <c r="C408" s="1" t="s">
        <v>21</v>
      </c>
      <c r="D408" s="4" t="s">
        <v>1417</v>
      </c>
      <c r="E408" s="1" t="s">
        <v>750</v>
      </c>
      <c r="F408" s="1" t="s">
        <v>1410</v>
      </c>
      <c r="G408" s="1" t="s">
        <v>1415</v>
      </c>
      <c r="H408" s="1" t="s">
        <v>351</v>
      </c>
      <c r="I408" s="1" t="str">
        <f t="shared" si="1"/>
        <v>x</v>
      </c>
      <c r="J408" s="5"/>
      <c r="K408" s="1" t="str">
        <f t="shared" si="2"/>
        <v>8</v>
      </c>
      <c r="L408" s="5"/>
      <c r="M408" s="2" t="str">
        <f t="shared" si="3"/>
        <v>1398</v>
      </c>
      <c r="N408" s="1">
        <v>3.0</v>
      </c>
      <c r="O408" s="1">
        <v>7.0</v>
      </c>
      <c r="P408" s="5"/>
      <c r="Q408" s="5"/>
      <c r="R408" s="6" t="s">
        <v>352</v>
      </c>
      <c r="S408" s="5"/>
      <c r="T408" s="1" t="str">
        <f>IFERROR(__xludf.DUMMYFUNCTION("INDEX(SPLIT(A408, ""/""), 2)"),"تشکل‌های اسلامی و سیاسی")</f>
        <v>تشکل‌های اسلامی و سیاسی</v>
      </c>
      <c r="U408" s="1" t="str">
        <f>IFERROR(__xludf.DUMMYFUNCTION("INDEX(SPLIT(A408, ""/""), 3)"),"انجمن اسلامی دانشجویان")</f>
        <v>انجمن اسلامی دانشجویان</v>
      </c>
      <c r="V408" s="1" t="str">
        <f>IFERROR(__xludf.DUMMYFUNCTION("INDEX(SPLIT(A408, ""/""), 4)"),"دانشجو")</f>
        <v>دانشجو</v>
      </c>
    </row>
    <row r="409">
      <c r="A409" s="1" t="s">
        <v>1380</v>
      </c>
      <c r="B409" s="1" t="s">
        <v>1418</v>
      </c>
      <c r="C409" s="1" t="s">
        <v>21</v>
      </c>
      <c r="D409" s="4" t="s">
        <v>1419</v>
      </c>
      <c r="E409" s="1" t="s">
        <v>750</v>
      </c>
      <c r="F409" s="1" t="s">
        <v>1410</v>
      </c>
      <c r="G409" s="1" t="s">
        <v>1420</v>
      </c>
      <c r="H409" s="1" t="s">
        <v>357</v>
      </c>
      <c r="I409" s="1" t="str">
        <f t="shared" si="1"/>
        <v>x</v>
      </c>
      <c r="J409" s="5"/>
      <c r="K409" s="1" t="str">
        <f t="shared" si="2"/>
        <v>10</v>
      </c>
      <c r="L409" s="5"/>
      <c r="M409" s="2" t="str">
        <f t="shared" si="3"/>
        <v>1398</v>
      </c>
      <c r="N409" s="1">
        <v>3.0</v>
      </c>
      <c r="O409" s="1">
        <v>8.0</v>
      </c>
      <c r="P409" s="5"/>
      <c r="Q409" s="5"/>
      <c r="R409" s="6" t="s">
        <v>358</v>
      </c>
      <c r="S409" s="5"/>
      <c r="T409" s="1" t="str">
        <f>IFERROR(__xludf.DUMMYFUNCTION("INDEX(SPLIT(A409, ""/""), 2)"),"تشکل‌های اسلامی و سیاسی")</f>
        <v>تشکل‌های اسلامی و سیاسی</v>
      </c>
      <c r="U409" s="1" t="str">
        <f>IFERROR(__xludf.DUMMYFUNCTION("INDEX(SPLIT(A409, ""/""), 3)"),"انجمن اسلامی دانشجویان")</f>
        <v>انجمن اسلامی دانشجویان</v>
      </c>
      <c r="V409" s="1" t="str">
        <f>IFERROR(__xludf.DUMMYFUNCTION("INDEX(SPLIT(A409, ""/""), 4)"),"دانشجو")</f>
        <v>دانشجو</v>
      </c>
    </row>
    <row r="410">
      <c r="A410" s="1" t="s">
        <v>1380</v>
      </c>
      <c r="B410" s="1" t="s">
        <v>1421</v>
      </c>
      <c r="C410" s="1" t="s">
        <v>21</v>
      </c>
      <c r="D410" s="4" t="s">
        <v>1422</v>
      </c>
      <c r="E410" s="1" t="s">
        <v>750</v>
      </c>
      <c r="F410" s="1" t="s">
        <v>1410</v>
      </c>
      <c r="G410" s="1" t="s">
        <v>1420</v>
      </c>
      <c r="H410" s="1" t="s">
        <v>217</v>
      </c>
      <c r="I410" s="1" t="str">
        <f t="shared" si="1"/>
        <v>x</v>
      </c>
      <c r="J410" s="5"/>
      <c r="K410" s="1" t="str">
        <f t="shared" si="2"/>
        <v>12</v>
      </c>
      <c r="L410" s="5"/>
      <c r="M410" s="2" t="str">
        <f t="shared" si="3"/>
        <v>1398</v>
      </c>
      <c r="N410" s="1">
        <v>3.0</v>
      </c>
      <c r="O410" s="1">
        <v>9.0</v>
      </c>
      <c r="P410" s="5"/>
      <c r="Q410" s="5"/>
      <c r="R410" s="6" t="s">
        <v>218</v>
      </c>
      <c r="S410" s="5"/>
      <c r="T410" s="1" t="str">
        <f>IFERROR(__xludf.DUMMYFUNCTION("INDEX(SPLIT(A410, ""/""), 2)"),"تشکل‌های اسلامی و سیاسی")</f>
        <v>تشکل‌های اسلامی و سیاسی</v>
      </c>
      <c r="U410" s="1" t="str">
        <f>IFERROR(__xludf.DUMMYFUNCTION("INDEX(SPLIT(A410, ""/""), 3)"),"انجمن اسلامی دانشجویان")</f>
        <v>انجمن اسلامی دانشجویان</v>
      </c>
      <c r="V410" s="1" t="str">
        <f>IFERROR(__xludf.DUMMYFUNCTION("INDEX(SPLIT(A410, ""/""), 4)"),"دانشجو")</f>
        <v>دانشجو</v>
      </c>
    </row>
    <row r="411">
      <c r="A411" s="1" t="s">
        <v>1380</v>
      </c>
      <c r="B411" s="1" t="s">
        <v>1423</v>
      </c>
      <c r="C411" s="1" t="s">
        <v>21</v>
      </c>
      <c r="D411" s="4" t="s">
        <v>1424</v>
      </c>
      <c r="E411" s="1" t="s">
        <v>750</v>
      </c>
      <c r="F411" s="1" t="s">
        <v>1410</v>
      </c>
      <c r="G411" s="1" t="s">
        <v>1420</v>
      </c>
      <c r="H411" s="1" t="s">
        <v>371</v>
      </c>
      <c r="I411" s="1" t="str">
        <f t="shared" si="1"/>
        <v>x</v>
      </c>
      <c r="J411" s="5"/>
      <c r="K411" s="1" t="str">
        <f t="shared" si="2"/>
        <v>2</v>
      </c>
      <c r="L411" s="5"/>
      <c r="M411" s="2" t="str">
        <f t="shared" si="3"/>
        <v>1399</v>
      </c>
      <c r="N411" s="1">
        <v>3.0</v>
      </c>
      <c r="O411" s="1">
        <v>10.0</v>
      </c>
      <c r="P411" s="5"/>
      <c r="Q411" s="5"/>
      <c r="R411" s="6" t="s">
        <v>372</v>
      </c>
      <c r="S411" s="5"/>
      <c r="T411" s="1" t="str">
        <f>IFERROR(__xludf.DUMMYFUNCTION("INDEX(SPLIT(A411, ""/""), 2)"),"تشکل‌های اسلامی و سیاسی")</f>
        <v>تشکل‌های اسلامی و سیاسی</v>
      </c>
      <c r="U411" s="1" t="str">
        <f>IFERROR(__xludf.DUMMYFUNCTION("INDEX(SPLIT(A411, ""/""), 3)"),"انجمن اسلامی دانشجویان")</f>
        <v>انجمن اسلامی دانشجویان</v>
      </c>
      <c r="V411" s="1" t="str">
        <f>IFERROR(__xludf.DUMMYFUNCTION("INDEX(SPLIT(A411, ""/""), 4)"),"دانشجو")</f>
        <v>دانشجو</v>
      </c>
    </row>
    <row r="412">
      <c r="A412" s="1" t="s">
        <v>1380</v>
      </c>
      <c r="B412" s="1" t="s">
        <v>1425</v>
      </c>
      <c r="C412" s="1" t="s">
        <v>21</v>
      </c>
      <c r="D412" s="4" t="s">
        <v>1426</v>
      </c>
      <c r="E412" s="1" t="s">
        <v>750</v>
      </c>
      <c r="F412" s="1" t="s">
        <v>1410</v>
      </c>
      <c r="G412" s="1" t="s">
        <v>1420</v>
      </c>
      <c r="H412" s="1" t="s">
        <v>375</v>
      </c>
      <c r="I412" s="1" t="str">
        <f t="shared" si="1"/>
        <v>x</v>
      </c>
      <c r="J412" s="5"/>
      <c r="K412" s="1" t="str">
        <f t="shared" si="2"/>
        <v>3</v>
      </c>
      <c r="L412" s="5"/>
      <c r="M412" s="2" t="str">
        <f t="shared" si="3"/>
        <v>1399</v>
      </c>
      <c r="N412" s="1">
        <v>3.0</v>
      </c>
      <c r="O412" s="1">
        <v>11.0</v>
      </c>
      <c r="P412" s="5"/>
      <c r="Q412" s="5"/>
      <c r="R412" s="6" t="s">
        <v>376</v>
      </c>
      <c r="S412" s="5"/>
      <c r="T412" s="1" t="str">
        <f>IFERROR(__xludf.DUMMYFUNCTION("INDEX(SPLIT(A412, ""/""), 2)"),"تشکل‌های اسلامی و سیاسی")</f>
        <v>تشکل‌های اسلامی و سیاسی</v>
      </c>
      <c r="U412" s="1" t="str">
        <f>IFERROR(__xludf.DUMMYFUNCTION("INDEX(SPLIT(A412, ""/""), 3)"),"انجمن اسلامی دانشجویان")</f>
        <v>انجمن اسلامی دانشجویان</v>
      </c>
      <c r="V412" s="1" t="str">
        <f>IFERROR(__xludf.DUMMYFUNCTION("INDEX(SPLIT(A412, ""/""), 4)"),"دانشجو")</f>
        <v>دانشجو</v>
      </c>
    </row>
    <row r="413">
      <c r="A413" s="1" t="s">
        <v>1380</v>
      </c>
      <c r="B413" s="1" t="s">
        <v>1427</v>
      </c>
      <c r="C413" s="1" t="s">
        <v>21</v>
      </c>
      <c r="D413" s="4" t="s">
        <v>1428</v>
      </c>
      <c r="E413" s="1" t="s">
        <v>750</v>
      </c>
      <c r="F413" s="1" t="s">
        <v>1410</v>
      </c>
      <c r="G413" s="1" t="s">
        <v>1327</v>
      </c>
      <c r="H413" s="1" t="s">
        <v>38</v>
      </c>
      <c r="I413" s="1" t="str">
        <f t="shared" si="1"/>
        <v>x</v>
      </c>
      <c r="J413" s="5"/>
      <c r="K413" s="1" t="str">
        <f t="shared" si="2"/>
        <v>9</v>
      </c>
      <c r="L413" s="5"/>
      <c r="M413" s="2" t="str">
        <f t="shared" si="3"/>
        <v>1399</v>
      </c>
      <c r="N413" s="1">
        <v>3.0</v>
      </c>
      <c r="O413" s="1">
        <v>12.0</v>
      </c>
      <c r="P413" s="5"/>
      <c r="Q413" s="5"/>
      <c r="R413" s="6" t="s">
        <v>39</v>
      </c>
      <c r="S413" s="5"/>
      <c r="T413" s="1" t="str">
        <f>IFERROR(__xludf.DUMMYFUNCTION("INDEX(SPLIT(A413, ""/""), 2)"),"تشکل‌های اسلامی و سیاسی")</f>
        <v>تشکل‌های اسلامی و سیاسی</v>
      </c>
      <c r="U413" s="1" t="str">
        <f>IFERROR(__xludf.DUMMYFUNCTION("INDEX(SPLIT(A413, ""/""), 3)"),"انجمن اسلامی دانشجویان")</f>
        <v>انجمن اسلامی دانشجویان</v>
      </c>
      <c r="V413" s="1" t="str">
        <f>IFERROR(__xludf.DUMMYFUNCTION("INDEX(SPLIT(A413, ""/""), 4)"),"دانشجو")</f>
        <v>دانشجو</v>
      </c>
    </row>
    <row r="414">
      <c r="A414" s="1" t="s">
        <v>1380</v>
      </c>
      <c r="B414" s="1" t="s">
        <v>1429</v>
      </c>
      <c r="C414" s="1" t="s">
        <v>21</v>
      </c>
      <c r="D414" s="4" t="s">
        <v>1430</v>
      </c>
      <c r="E414" s="1" t="s">
        <v>750</v>
      </c>
      <c r="F414" s="1" t="s">
        <v>1410</v>
      </c>
      <c r="G414" s="1" t="s">
        <v>816</v>
      </c>
      <c r="H414" s="1" t="s">
        <v>1335</v>
      </c>
      <c r="I414" s="1" t="str">
        <f t="shared" si="1"/>
        <v>22</v>
      </c>
      <c r="J414" s="5"/>
      <c r="K414" s="1" t="str">
        <f t="shared" si="2"/>
        <v>10</v>
      </c>
      <c r="L414" s="5"/>
      <c r="M414" s="2" t="str">
        <f t="shared" si="3"/>
        <v>1399</v>
      </c>
      <c r="N414" s="1">
        <v>3.0</v>
      </c>
      <c r="O414" s="1">
        <v>13.0</v>
      </c>
      <c r="P414" s="5"/>
      <c r="Q414" s="5"/>
      <c r="R414" s="6" t="s">
        <v>1335</v>
      </c>
      <c r="S414" s="5"/>
      <c r="T414" s="1" t="str">
        <f>IFERROR(__xludf.DUMMYFUNCTION("INDEX(SPLIT(A414, ""/""), 2)"),"تشکل‌های اسلامی و سیاسی")</f>
        <v>تشکل‌های اسلامی و سیاسی</v>
      </c>
      <c r="U414" s="1" t="str">
        <f>IFERROR(__xludf.DUMMYFUNCTION("INDEX(SPLIT(A414, ""/""), 3)"),"انجمن اسلامی دانشجویان")</f>
        <v>انجمن اسلامی دانشجویان</v>
      </c>
      <c r="V414" s="1" t="str">
        <f>IFERROR(__xludf.DUMMYFUNCTION("INDEX(SPLIT(A414, ""/""), 4)"),"دانشجو")</f>
        <v>دانشجو</v>
      </c>
    </row>
    <row r="415">
      <c r="A415" s="1" t="s">
        <v>1380</v>
      </c>
      <c r="B415" s="1" t="s">
        <v>1431</v>
      </c>
      <c r="C415" s="1" t="s">
        <v>21</v>
      </c>
      <c r="D415" s="4" t="s">
        <v>1432</v>
      </c>
      <c r="E415" s="1" t="s">
        <v>750</v>
      </c>
      <c r="F415" s="1" t="s">
        <v>1433</v>
      </c>
      <c r="G415" s="1" t="s">
        <v>1434</v>
      </c>
      <c r="H415" s="1" t="s">
        <v>1435</v>
      </c>
      <c r="I415" s="1" t="str">
        <f t="shared" si="1"/>
        <v>x</v>
      </c>
      <c r="J415" s="5"/>
      <c r="K415" s="1" t="str">
        <f t="shared" si="2"/>
        <v>6</v>
      </c>
      <c r="L415" s="5"/>
      <c r="M415" s="2" t="str">
        <f t="shared" si="3"/>
        <v>1400</v>
      </c>
      <c r="N415" s="1">
        <v>3.0</v>
      </c>
      <c r="O415" s="1">
        <v>14.0</v>
      </c>
      <c r="P415" s="5"/>
      <c r="Q415" s="5"/>
      <c r="R415" s="6" t="s">
        <v>1436</v>
      </c>
      <c r="S415" s="5"/>
      <c r="T415" s="1" t="str">
        <f>IFERROR(__xludf.DUMMYFUNCTION("INDEX(SPLIT(A415, ""/""), 2)"),"تشکل‌های اسلامی و سیاسی")</f>
        <v>تشکل‌های اسلامی و سیاسی</v>
      </c>
      <c r="U415" s="1" t="str">
        <f>IFERROR(__xludf.DUMMYFUNCTION("INDEX(SPLIT(A415, ""/""), 3)"),"انجمن اسلامی دانشجویان")</f>
        <v>انجمن اسلامی دانشجویان</v>
      </c>
      <c r="V415" s="1" t="str">
        <f>IFERROR(__xludf.DUMMYFUNCTION("INDEX(SPLIT(A415, ""/""), 4)"),"دانشجو")</f>
        <v>دانشجو</v>
      </c>
    </row>
    <row r="416">
      <c r="A416" s="1" t="s">
        <v>1380</v>
      </c>
      <c r="B416" s="1" t="s">
        <v>1437</v>
      </c>
      <c r="C416" s="1" t="s">
        <v>21</v>
      </c>
      <c r="D416" s="4" t="s">
        <v>1438</v>
      </c>
      <c r="E416" s="1" t="s">
        <v>750</v>
      </c>
      <c r="F416" s="1" t="s">
        <v>1439</v>
      </c>
      <c r="G416" s="1" t="s">
        <v>1440</v>
      </c>
      <c r="H416" s="1" t="s">
        <v>447</v>
      </c>
      <c r="I416" s="1" t="str">
        <f t="shared" si="1"/>
        <v>x</v>
      </c>
      <c r="J416" s="5"/>
      <c r="K416" s="1" t="str">
        <f t="shared" si="2"/>
        <v>1</v>
      </c>
      <c r="L416" s="5"/>
      <c r="M416" s="2" t="str">
        <f t="shared" si="3"/>
        <v>1402</v>
      </c>
      <c r="N416" s="1">
        <v>3.0</v>
      </c>
      <c r="O416" s="1">
        <v>15.0</v>
      </c>
      <c r="P416" s="5"/>
      <c r="Q416" s="5"/>
      <c r="R416" s="6" t="s">
        <v>448</v>
      </c>
      <c r="S416" s="5"/>
      <c r="T416" s="1" t="str">
        <f>IFERROR(__xludf.DUMMYFUNCTION("INDEX(SPLIT(A416, ""/""), 2)"),"تشکل‌های اسلامی و سیاسی")</f>
        <v>تشکل‌های اسلامی و سیاسی</v>
      </c>
      <c r="U416" s="1" t="str">
        <f>IFERROR(__xludf.DUMMYFUNCTION("INDEX(SPLIT(A416, ""/""), 3)"),"انجمن اسلامی دانشجویان")</f>
        <v>انجمن اسلامی دانشجویان</v>
      </c>
      <c r="V416" s="1" t="str">
        <f>IFERROR(__xludf.DUMMYFUNCTION("INDEX(SPLIT(A416, ""/""), 4)"),"دانشجو")</f>
        <v>دانشجو</v>
      </c>
    </row>
    <row r="417">
      <c r="A417" s="1" t="s">
        <v>1380</v>
      </c>
      <c r="B417" s="1" t="s">
        <v>1441</v>
      </c>
      <c r="C417" s="1" t="s">
        <v>21</v>
      </c>
      <c r="D417" s="4" t="s">
        <v>1442</v>
      </c>
      <c r="E417" s="1" t="s">
        <v>750</v>
      </c>
      <c r="F417" s="1" t="s">
        <v>1439</v>
      </c>
      <c r="G417" s="1" t="s">
        <v>1443</v>
      </c>
      <c r="H417" s="1" t="s">
        <v>458</v>
      </c>
      <c r="I417" s="1" t="str">
        <f t="shared" si="1"/>
        <v>x</v>
      </c>
      <c r="J417" s="5"/>
      <c r="K417" s="1" t="str">
        <f t="shared" si="2"/>
        <v>7</v>
      </c>
      <c r="L417" s="5"/>
      <c r="M417" s="2" t="str">
        <f t="shared" si="3"/>
        <v>1402</v>
      </c>
      <c r="N417" s="1">
        <v>3.0</v>
      </c>
      <c r="O417" s="1">
        <v>16.0</v>
      </c>
      <c r="P417" s="5"/>
      <c r="Q417" s="5"/>
      <c r="R417" s="6" t="s">
        <v>459</v>
      </c>
      <c r="S417" s="5"/>
      <c r="T417" s="1" t="str">
        <f>IFERROR(__xludf.DUMMYFUNCTION("INDEX(SPLIT(A417, ""/""), 2)"),"تشکل‌های اسلامی و سیاسی")</f>
        <v>تشکل‌های اسلامی و سیاسی</v>
      </c>
      <c r="U417" s="1" t="str">
        <f>IFERROR(__xludf.DUMMYFUNCTION("INDEX(SPLIT(A417, ""/""), 3)"),"انجمن اسلامی دانشجویان")</f>
        <v>انجمن اسلامی دانشجویان</v>
      </c>
      <c r="V417" s="1" t="str">
        <f>IFERROR(__xludf.DUMMYFUNCTION("INDEX(SPLIT(A417, ""/""), 4)"),"دانشجو")</f>
        <v>دانشجو</v>
      </c>
    </row>
    <row r="418">
      <c r="A418" s="1" t="s">
        <v>1444</v>
      </c>
      <c r="B418" s="1" t="s">
        <v>1445</v>
      </c>
      <c r="C418" s="1" t="s">
        <v>21</v>
      </c>
      <c r="D418" s="4" t="s">
        <v>1446</v>
      </c>
      <c r="E418" s="1" t="s">
        <v>1447</v>
      </c>
      <c r="F418" s="1" t="s">
        <v>1448</v>
      </c>
      <c r="G418" s="1" t="s">
        <v>71</v>
      </c>
      <c r="H418" s="7" t="s">
        <v>1449</v>
      </c>
      <c r="I418" s="1" t="str">
        <f t="shared" si="1"/>
        <v>5</v>
      </c>
      <c r="J418" s="5"/>
      <c r="K418" s="1" t="str">
        <f t="shared" si="2"/>
        <v>2</v>
      </c>
      <c r="L418" s="5"/>
      <c r="M418" s="2" t="str">
        <f t="shared" si="3"/>
        <v>1379</v>
      </c>
      <c r="N418" s="1">
        <v>1.0</v>
      </c>
      <c r="O418" s="2">
        <v>0.0</v>
      </c>
      <c r="P418" s="5"/>
      <c r="Q418" s="5"/>
      <c r="R418" s="8" t="s">
        <v>1449</v>
      </c>
      <c r="S418" s="5"/>
      <c r="T418" s="1" t="str">
        <f>IFERROR(__xludf.DUMMYFUNCTION("INDEX(SPLIT(A418, ""/""), 2)"),"تشکل‌های اسلامی و سیاسی")</f>
        <v>تشکل‌های اسلامی و سیاسی</v>
      </c>
      <c r="U418" s="1" t="str">
        <f>IFERROR(__xludf.DUMMYFUNCTION("INDEX(SPLIT(A418, ""/""), 3)"),"انجمن اسلامی دانشجویان")</f>
        <v>انجمن اسلامی دانشجویان</v>
      </c>
      <c r="V418" s="1" t="str">
        <f>IFERROR(__xludf.DUMMYFUNCTION("INDEX(SPLIT(A418, ""/""), 4)"),"دانشگاه ما")</f>
        <v>دانشگاه ما</v>
      </c>
    </row>
    <row r="419">
      <c r="A419" s="1" t="s">
        <v>1444</v>
      </c>
      <c r="B419" s="1" t="s">
        <v>1450</v>
      </c>
      <c r="C419" s="1" t="s">
        <v>21</v>
      </c>
      <c r="D419" s="4" t="s">
        <v>1451</v>
      </c>
      <c r="E419" s="1" t="s">
        <v>1447</v>
      </c>
      <c r="F419" s="1" t="s">
        <v>1448</v>
      </c>
      <c r="G419" s="1" t="s">
        <v>71</v>
      </c>
      <c r="H419" s="1" t="s">
        <v>1452</v>
      </c>
      <c r="I419" s="1" t="str">
        <f t="shared" si="1"/>
        <v>19</v>
      </c>
      <c r="J419" s="5"/>
      <c r="K419" s="1" t="str">
        <f t="shared" si="2"/>
        <v>2</v>
      </c>
      <c r="L419" s="5"/>
      <c r="M419" s="2" t="str">
        <f t="shared" si="3"/>
        <v>1379</v>
      </c>
      <c r="N419" s="1">
        <v>1.0</v>
      </c>
      <c r="O419" s="2">
        <v>1.0</v>
      </c>
      <c r="P419" s="5"/>
      <c r="Q419" s="5"/>
      <c r="R419" s="6" t="s">
        <v>1452</v>
      </c>
      <c r="S419" s="5"/>
      <c r="T419" s="1" t="str">
        <f>IFERROR(__xludf.DUMMYFUNCTION("INDEX(SPLIT(A419, ""/""), 2)"),"تشکل‌های اسلامی و سیاسی")</f>
        <v>تشکل‌های اسلامی و سیاسی</v>
      </c>
      <c r="U419" s="1" t="str">
        <f>IFERROR(__xludf.DUMMYFUNCTION("INDEX(SPLIT(A419, ""/""), 3)"),"انجمن اسلامی دانشجویان")</f>
        <v>انجمن اسلامی دانشجویان</v>
      </c>
      <c r="V419" s="1" t="str">
        <f>IFERROR(__xludf.DUMMYFUNCTION("INDEX(SPLIT(A419, ""/""), 4)"),"دانشگاه ما")</f>
        <v>دانشگاه ما</v>
      </c>
    </row>
    <row r="420">
      <c r="A420" s="1" t="s">
        <v>1444</v>
      </c>
      <c r="B420" s="1" t="s">
        <v>1453</v>
      </c>
      <c r="C420" s="1" t="s">
        <v>21</v>
      </c>
      <c r="D420" s="4" t="s">
        <v>1454</v>
      </c>
      <c r="E420" s="1" t="s">
        <v>1447</v>
      </c>
      <c r="F420" s="1" t="s">
        <v>1448</v>
      </c>
      <c r="G420" s="1" t="s">
        <v>71</v>
      </c>
      <c r="H420" s="7" t="s">
        <v>1455</v>
      </c>
      <c r="I420" s="1" t="str">
        <f t="shared" si="1"/>
        <v>9</v>
      </c>
      <c r="J420" s="5"/>
      <c r="K420" s="1" t="str">
        <f t="shared" si="2"/>
        <v>3</v>
      </c>
      <c r="L420" s="5"/>
      <c r="M420" s="2" t="str">
        <f t="shared" si="3"/>
        <v>1379</v>
      </c>
      <c r="N420" s="1">
        <v>1.0</v>
      </c>
      <c r="O420" s="2">
        <v>2.0</v>
      </c>
      <c r="P420" s="5"/>
      <c r="Q420" s="5"/>
      <c r="R420" s="8" t="s">
        <v>1455</v>
      </c>
      <c r="S420" s="5"/>
      <c r="T420" s="1" t="str">
        <f>IFERROR(__xludf.DUMMYFUNCTION("INDEX(SPLIT(A420, ""/""), 2)"),"تشکل‌های اسلامی و سیاسی")</f>
        <v>تشکل‌های اسلامی و سیاسی</v>
      </c>
      <c r="U420" s="1" t="str">
        <f>IFERROR(__xludf.DUMMYFUNCTION("INDEX(SPLIT(A420, ""/""), 3)"),"انجمن اسلامی دانشجویان")</f>
        <v>انجمن اسلامی دانشجویان</v>
      </c>
      <c r="V420" s="1" t="str">
        <f>IFERROR(__xludf.DUMMYFUNCTION("INDEX(SPLIT(A420, ""/""), 4)"),"دانشگاه ما")</f>
        <v>دانشگاه ما</v>
      </c>
    </row>
    <row r="421">
      <c r="A421" s="1" t="s">
        <v>1444</v>
      </c>
      <c r="B421" s="1" t="s">
        <v>1456</v>
      </c>
      <c r="C421" s="1" t="s">
        <v>21</v>
      </c>
      <c r="D421" s="4" t="s">
        <v>1457</v>
      </c>
      <c r="E421" s="1" t="s">
        <v>1447</v>
      </c>
      <c r="F421" s="1" t="s">
        <v>1448</v>
      </c>
      <c r="G421" s="1" t="s">
        <v>71</v>
      </c>
      <c r="H421" s="1" t="s">
        <v>1458</v>
      </c>
      <c r="I421" s="1" t="str">
        <f t="shared" si="1"/>
        <v>18</v>
      </c>
      <c r="J421" s="5"/>
      <c r="K421" s="1" t="str">
        <f t="shared" si="2"/>
        <v>7</v>
      </c>
      <c r="L421" s="5"/>
      <c r="M421" s="2" t="str">
        <f t="shared" si="3"/>
        <v>1379</v>
      </c>
      <c r="N421" s="1">
        <v>1.0</v>
      </c>
      <c r="O421" s="2">
        <v>5.0</v>
      </c>
      <c r="P421" s="5"/>
      <c r="Q421" s="5"/>
      <c r="R421" s="6" t="s">
        <v>1458</v>
      </c>
      <c r="S421" s="5"/>
      <c r="T421" s="1" t="str">
        <f>IFERROR(__xludf.DUMMYFUNCTION("INDEX(SPLIT(A421, ""/""), 2)"),"تشکل‌های اسلامی و سیاسی")</f>
        <v>تشکل‌های اسلامی و سیاسی</v>
      </c>
      <c r="U421" s="1" t="str">
        <f>IFERROR(__xludf.DUMMYFUNCTION("INDEX(SPLIT(A421, ""/""), 3)"),"انجمن اسلامی دانشجویان")</f>
        <v>انجمن اسلامی دانشجویان</v>
      </c>
      <c r="V421" s="1" t="str">
        <f>IFERROR(__xludf.DUMMYFUNCTION("INDEX(SPLIT(A421, ""/""), 4)"),"دانشگاه ما")</f>
        <v>دانشگاه ما</v>
      </c>
    </row>
    <row r="422">
      <c r="A422" s="1" t="s">
        <v>1444</v>
      </c>
      <c r="B422" s="1" t="s">
        <v>1459</v>
      </c>
      <c r="C422" s="1" t="s">
        <v>21</v>
      </c>
      <c r="D422" s="4" t="s">
        <v>1460</v>
      </c>
      <c r="E422" s="1" t="s">
        <v>1447</v>
      </c>
      <c r="F422" s="1" t="s">
        <v>1448</v>
      </c>
      <c r="G422" s="1" t="s">
        <v>71</v>
      </c>
      <c r="H422" s="1" t="s">
        <v>1461</v>
      </c>
      <c r="I422" s="1" t="str">
        <f t="shared" si="1"/>
        <v>23</v>
      </c>
      <c r="J422" s="5"/>
      <c r="K422" s="1" t="str">
        <f t="shared" si="2"/>
        <v>8</v>
      </c>
      <c r="L422" s="5"/>
      <c r="M422" s="2" t="str">
        <f t="shared" si="3"/>
        <v>1379</v>
      </c>
      <c r="N422" s="1">
        <v>1.0</v>
      </c>
      <c r="O422" s="2">
        <v>7.0</v>
      </c>
      <c r="P422" s="5"/>
      <c r="Q422" s="5"/>
      <c r="R422" s="6" t="s">
        <v>1461</v>
      </c>
      <c r="S422" s="5"/>
      <c r="T422" s="1" t="str">
        <f>IFERROR(__xludf.DUMMYFUNCTION("INDEX(SPLIT(A422, ""/""), 2)"),"تشکل‌های اسلامی و سیاسی")</f>
        <v>تشکل‌های اسلامی و سیاسی</v>
      </c>
      <c r="U422" s="1" t="str">
        <f>IFERROR(__xludf.DUMMYFUNCTION("INDEX(SPLIT(A422, ""/""), 3)"),"انجمن اسلامی دانشجویان")</f>
        <v>انجمن اسلامی دانشجویان</v>
      </c>
      <c r="V422" s="1" t="str">
        <f>IFERROR(__xludf.DUMMYFUNCTION("INDEX(SPLIT(A422, ""/""), 4)"),"دانشگاه ما")</f>
        <v>دانشگاه ما</v>
      </c>
    </row>
    <row r="423">
      <c r="A423" s="1" t="s">
        <v>1444</v>
      </c>
      <c r="B423" s="1" t="s">
        <v>1462</v>
      </c>
      <c r="C423" s="1" t="s">
        <v>21</v>
      </c>
      <c r="D423" s="4" t="s">
        <v>1463</v>
      </c>
      <c r="E423" s="1" t="s">
        <v>1447</v>
      </c>
      <c r="F423" s="1" t="s">
        <v>1448</v>
      </c>
      <c r="G423" s="1" t="s">
        <v>71</v>
      </c>
      <c r="H423" s="1" t="s">
        <v>1464</v>
      </c>
      <c r="I423" s="1" t="str">
        <f t="shared" si="1"/>
        <v>13</v>
      </c>
      <c r="J423" s="5"/>
      <c r="K423" s="1" t="str">
        <f t="shared" si="2"/>
        <v>10</v>
      </c>
      <c r="L423" s="5"/>
      <c r="M423" s="2" t="str">
        <f t="shared" si="3"/>
        <v>1379</v>
      </c>
      <c r="N423" s="1">
        <v>1.0</v>
      </c>
      <c r="O423" s="2">
        <v>10.0</v>
      </c>
      <c r="P423" s="5"/>
      <c r="Q423" s="5"/>
      <c r="R423" s="6" t="s">
        <v>1464</v>
      </c>
      <c r="S423" s="5"/>
      <c r="T423" s="1" t="str">
        <f>IFERROR(__xludf.DUMMYFUNCTION("INDEX(SPLIT(A423, ""/""), 2)"),"تشکل‌های اسلامی و سیاسی")</f>
        <v>تشکل‌های اسلامی و سیاسی</v>
      </c>
      <c r="U423" s="1" t="str">
        <f>IFERROR(__xludf.DUMMYFUNCTION("INDEX(SPLIT(A423, ""/""), 3)"),"انجمن اسلامی دانشجویان")</f>
        <v>انجمن اسلامی دانشجویان</v>
      </c>
      <c r="V423" s="1" t="str">
        <f>IFERROR(__xludf.DUMMYFUNCTION("INDEX(SPLIT(A423, ""/""), 4)"),"دانشگاه ما")</f>
        <v>دانشگاه ما</v>
      </c>
    </row>
    <row r="424">
      <c r="A424" s="1" t="s">
        <v>1444</v>
      </c>
      <c r="B424" s="1" t="s">
        <v>1465</v>
      </c>
      <c r="C424" s="1" t="s">
        <v>21</v>
      </c>
      <c r="D424" s="4" t="s">
        <v>1466</v>
      </c>
      <c r="E424" s="1" t="s">
        <v>1447</v>
      </c>
      <c r="F424" s="1" t="s">
        <v>1448</v>
      </c>
      <c r="G424" s="1" t="s">
        <v>71</v>
      </c>
      <c r="H424" s="7" t="s">
        <v>1467</v>
      </c>
      <c r="I424" s="1" t="str">
        <f t="shared" si="1"/>
        <v>12</v>
      </c>
      <c r="J424" s="5"/>
      <c r="K424" s="1" t="str">
        <f t="shared" si="2"/>
        <v>10</v>
      </c>
      <c r="L424" s="5"/>
      <c r="M424" s="2" t="str">
        <f t="shared" si="3"/>
        <v>1379</v>
      </c>
      <c r="N424" s="1">
        <v>1.0</v>
      </c>
      <c r="O424" s="2" t="s">
        <v>1468</v>
      </c>
      <c r="P424" s="5"/>
      <c r="Q424" s="5"/>
      <c r="R424" s="8" t="s">
        <v>1467</v>
      </c>
      <c r="S424" s="5"/>
      <c r="T424" s="1" t="str">
        <f>IFERROR(__xludf.DUMMYFUNCTION("INDEX(SPLIT(A424, ""/""), 2)"),"تشکل‌های اسلامی و سیاسی")</f>
        <v>تشکل‌های اسلامی و سیاسی</v>
      </c>
      <c r="U424" s="1" t="str">
        <f>IFERROR(__xludf.DUMMYFUNCTION("INDEX(SPLIT(A424, ""/""), 3)"),"انجمن اسلامی دانشجویان")</f>
        <v>انجمن اسلامی دانشجویان</v>
      </c>
      <c r="V424" s="1" t="str">
        <f>IFERROR(__xludf.DUMMYFUNCTION("INDEX(SPLIT(A424, ""/""), 4)"),"دانشگاه ما")</f>
        <v>دانشگاه ما</v>
      </c>
    </row>
    <row r="425">
      <c r="A425" s="1" t="s">
        <v>1444</v>
      </c>
      <c r="B425" s="1" t="s">
        <v>1469</v>
      </c>
      <c r="C425" s="1" t="s">
        <v>21</v>
      </c>
      <c r="D425" s="4" t="s">
        <v>1470</v>
      </c>
      <c r="E425" s="1" t="s">
        <v>1471</v>
      </c>
      <c r="F425" s="1" t="s">
        <v>1471</v>
      </c>
      <c r="G425" s="1" t="s">
        <v>71</v>
      </c>
      <c r="H425" s="1" t="s">
        <v>1472</v>
      </c>
      <c r="I425" s="1" t="str">
        <f t="shared" si="1"/>
        <v>26</v>
      </c>
      <c r="J425" s="5"/>
      <c r="K425" s="1" t="str">
        <f t="shared" si="2"/>
        <v>8</v>
      </c>
      <c r="L425" s="5"/>
      <c r="M425" s="2" t="str">
        <f t="shared" si="3"/>
        <v>1382</v>
      </c>
      <c r="N425" s="1">
        <v>2.0</v>
      </c>
      <c r="O425" s="2">
        <v>1.0</v>
      </c>
      <c r="P425" s="5"/>
      <c r="Q425" s="5"/>
      <c r="R425" s="6" t="s">
        <v>1472</v>
      </c>
      <c r="S425" s="5"/>
      <c r="T425" s="1" t="str">
        <f>IFERROR(__xludf.DUMMYFUNCTION("INDEX(SPLIT(A425, ""/""), 2)"),"تشکل‌های اسلامی و سیاسی")</f>
        <v>تشکل‌های اسلامی و سیاسی</v>
      </c>
      <c r="U425" s="1" t="str">
        <f>IFERROR(__xludf.DUMMYFUNCTION("INDEX(SPLIT(A425, ""/""), 3)"),"انجمن اسلامی دانشجویان")</f>
        <v>انجمن اسلامی دانشجویان</v>
      </c>
      <c r="V425" s="1" t="str">
        <f>IFERROR(__xludf.DUMMYFUNCTION("INDEX(SPLIT(A425, ""/""), 4)"),"دانشگاه ما")</f>
        <v>دانشگاه ما</v>
      </c>
    </row>
    <row r="426">
      <c r="A426" s="1" t="s">
        <v>1444</v>
      </c>
      <c r="B426" s="1" t="s">
        <v>1473</v>
      </c>
      <c r="C426" s="1" t="s">
        <v>21</v>
      </c>
      <c r="D426" s="4" t="s">
        <v>1474</v>
      </c>
      <c r="E426" s="1" t="s">
        <v>1471</v>
      </c>
      <c r="F426" s="1" t="s">
        <v>1471</v>
      </c>
      <c r="G426" s="1" t="s">
        <v>71</v>
      </c>
      <c r="H426" s="7" t="s">
        <v>1475</v>
      </c>
      <c r="I426" s="1" t="str">
        <f t="shared" si="1"/>
        <v>8</v>
      </c>
      <c r="J426" s="5"/>
      <c r="K426" s="1" t="str">
        <f t="shared" si="2"/>
        <v>10</v>
      </c>
      <c r="L426" s="5"/>
      <c r="M426" s="2" t="str">
        <f t="shared" si="3"/>
        <v>1382</v>
      </c>
      <c r="N426" s="1">
        <v>2.0</v>
      </c>
      <c r="O426" s="2">
        <v>2.0</v>
      </c>
      <c r="P426" s="5"/>
      <c r="Q426" s="5"/>
      <c r="R426" s="8" t="s">
        <v>1475</v>
      </c>
      <c r="S426" s="5"/>
      <c r="T426" s="1" t="str">
        <f>IFERROR(__xludf.DUMMYFUNCTION("INDEX(SPLIT(A426, ""/""), 2)"),"تشکل‌های اسلامی و سیاسی")</f>
        <v>تشکل‌های اسلامی و سیاسی</v>
      </c>
      <c r="U426" s="1" t="str">
        <f>IFERROR(__xludf.DUMMYFUNCTION("INDEX(SPLIT(A426, ""/""), 3)"),"انجمن اسلامی دانشجویان")</f>
        <v>انجمن اسلامی دانشجویان</v>
      </c>
      <c r="V426" s="1" t="str">
        <f>IFERROR(__xludf.DUMMYFUNCTION("INDEX(SPLIT(A426, ""/""), 4)"),"دانشگاه ما")</f>
        <v>دانشگاه ما</v>
      </c>
    </row>
    <row r="427">
      <c r="A427" s="1" t="s">
        <v>1476</v>
      </c>
      <c r="B427" s="1" t="s">
        <v>1477</v>
      </c>
      <c r="C427" s="1" t="s">
        <v>21</v>
      </c>
      <c r="D427" s="4" t="s">
        <v>1478</v>
      </c>
      <c r="E427" s="1" t="s">
        <v>750</v>
      </c>
      <c r="F427" s="1" t="s">
        <v>1479</v>
      </c>
      <c r="G427" s="1" t="s">
        <v>752</v>
      </c>
      <c r="H427" s="1" t="s">
        <v>270</v>
      </c>
      <c r="I427" s="1" t="str">
        <f t="shared" si="1"/>
        <v>x</v>
      </c>
      <c r="J427" s="5"/>
      <c r="K427" s="1" t="str">
        <f t="shared" si="2"/>
        <v>7</v>
      </c>
      <c r="L427" s="5"/>
      <c r="M427" s="2" t="str">
        <f t="shared" si="3"/>
        <v>1396</v>
      </c>
      <c r="N427" s="5"/>
      <c r="O427" s="1">
        <v>1.0</v>
      </c>
      <c r="P427" s="5"/>
      <c r="Q427" s="5"/>
      <c r="R427" s="6" t="s">
        <v>271</v>
      </c>
      <c r="S427" s="5"/>
      <c r="T427" s="1" t="str">
        <f>IFERROR(__xludf.DUMMYFUNCTION("INDEX(SPLIT(A427, ""/""), 2)"),"تشکل‌های اسلامی و سیاسی")</f>
        <v>تشکل‌های اسلامی و سیاسی</v>
      </c>
      <c r="U427" s="1" t="str">
        <f>IFERROR(__xludf.DUMMYFUNCTION("INDEX(SPLIT(A427, ""/""), 3)"),"انجمن اسلامی دانشجویان")</f>
        <v>انجمن اسلامی دانشجویان</v>
      </c>
      <c r="V427" s="1" t="str">
        <f>IFERROR(__xludf.DUMMYFUNCTION("INDEX(SPLIT(A427, ""/""), 4)"),"فروغ")</f>
        <v>فروغ</v>
      </c>
    </row>
    <row r="428">
      <c r="A428" s="1" t="s">
        <v>1476</v>
      </c>
      <c r="B428" s="1" t="s">
        <v>1480</v>
      </c>
      <c r="C428" s="1" t="s">
        <v>21</v>
      </c>
      <c r="D428" s="4" t="s">
        <v>1481</v>
      </c>
      <c r="E428" s="1" t="s">
        <v>750</v>
      </c>
      <c r="F428" s="1" t="s">
        <v>1479</v>
      </c>
      <c r="G428" s="1" t="s">
        <v>752</v>
      </c>
      <c r="H428" s="1" t="s">
        <v>274</v>
      </c>
      <c r="I428" s="1" t="str">
        <f t="shared" si="1"/>
        <v>x</v>
      </c>
      <c r="J428" s="5"/>
      <c r="K428" s="1" t="str">
        <f t="shared" si="2"/>
        <v>8</v>
      </c>
      <c r="L428" s="5"/>
      <c r="M428" s="2" t="str">
        <f t="shared" si="3"/>
        <v>1396</v>
      </c>
      <c r="N428" s="5"/>
      <c r="O428" s="1">
        <v>2.0</v>
      </c>
      <c r="P428" s="5"/>
      <c r="Q428" s="5"/>
      <c r="R428" s="6" t="s">
        <v>275</v>
      </c>
      <c r="S428" s="5"/>
      <c r="T428" s="1" t="str">
        <f>IFERROR(__xludf.DUMMYFUNCTION("INDEX(SPLIT(A428, ""/""), 2)"),"تشکل‌های اسلامی و سیاسی")</f>
        <v>تشکل‌های اسلامی و سیاسی</v>
      </c>
      <c r="U428" s="1" t="str">
        <f>IFERROR(__xludf.DUMMYFUNCTION("INDEX(SPLIT(A428, ""/""), 3)"),"انجمن اسلامی دانشجویان")</f>
        <v>انجمن اسلامی دانشجویان</v>
      </c>
      <c r="V428" s="1" t="str">
        <f>IFERROR(__xludf.DUMMYFUNCTION("INDEX(SPLIT(A428, ""/""), 4)"),"فروغ")</f>
        <v>فروغ</v>
      </c>
    </row>
    <row r="429">
      <c r="A429" s="1" t="s">
        <v>1476</v>
      </c>
      <c r="B429" s="1" t="s">
        <v>1482</v>
      </c>
      <c r="C429" s="1" t="s">
        <v>21</v>
      </c>
      <c r="D429" s="4" t="s">
        <v>1483</v>
      </c>
      <c r="E429" s="1" t="s">
        <v>750</v>
      </c>
      <c r="F429" s="1" t="s">
        <v>1479</v>
      </c>
      <c r="G429" s="1" t="s">
        <v>752</v>
      </c>
      <c r="H429" s="1" t="s">
        <v>278</v>
      </c>
      <c r="I429" s="1" t="str">
        <f t="shared" si="1"/>
        <v>x</v>
      </c>
      <c r="J429" s="5"/>
      <c r="K429" s="1" t="str">
        <f t="shared" si="2"/>
        <v>9</v>
      </c>
      <c r="L429" s="5"/>
      <c r="M429" s="2" t="str">
        <f t="shared" si="3"/>
        <v>1396</v>
      </c>
      <c r="N429" s="5"/>
      <c r="O429" s="1">
        <v>3.0</v>
      </c>
      <c r="P429" s="5"/>
      <c r="Q429" s="5"/>
      <c r="R429" s="6" t="s">
        <v>279</v>
      </c>
      <c r="S429" s="5"/>
      <c r="T429" s="1" t="str">
        <f>IFERROR(__xludf.DUMMYFUNCTION("INDEX(SPLIT(A429, ""/""), 2)"),"تشکل‌های اسلامی و سیاسی")</f>
        <v>تشکل‌های اسلامی و سیاسی</v>
      </c>
      <c r="U429" s="1" t="str">
        <f>IFERROR(__xludf.DUMMYFUNCTION("INDEX(SPLIT(A429, ""/""), 3)"),"انجمن اسلامی دانشجویان")</f>
        <v>انجمن اسلامی دانشجویان</v>
      </c>
      <c r="V429" s="1" t="str">
        <f>IFERROR(__xludf.DUMMYFUNCTION("INDEX(SPLIT(A429, ""/""), 4)"),"فروغ")</f>
        <v>فروغ</v>
      </c>
    </row>
    <row r="430">
      <c r="A430" s="1" t="s">
        <v>1476</v>
      </c>
      <c r="B430" s="1" t="s">
        <v>1484</v>
      </c>
      <c r="C430" s="1" t="s">
        <v>21</v>
      </c>
      <c r="D430" s="4" t="s">
        <v>1485</v>
      </c>
      <c r="E430" s="1" t="s">
        <v>750</v>
      </c>
      <c r="F430" s="1" t="s">
        <v>1479</v>
      </c>
      <c r="G430" s="1" t="s">
        <v>752</v>
      </c>
      <c r="H430" s="1" t="s">
        <v>287</v>
      </c>
      <c r="I430" s="1" t="str">
        <f t="shared" si="1"/>
        <v>x</v>
      </c>
      <c r="J430" s="5"/>
      <c r="K430" s="1" t="str">
        <f t="shared" si="2"/>
        <v>12</v>
      </c>
      <c r="L430" s="5"/>
      <c r="M430" s="2" t="str">
        <f t="shared" si="3"/>
        <v>1396</v>
      </c>
      <c r="N430" s="5"/>
      <c r="O430" s="1">
        <v>4.0</v>
      </c>
      <c r="P430" s="5"/>
      <c r="Q430" s="5"/>
      <c r="R430" s="6" t="s">
        <v>288</v>
      </c>
      <c r="S430" s="5"/>
      <c r="T430" s="1" t="str">
        <f>IFERROR(__xludf.DUMMYFUNCTION("INDEX(SPLIT(A430, ""/""), 2)"),"تشکل‌های اسلامی و سیاسی")</f>
        <v>تشکل‌های اسلامی و سیاسی</v>
      </c>
      <c r="U430" s="1" t="str">
        <f>IFERROR(__xludf.DUMMYFUNCTION("INDEX(SPLIT(A430, ""/""), 3)"),"انجمن اسلامی دانشجویان")</f>
        <v>انجمن اسلامی دانشجویان</v>
      </c>
      <c r="V430" s="1" t="str">
        <f>IFERROR(__xludf.DUMMYFUNCTION("INDEX(SPLIT(A430, ""/""), 4)"),"فروغ")</f>
        <v>فروغ</v>
      </c>
    </row>
    <row r="431">
      <c r="A431" s="1" t="s">
        <v>1476</v>
      </c>
      <c r="B431" s="1" t="s">
        <v>1486</v>
      </c>
      <c r="C431" s="1" t="s">
        <v>21</v>
      </c>
      <c r="D431" s="4" t="s">
        <v>1487</v>
      </c>
      <c r="E431" s="1" t="s">
        <v>750</v>
      </c>
      <c r="F431" s="1" t="s">
        <v>1488</v>
      </c>
      <c r="G431" s="1" t="s">
        <v>1489</v>
      </c>
      <c r="H431" s="1" t="s">
        <v>313</v>
      </c>
      <c r="I431" s="1" t="str">
        <f t="shared" si="1"/>
        <v>x</v>
      </c>
      <c r="J431" s="5"/>
      <c r="K431" s="1" t="str">
        <f t="shared" si="2"/>
        <v>8</v>
      </c>
      <c r="L431" s="5"/>
      <c r="M431" s="2" t="str">
        <f t="shared" si="3"/>
        <v>1397</v>
      </c>
      <c r="N431" s="5"/>
      <c r="O431" s="1">
        <v>5.0</v>
      </c>
      <c r="P431" s="5"/>
      <c r="Q431" s="5"/>
      <c r="R431" s="6" t="s">
        <v>314</v>
      </c>
      <c r="S431" s="5"/>
      <c r="T431" s="1" t="str">
        <f>IFERROR(__xludf.DUMMYFUNCTION("INDEX(SPLIT(A431, ""/""), 2)"),"تشکل‌های اسلامی و سیاسی")</f>
        <v>تشکل‌های اسلامی و سیاسی</v>
      </c>
      <c r="U431" s="1" t="str">
        <f>IFERROR(__xludf.DUMMYFUNCTION("INDEX(SPLIT(A431, ""/""), 3)"),"انجمن اسلامی دانشجویان")</f>
        <v>انجمن اسلامی دانشجویان</v>
      </c>
      <c r="V431" s="1" t="str">
        <f>IFERROR(__xludf.DUMMYFUNCTION("INDEX(SPLIT(A431, ""/""), 4)"),"فروغ")</f>
        <v>فروغ</v>
      </c>
    </row>
    <row r="432">
      <c r="A432" s="1" t="s">
        <v>1476</v>
      </c>
      <c r="B432" s="1" t="s">
        <v>1490</v>
      </c>
      <c r="C432" s="1" t="s">
        <v>21</v>
      </c>
      <c r="D432" s="4" t="s">
        <v>1491</v>
      </c>
      <c r="E432" s="1" t="s">
        <v>750</v>
      </c>
      <c r="F432" s="1" t="s">
        <v>1488</v>
      </c>
      <c r="G432" s="1" t="s">
        <v>1489</v>
      </c>
      <c r="H432" s="1" t="s">
        <v>1297</v>
      </c>
      <c r="I432" s="1" t="str">
        <f t="shared" si="1"/>
        <v>30</v>
      </c>
      <c r="J432" s="5"/>
      <c r="K432" s="1" t="str">
        <f t="shared" si="2"/>
        <v>11</v>
      </c>
      <c r="L432" s="5"/>
      <c r="M432" s="2" t="str">
        <f t="shared" si="3"/>
        <v>1397</v>
      </c>
      <c r="N432" s="5"/>
      <c r="O432" s="1">
        <v>6.0</v>
      </c>
      <c r="P432" s="5"/>
      <c r="Q432" s="5"/>
      <c r="R432" s="6" t="s">
        <v>1297</v>
      </c>
      <c r="S432" s="5"/>
      <c r="T432" s="1" t="str">
        <f>IFERROR(__xludf.DUMMYFUNCTION("INDEX(SPLIT(A432, ""/""), 2)"),"تشکل‌های اسلامی و سیاسی")</f>
        <v>تشکل‌های اسلامی و سیاسی</v>
      </c>
      <c r="U432" s="1" t="str">
        <f>IFERROR(__xludf.DUMMYFUNCTION("INDEX(SPLIT(A432, ""/""), 3)"),"انجمن اسلامی دانشجویان")</f>
        <v>انجمن اسلامی دانشجویان</v>
      </c>
      <c r="V432" s="1" t="str">
        <f>IFERROR(__xludf.DUMMYFUNCTION("INDEX(SPLIT(A432, ""/""), 4)"),"فروغ")</f>
        <v>فروغ</v>
      </c>
    </row>
    <row r="433">
      <c r="A433" s="1" t="s">
        <v>1476</v>
      </c>
      <c r="B433" s="1" t="s">
        <v>1492</v>
      </c>
      <c r="C433" s="1" t="s">
        <v>21</v>
      </c>
      <c r="D433" s="4" t="s">
        <v>1493</v>
      </c>
      <c r="E433" s="1" t="s">
        <v>750</v>
      </c>
      <c r="F433" s="1" t="s">
        <v>1489</v>
      </c>
      <c r="G433" s="1" t="s">
        <v>752</v>
      </c>
      <c r="H433" s="1" t="s">
        <v>1300</v>
      </c>
      <c r="I433" s="1" t="str">
        <f t="shared" si="1"/>
        <v>21</v>
      </c>
      <c r="J433" s="5"/>
      <c r="K433" s="1" t="str">
        <f t="shared" si="2"/>
        <v>12</v>
      </c>
      <c r="L433" s="5"/>
      <c r="M433" s="2" t="str">
        <f t="shared" si="3"/>
        <v>1397</v>
      </c>
      <c r="N433" s="5"/>
      <c r="O433" s="1">
        <v>7.0</v>
      </c>
      <c r="P433" s="5"/>
      <c r="Q433" s="5"/>
      <c r="R433" s="6" t="s">
        <v>1300</v>
      </c>
      <c r="S433" s="5"/>
      <c r="T433" s="1" t="str">
        <f>IFERROR(__xludf.DUMMYFUNCTION("INDEX(SPLIT(A433, ""/""), 2)"),"تشکل‌های اسلامی و سیاسی")</f>
        <v>تشکل‌های اسلامی و سیاسی</v>
      </c>
      <c r="U433" s="1" t="str">
        <f>IFERROR(__xludf.DUMMYFUNCTION("INDEX(SPLIT(A433, ""/""), 3)"),"انجمن اسلامی دانشجویان")</f>
        <v>انجمن اسلامی دانشجویان</v>
      </c>
      <c r="V433" s="1" t="str">
        <f>IFERROR(__xludf.DUMMYFUNCTION("INDEX(SPLIT(A433, ""/""), 4)"),"فروغ")</f>
        <v>فروغ</v>
      </c>
    </row>
    <row r="434">
      <c r="A434" s="1" t="s">
        <v>1476</v>
      </c>
      <c r="B434" s="1" t="s">
        <v>1494</v>
      </c>
      <c r="C434" s="1" t="s">
        <v>21</v>
      </c>
      <c r="D434" s="4" t="s">
        <v>1495</v>
      </c>
      <c r="E434" s="1" t="s">
        <v>750</v>
      </c>
      <c r="F434" s="1" t="s">
        <v>1489</v>
      </c>
      <c r="G434" s="1" t="s">
        <v>752</v>
      </c>
      <c r="H434" s="7" t="s">
        <v>1496</v>
      </c>
      <c r="I434" s="1" t="str">
        <f t="shared" si="1"/>
        <v>8</v>
      </c>
      <c r="J434" s="5"/>
      <c r="K434" s="1" t="str">
        <f t="shared" si="2"/>
        <v>2</v>
      </c>
      <c r="L434" s="5"/>
      <c r="M434" s="2" t="str">
        <f t="shared" si="3"/>
        <v>1398</v>
      </c>
      <c r="N434" s="5"/>
      <c r="O434" s="1">
        <v>8.0</v>
      </c>
      <c r="P434" s="5"/>
      <c r="Q434" s="5"/>
      <c r="R434" s="8" t="s">
        <v>1496</v>
      </c>
      <c r="S434" s="5"/>
      <c r="T434" s="1" t="str">
        <f>IFERROR(__xludf.DUMMYFUNCTION("INDEX(SPLIT(A434, ""/""), 2)"),"تشکل‌های اسلامی و سیاسی")</f>
        <v>تشکل‌های اسلامی و سیاسی</v>
      </c>
      <c r="U434" s="1" t="str">
        <f>IFERROR(__xludf.DUMMYFUNCTION("INDEX(SPLIT(A434, ""/""), 3)"),"انجمن اسلامی دانشجویان")</f>
        <v>انجمن اسلامی دانشجویان</v>
      </c>
      <c r="V434" s="1" t="str">
        <f>IFERROR(__xludf.DUMMYFUNCTION("INDEX(SPLIT(A434, ""/""), 4)"),"فروغ")</f>
        <v>فروغ</v>
      </c>
    </row>
    <row r="435">
      <c r="A435" s="1" t="s">
        <v>1476</v>
      </c>
      <c r="B435" s="1" t="s">
        <v>1497</v>
      </c>
      <c r="C435" s="1" t="s">
        <v>21</v>
      </c>
      <c r="D435" s="4" t="s">
        <v>1498</v>
      </c>
      <c r="E435" s="1" t="s">
        <v>750</v>
      </c>
      <c r="F435" s="1" t="s">
        <v>1489</v>
      </c>
      <c r="G435" s="1" t="s">
        <v>752</v>
      </c>
      <c r="H435" s="7" t="s">
        <v>1499</v>
      </c>
      <c r="I435" s="1" t="str">
        <f t="shared" si="1"/>
        <v>4</v>
      </c>
      <c r="J435" s="5"/>
      <c r="K435" s="1" t="str">
        <f t="shared" si="2"/>
        <v>3</v>
      </c>
      <c r="L435" s="5"/>
      <c r="M435" s="2" t="str">
        <f t="shared" si="3"/>
        <v>1398</v>
      </c>
      <c r="N435" s="5"/>
      <c r="O435" s="1">
        <v>9.0</v>
      </c>
      <c r="P435" s="5"/>
      <c r="Q435" s="5"/>
      <c r="R435" s="8" t="s">
        <v>1499</v>
      </c>
      <c r="S435" s="5"/>
      <c r="T435" s="1" t="str">
        <f>IFERROR(__xludf.DUMMYFUNCTION("INDEX(SPLIT(A435, ""/""), 2)"),"تشکل‌های اسلامی و سیاسی")</f>
        <v>تشکل‌های اسلامی و سیاسی</v>
      </c>
      <c r="U435" s="1" t="str">
        <f>IFERROR(__xludf.DUMMYFUNCTION("INDEX(SPLIT(A435, ""/""), 3)"),"انجمن اسلامی دانشجویان")</f>
        <v>انجمن اسلامی دانشجویان</v>
      </c>
      <c r="V435" s="1" t="str">
        <f>IFERROR(__xludf.DUMMYFUNCTION("INDEX(SPLIT(A435, ""/""), 4)"),"فروغ")</f>
        <v>فروغ</v>
      </c>
    </row>
    <row r="436">
      <c r="A436" s="1" t="s">
        <v>1476</v>
      </c>
      <c r="B436" s="1" t="s">
        <v>1500</v>
      </c>
      <c r="C436" s="1" t="s">
        <v>21</v>
      </c>
      <c r="D436" s="4" t="s">
        <v>1501</v>
      </c>
      <c r="E436" s="1" t="s">
        <v>750</v>
      </c>
      <c r="F436" s="1" t="s">
        <v>1489</v>
      </c>
      <c r="G436" s="1" t="s">
        <v>752</v>
      </c>
      <c r="H436" s="1" t="s">
        <v>1502</v>
      </c>
      <c r="I436" s="1" t="str">
        <f t="shared" si="1"/>
        <v>21</v>
      </c>
      <c r="J436" s="5"/>
      <c r="K436" s="1" t="str">
        <f t="shared" si="2"/>
        <v>7</v>
      </c>
      <c r="L436" s="5"/>
      <c r="M436" s="2" t="str">
        <f t="shared" si="3"/>
        <v>1398</v>
      </c>
      <c r="N436" s="5"/>
      <c r="O436" s="1">
        <v>10.0</v>
      </c>
      <c r="P436" s="5"/>
      <c r="Q436" s="5"/>
      <c r="R436" s="6" t="s">
        <v>1502</v>
      </c>
      <c r="S436" s="5"/>
      <c r="T436" s="1" t="str">
        <f>IFERROR(__xludf.DUMMYFUNCTION("INDEX(SPLIT(A436, ""/""), 2)"),"تشکل‌های اسلامی و سیاسی")</f>
        <v>تشکل‌های اسلامی و سیاسی</v>
      </c>
      <c r="U436" s="1" t="str">
        <f>IFERROR(__xludf.DUMMYFUNCTION("INDEX(SPLIT(A436, ""/""), 3)"),"انجمن اسلامی دانشجویان")</f>
        <v>انجمن اسلامی دانشجویان</v>
      </c>
      <c r="V436" s="1" t="str">
        <f>IFERROR(__xludf.DUMMYFUNCTION("INDEX(SPLIT(A436, ""/""), 4)"),"فروغ")</f>
        <v>فروغ</v>
      </c>
    </row>
    <row r="437">
      <c r="A437" s="1" t="s">
        <v>1476</v>
      </c>
      <c r="B437" s="1" t="s">
        <v>1503</v>
      </c>
      <c r="C437" s="1" t="s">
        <v>21</v>
      </c>
      <c r="D437" s="4" t="s">
        <v>1504</v>
      </c>
      <c r="E437" s="1" t="s">
        <v>750</v>
      </c>
      <c r="F437" s="1" t="s">
        <v>1489</v>
      </c>
      <c r="G437" s="1" t="s">
        <v>752</v>
      </c>
      <c r="H437" s="1" t="s">
        <v>1505</v>
      </c>
      <c r="I437" s="1" t="str">
        <f t="shared" si="1"/>
        <v>30</v>
      </c>
      <c r="J437" s="5"/>
      <c r="K437" s="1" t="str">
        <f t="shared" si="2"/>
        <v>9</v>
      </c>
      <c r="L437" s="5"/>
      <c r="M437" s="2" t="str">
        <f t="shared" si="3"/>
        <v>1398</v>
      </c>
      <c r="N437" s="5"/>
      <c r="O437" s="1">
        <v>11.0</v>
      </c>
      <c r="P437" s="5"/>
      <c r="Q437" s="5"/>
      <c r="R437" s="6" t="s">
        <v>1505</v>
      </c>
      <c r="S437" s="5"/>
      <c r="T437" s="1" t="str">
        <f>IFERROR(__xludf.DUMMYFUNCTION("INDEX(SPLIT(A437, ""/""), 2)"),"تشکل‌های اسلامی و سیاسی")</f>
        <v>تشکل‌های اسلامی و سیاسی</v>
      </c>
      <c r="U437" s="1" t="str">
        <f>IFERROR(__xludf.DUMMYFUNCTION("INDEX(SPLIT(A437, ""/""), 3)"),"انجمن اسلامی دانشجویان")</f>
        <v>انجمن اسلامی دانشجویان</v>
      </c>
      <c r="V437" s="1" t="str">
        <f>IFERROR(__xludf.DUMMYFUNCTION("INDEX(SPLIT(A437, ""/""), 4)"),"فروغ")</f>
        <v>فروغ</v>
      </c>
    </row>
    <row r="438">
      <c r="A438" s="1" t="s">
        <v>1476</v>
      </c>
      <c r="B438" s="1" t="s">
        <v>1506</v>
      </c>
      <c r="C438" s="1" t="s">
        <v>21</v>
      </c>
      <c r="D438" s="4" t="s">
        <v>1507</v>
      </c>
      <c r="E438" s="1" t="s">
        <v>750</v>
      </c>
      <c r="F438" s="1" t="s">
        <v>1294</v>
      </c>
      <c r="G438" s="1" t="s">
        <v>1489</v>
      </c>
      <c r="H438" s="1" t="s">
        <v>1508</v>
      </c>
      <c r="I438" s="1" t="str">
        <f t="shared" si="1"/>
        <v>27</v>
      </c>
      <c r="J438" s="5"/>
      <c r="K438" s="1" t="str">
        <f t="shared" si="2"/>
        <v>11</v>
      </c>
      <c r="L438" s="5"/>
      <c r="M438" s="2" t="str">
        <f t="shared" si="3"/>
        <v>1398</v>
      </c>
      <c r="N438" s="5"/>
      <c r="O438" s="1">
        <v>12.0</v>
      </c>
      <c r="P438" s="5"/>
      <c r="Q438" s="5"/>
      <c r="R438" s="6" t="s">
        <v>1508</v>
      </c>
      <c r="S438" s="5"/>
      <c r="T438" s="1" t="str">
        <f>IFERROR(__xludf.DUMMYFUNCTION("INDEX(SPLIT(A438, ""/""), 2)"),"تشکل‌های اسلامی و سیاسی")</f>
        <v>تشکل‌های اسلامی و سیاسی</v>
      </c>
      <c r="U438" s="1" t="str">
        <f>IFERROR(__xludf.DUMMYFUNCTION("INDEX(SPLIT(A438, ""/""), 3)"),"انجمن اسلامی دانشجویان")</f>
        <v>انجمن اسلامی دانشجویان</v>
      </c>
      <c r="V438" s="1" t="str">
        <f>IFERROR(__xludf.DUMMYFUNCTION("INDEX(SPLIT(A438, ""/""), 4)"),"فروغ")</f>
        <v>فروغ</v>
      </c>
    </row>
    <row r="439">
      <c r="A439" s="1" t="s">
        <v>1476</v>
      </c>
      <c r="B439" s="1" t="s">
        <v>1509</v>
      </c>
      <c r="C439" s="1" t="s">
        <v>21</v>
      </c>
      <c r="D439" s="4" t="s">
        <v>1510</v>
      </c>
      <c r="E439" s="1" t="s">
        <v>750</v>
      </c>
      <c r="F439" s="1" t="s">
        <v>1294</v>
      </c>
      <c r="G439" s="1" t="s">
        <v>1489</v>
      </c>
      <c r="H439" s="1" t="s">
        <v>1511</v>
      </c>
      <c r="I439" s="1" t="str">
        <f t="shared" si="1"/>
        <v>18</v>
      </c>
      <c r="J439" s="5"/>
      <c r="K439" s="1" t="str">
        <f t="shared" si="2"/>
        <v>12</v>
      </c>
      <c r="L439" s="5"/>
      <c r="M439" s="2" t="str">
        <f t="shared" si="3"/>
        <v>1398</v>
      </c>
      <c r="N439" s="5"/>
      <c r="O439" s="1">
        <v>13.0</v>
      </c>
      <c r="P439" s="5"/>
      <c r="Q439" s="5"/>
      <c r="R439" s="6" t="s">
        <v>1511</v>
      </c>
      <c r="S439" s="5"/>
      <c r="T439" s="1" t="str">
        <f>IFERROR(__xludf.DUMMYFUNCTION("INDEX(SPLIT(A439, ""/""), 2)"),"تشکل‌های اسلامی و سیاسی")</f>
        <v>تشکل‌های اسلامی و سیاسی</v>
      </c>
      <c r="U439" s="1" t="str">
        <f>IFERROR(__xludf.DUMMYFUNCTION("INDEX(SPLIT(A439, ""/""), 3)"),"انجمن اسلامی دانشجویان")</f>
        <v>انجمن اسلامی دانشجویان</v>
      </c>
      <c r="V439" s="1" t="str">
        <f>IFERROR(__xludf.DUMMYFUNCTION("INDEX(SPLIT(A439, ""/""), 4)"),"فروغ")</f>
        <v>فروغ</v>
      </c>
    </row>
    <row r="440">
      <c r="A440" s="1" t="s">
        <v>1476</v>
      </c>
      <c r="B440" s="1" t="s">
        <v>1512</v>
      </c>
      <c r="C440" s="1" t="s">
        <v>21</v>
      </c>
      <c r="D440" s="4" t="s">
        <v>1513</v>
      </c>
      <c r="E440" s="1" t="s">
        <v>750</v>
      </c>
      <c r="F440" s="1" t="s">
        <v>1294</v>
      </c>
      <c r="G440" s="1" t="s">
        <v>1489</v>
      </c>
      <c r="H440" s="1" t="s">
        <v>371</v>
      </c>
      <c r="I440" s="1" t="str">
        <f t="shared" si="1"/>
        <v>x</v>
      </c>
      <c r="J440" s="5"/>
      <c r="K440" s="1" t="str">
        <f t="shared" si="2"/>
        <v>2</v>
      </c>
      <c r="L440" s="5"/>
      <c r="M440" s="2" t="str">
        <f t="shared" si="3"/>
        <v>1399</v>
      </c>
      <c r="N440" s="5"/>
      <c r="O440" s="1">
        <v>14.0</v>
      </c>
      <c r="P440" s="5"/>
      <c r="Q440" s="5"/>
      <c r="R440" s="6" t="s">
        <v>372</v>
      </c>
      <c r="S440" s="5"/>
      <c r="T440" s="1" t="str">
        <f>IFERROR(__xludf.DUMMYFUNCTION("INDEX(SPLIT(A440, ""/""), 2)"),"تشکل‌های اسلامی و سیاسی")</f>
        <v>تشکل‌های اسلامی و سیاسی</v>
      </c>
      <c r="U440" s="1" t="str">
        <f>IFERROR(__xludf.DUMMYFUNCTION("INDEX(SPLIT(A440, ""/""), 3)"),"انجمن اسلامی دانشجویان")</f>
        <v>انجمن اسلامی دانشجویان</v>
      </c>
      <c r="V440" s="1" t="str">
        <f>IFERROR(__xludf.DUMMYFUNCTION("INDEX(SPLIT(A440, ""/""), 4)"),"فروغ")</f>
        <v>فروغ</v>
      </c>
    </row>
    <row r="441">
      <c r="A441" s="1" t="s">
        <v>1476</v>
      </c>
      <c r="B441" s="1" t="s">
        <v>1514</v>
      </c>
      <c r="C441" s="1" t="s">
        <v>21</v>
      </c>
      <c r="D441" s="4" t="s">
        <v>1515</v>
      </c>
      <c r="E441" s="1" t="s">
        <v>750</v>
      </c>
      <c r="F441" s="1" t="s">
        <v>1294</v>
      </c>
      <c r="G441" s="1" t="s">
        <v>1489</v>
      </c>
      <c r="H441" s="1" t="s">
        <v>52</v>
      </c>
      <c r="I441" s="1" t="str">
        <f t="shared" si="1"/>
        <v>x</v>
      </c>
      <c r="J441" s="5"/>
      <c r="K441" s="1" t="str">
        <f t="shared" si="2"/>
        <v>1</v>
      </c>
      <c r="L441" s="5"/>
      <c r="M441" s="2" t="str">
        <f t="shared" si="3"/>
        <v>1400</v>
      </c>
      <c r="N441" s="5"/>
      <c r="O441" s="1">
        <v>15.0</v>
      </c>
      <c r="P441" s="5"/>
      <c r="Q441" s="5"/>
      <c r="R441" s="6" t="s">
        <v>54</v>
      </c>
      <c r="S441" s="5"/>
      <c r="T441" s="1" t="str">
        <f>IFERROR(__xludf.DUMMYFUNCTION("INDEX(SPLIT(A441, ""/""), 2)"),"تشکل‌های اسلامی و سیاسی")</f>
        <v>تشکل‌های اسلامی و سیاسی</v>
      </c>
      <c r="U441" s="1" t="str">
        <f>IFERROR(__xludf.DUMMYFUNCTION("INDEX(SPLIT(A441, ""/""), 3)"),"انجمن اسلامی دانشجویان")</f>
        <v>انجمن اسلامی دانشجویان</v>
      </c>
      <c r="V441" s="1" t="str">
        <f>IFERROR(__xludf.DUMMYFUNCTION("INDEX(SPLIT(A441, ""/""), 4)"),"فروغ")</f>
        <v>فروغ</v>
      </c>
    </row>
    <row r="442">
      <c r="A442" s="1" t="s">
        <v>1476</v>
      </c>
      <c r="B442" s="1" t="s">
        <v>1516</v>
      </c>
      <c r="C442" s="1" t="s">
        <v>21</v>
      </c>
      <c r="D442" s="4" t="s">
        <v>1517</v>
      </c>
      <c r="E442" s="1" t="s">
        <v>750</v>
      </c>
      <c r="F442" s="1" t="s">
        <v>1518</v>
      </c>
      <c r="G442" s="1" t="s">
        <v>1489</v>
      </c>
      <c r="H442" s="1" t="s">
        <v>133</v>
      </c>
      <c r="I442" s="1" t="str">
        <f t="shared" si="1"/>
        <v>x</v>
      </c>
      <c r="J442" s="5"/>
      <c r="K442" s="1" t="str">
        <f t="shared" si="2"/>
        <v>5</v>
      </c>
      <c r="L442" s="5"/>
      <c r="M442" s="2" t="str">
        <f t="shared" si="3"/>
        <v>1400</v>
      </c>
      <c r="N442" s="5"/>
      <c r="O442" s="1">
        <v>16.0</v>
      </c>
      <c r="P442" s="5"/>
      <c r="Q442" s="5"/>
      <c r="R442" s="6" t="s">
        <v>134</v>
      </c>
      <c r="S442" s="5"/>
      <c r="T442" s="1" t="str">
        <f>IFERROR(__xludf.DUMMYFUNCTION("INDEX(SPLIT(A442, ""/""), 2)"),"تشکل‌های اسلامی و سیاسی")</f>
        <v>تشکل‌های اسلامی و سیاسی</v>
      </c>
      <c r="U442" s="1" t="str">
        <f>IFERROR(__xludf.DUMMYFUNCTION("INDEX(SPLIT(A442, ""/""), 3)"),"انجمن اسلامی دانشجویان")</f>
        <v>انجمن اسلامی دانشجویان</v>
      </c>
      <c r="V442" s="1" t="str">
        <f>IFERROR(__xludf.DUMMYFUNCTION("INDEX(SPLIT(A442, ""/""), 4)"),"فروغ")</f>
        <v>فروغ</v>
      </c>
    </row>
    <row r="443">
      <c r="A443" s="1" t="s">
        <v>1476</v>
      </c>
      <c r="B443" s="1" t="s">
        <v>1519</v>
      </c>
      <c r="C443" s="1" t="s">
        <v>21</v>
      </c>
      <c r="D443" s="4" t="s">
        <v>1520</v>
      </c>
      <c r="E443" s="1" t="s">
        <v>750</v>
      </c>
      <c r="F443" s="1" t="s">
        <v>1521</v>
      </c>
      <c r="G443" s="1" t="s">
        <v>1489</v>
      </c>
      <c r="H443" s="1" t="s">
        <v>418</v>
      </c>
      <c r="I443" s="1" t="str">
        <f t="shared" si="1"/>
        <v>x</v>
      </c>
      <c r="J443" s="5"/>
      <c r="K443" s="1" t="str">
        <f t="shared" si="2"/>
        <v>11</v>
      </c>
      <c r="L443" s="5"/>
      <c r="M443" s="2" t="str">
        <f t="shared" si="3"/>
        <v>1400</v>
      </c>
      <c r="N443" s="5"/>
      <c r="O443" s="1">
        <v>17.0</v>
      </c>
      <c r="P443" s="5"/>
      <c r="Q443" s="5"/>
      <c r="R443" s="6" t="s">
        <v>419</v>
      </c>
      <c r="S443" s="5"/>
      <c r="T443" s="1" t="str">
        <f>IFERROR(__xludf.DUMMYFUNCTION("INDEX(SPLIT(A443, ""/""), 2)"),"تشکل‌های اسلامی و سیاسی")</f>
        <v>تشکل‌های اسلامی و سیاسی</v>
      </c>
      <c r="U443" s="1" t="str">
        <f>IFERROR(__xludf.DUMMYFUNCTION("INDEX(SPLIT(A443, ""/""), 3)"),"انجمن اسلامی دانشجویان")</f>
        <v>انجمن اسلامی دانشجویان</v>
      </c>
      <c r="V443" s="1" t="str">
        <f>IFERROR(__xludf.DUMMYFUNCTION("INDEX(SPLIT(A443, ""/""), 4)"),"فروغ")</f>
        <v>فروغ</v>
      </c>
    </row>
    <row r="444">
      <c r="A444" s="1" t="s">
        <v>1476</v>
      </c>
      <c r="B444" s="1" t="s">
        <v>1522</v>
      </c>
      <c r="C444" s="1" t="s">
        <v>21</v>
      </c>
      <c r="D444" s="4" t="s">
        <v>1523</v>
      </c>
      <c r="E444" s="1" t="s">
        <v>750</v>
      </c>
      <c r="F444" s="1" t="s">
        <v>1521</v>
      </c>
      <c r="G444" s="1" t="s">
        <v>1524</v>
      </c>
      <c r="H444" s="1" t="s">
        <v>1525</v>
      </c>
      <c r="I444" s="1" t="str">
        <f t="shared" si="1"/>
        <v>x</v>
      </c>
      <c r="J444" s="5"/>
      <c r="K444" s="1" t="str">
        <f t="shared" si="2"/>
        <v>2</v>
      </c>
      <c r="L444" s="5"/>
      <c r="M444" s="2" t="str">
        <f t="shared" si="3"/>
        <v>1402</v>
      </c>
      <c r="N444" s="5"/>
      <c r="O444" s="1">
        <v>18.0</v>
      </c>
      <c r="P444" s="5"/>
      <c r="Q444" s="5"/>
      <c r="R444" s="6" t="s">
        <v>1526</v>
      </c>
      <c r="S444" s="5"/>
      <c r="T444" s="1" t="str">
        <f>IFERROR(__xludf.DUMMYFUNCTION("INDEX(SPLIT(A444, ""/""), 2)"),"تشکل‌های اسلامی و سیاسی")</f>
        <v>تشکل‌های اسلامی و سیاسی</v>
      </c>
      <c r="U444" s="1" t="str">
        <f>IFERROR(__xludf.DUMMYFUNCTION("INDEX(SPLIT(A444, ""/""), 3)"),"انجمن اسلامی دانشجویان")</f>
        <v>انجمن اسلامی دانشجویان</v>
      </c>
      <c r="V444" s="1" t="str">
        <f>IFERROR(__xludf.DUMMYFUNCTION("INDEX(SPLIT(A444, ""/""), 4)"),"فروغ")</f>
        <v>فروغ</v>
      </c>
    </row>
    <row r="445">
      <c r="A445" s="1" t="s">
        <v>1476</v>
      </c>
      <c r="B445" s="1" t="s">
        <v>1527</v>
      </c>
      <c r="C445" s="1" t="s">
        <v>21</v>
      </c>
      <c r="D445" s="4" t="s">
        <v>1528</v>
      </c>
      <c r="E445" s="1" t="s">
        <v>750</v>
      </c>
      <c r="F445" s="1" t="s">
        <v>1529</v>
      </c>
      <c r="G445" s="1" t="s">
        <v>1524</v>
      </c>
      <c r="H445" s="1" t="s">
        <v>1530</v>
      </c>
      <c r="I445" s="1" t="str">
        <f t="shared" si="1"/>
        <v>x</v>
      </c>
      <c r="J445" s="5"/>
      <c r="K445" s="1" t="str">
        <f t="shared" si="2"/>
        <v>6</v>
      </c>
      <c r="L445" s="5"/>
      <c r="M445" s="2" t="str">
        <f t="shared" si="3"/>
        <v>1402</v>
      </c>
      <c r="N445" s="5"/>
      <c r="O445" s="1">
        <v>19.0</v>
      </c>
      <c r="P445" s="5"/>
      <c r="Q445" s="5"/>
      <c r="R445" s="6" t="s">
        <v>1531</v>
      </c>
      <c r="S445" s="5"/>
      <c r="T445" s="1" t="str">
        <f>IFERROR(__xludf.DUMMYFUNCTION("INDEX(SPLIT(A445, ""/""), 2)"),"تشکل‌های اسلامی و سیاسی")</f>
        <v>تشکل‌های اسلامی و سیاسی</v>
      </c>
      <c r="U445" s="1" t="str">
        <f>IFERROR(__xludf.DUMMYFUNCTION("INDEX(SPLIT(A445, ""/""), 3)"),"انجمن اسلامی دانشجویان")</f>
        <v>انجمن اسلامی دانشجویان</v>
      </c>
      <c r="V445" s="1" t="str">
        <f>IFERROR(__xludf.DUMMYFUNCTION("INDEX(SPLIT(A445, ""/""), 4)"),"فروغ")</f>
        <v>فروغ</v>
      </c>
    </row>
    <row r="446">
      <c r="A446" s="1" t="s">
        <v>1532</v>
      </c>
      <c r="B446" s="1" t="s">
        <v>1533</v>
      </c>
      <c r="C446" s="1" t="s">
        <v>21</v>
      </c>
      <c r="D446" s="4" t="s">
        <v>1534</v>
      </c>
      <c r="E446" s="1" t="s">
        <v>1535</v>
      </c>
      <c r="F446" s="1" t="s">
        <v>1535</v>
      </c>
      <c r="G446" s="1" t="s">
        <v>1535</v>
      </c>
      <c r="H446" s="1" t="s">
        <v>1536</v>
      </c>
      <c r="I446" s="1" t="str">
        <f t="shared" si="1"/>
        <v>30</v>
      </c>
      <c r="J446" s="5"/>
      <c r="K446" s="1" t="str">
        <f t="shared" si="2"/>
        <v>7</v>
      </c>
      <c r="L446" s="5"/>
      <c r="M446" s="2" t="str">
        <f t="shared" si="3"/>
        <v>1387</v>
      </c>
      <c r="N446" s="5"/>
      <c r="O446" s="2">
        <v>1.0</v>
      </c>
      <c r="P446" s="5"/>
      <c r="Q446" s="5"/>
      <c r="R446" s="6" t="s">
        <v>1536</v>
      </c>
      <c r="S446" s="5"/>
      <c r="T446" s="1" t="str">
        <f>IFERROR(__xludf.DUMMYFUNCTION("INDEX(SPLIT(A446, ""/""), 2)"),"تشکل‌های اسلامی و سیاسی")</f>
        <v>تشکل‌های اسلامی و سیاسی</v>
      </c>
      <c r="U446" s="1" t="str">
        <f>IFERROR(__xludf.DUMMYFUNCTION("INDEX(SPLIT(A446, ""/""), 3)"),"انجمن اسلامی دانشجویان")</f>
        <v>انجمن اسلامی دانشجویان</v>
      </c>
      <c r="V446" s="1" t="str">
        <f>IFERROR(__xludf.DUMMYFUNCTION("INDEX(SPLIT(A446, ""/""), 4)"),"کاغذ اخبار")</f>
        <v>کاغذ اخبار</v>
      </c>
    </row>
    <row r="447">
      <c r="A447" s="1" t="s">
        <v>1532</v>
      </c>
      <c r="B447" s="1" t="s">
        <v>1537</v>
      </c>
      <c r="C447" s="1" t="s">
        <v>21</v>
      </c>
      <c r="D447" s="4" t="s">
        <v>1538</v>
      </c>
      <c r="E447" s="1" t="s">
        <v>1535</v>
      </c>
      <c r="F447" s="1" t="s">
        <v>1535</v>
      </c>
      <c r="G447" s="1" t="s">
        <v>1535</v>
      </c>
      <c r="H447" s="7" t="s">
        <v>1539</v>
      </c>
      <c r="I447" s="1" t="str">
        <f t="shared" si="1"/>
        <v>7</v>
      </c>
      <c r="J447" s="5"/>
      <c r="K447" s="1" t="str">
        <f t="shared" si="2"/>
        <v>8</v>
      </c>
      <c r="L447" s="5"/>
      <c r="M447" s="2" t="str">
        <f t="shared" si="3"/>
        <v>1387</v>
      </c>
      <c r="N447" s="5"/>
      <c r="O447" s="2">
        <v>2.0</v>
      </c>
      <c r="P447" s="5"/>
      <c r="Q447" s="5"/>
      <c r="R447" s="8" t="s">
        <v>1539</v>
      </c>
      <c r="S447" s="5"/>
      <c r="T447" s="1" t="str">
        <f>IFERROR(__xludf.DUMMYFUNCTION("INDEX(SPLIT(A447, ""/""), 2)"),"تشکل‌های اسلامی و سیاسی")</f>
        <v>تشکل‌های اسلامی و سیاسی</v>
      </c>
      <c r="U447" s="1" t="str">
        <f>IFERROR(__xludf.DUMMYFUNCTION("INDEX(SPLIT(A447, ""/""), 3)"),"انجمن اسلامی دانشجویان")</f>
        <v>انجمن اسلامی دانشجویان</v>
      </c>
      <c r="V447" s="1" t="str">
        <f>IFERROR(__xludf.DUMMYFUNCTION("INDEX(SPLIT(A447, ""/""), 4)"),"کاغذ اخبار")</f>
        <v>کاغذ اخبار</v>
      </c>
    </row>
    <row r="448">
      <c r="A448" s="1" t="s">
        <v>1532</v>
      </c>
      <c r="B448" s="1" t="s">
        <v>1540</v>
      </c>
      <c r="C448" s="1" t="s">
        <v>21</v>
      </c>
      <c r="D448" s="4" t="s">
        <v>1541</v>
      </c>
      <c r="E448" s="1" t="s">
        <v>1535</v>
      </c>
      <c r="F448" s="1" t="s">
        <v>1535</v>
      </c>
      <c r="G448" s="1" t="s">
        <v>1535</v>
      </c>
      <c r="H448" s="1" t="s">
        <v>1542</v>
      </c>
      <c r="I448" s="1" t="str">
        <f t="shared" si="1"/>
        <v>14</v>
      </c>
      <c r="J448" s="5"/>
      <c r="K448" s="1" t="str">
        <f t="shared" si="2"/>
        <v>8</v>
      </c>
      <c r="L448" s="5"/>
      <c r="M448" s="2" t="str">
        <f t="shared" si="3"/>
        <v>1387</v>
      </c>
      <c r="N448" s="5"/>
      <c r="O448" s="2">
        <v>3.0</v>
      </c>
      <c r="P448" s="5"/>
      <c r="Q448" s="5"/>
      <c r="R448" s="6" t="s">
        <v>1542</v>
      </c>
      <c r="S448" s="5"/>
      <c r="T448" s="1" t="str">
        <f>IFERROR(__xludf.DUMMYFUNCTION("INDEX(SPLIT(A448, ""/""), 2)"),"تشکل‌های اسلامی و سیاسی")</f>
        <v>تشکل‌های اسلامی و سیاسی</v>
      </c>
      <c r="U448" s="1" t="str">
        <f>IFERROR(__xludf.DUMMYFUNCTION("INDEX(SPLIT(A448, ""/""), 3)"),"انجمن اسلامی دانشجویان")</f>
        <v>انجمن اسلامی دانشجویان</v>
      </c>
      <c r="V448" s="1" t="str">
        <f>IFERROR(__xludf.DUMMYFUNCTION("INDEX(SPLIT(A448, ""/""), 4)"),"کاغذ اخبار")</f>
        <v>کاغذ اخبار</v>
      </c>
    </row>
    <row r="449">
      <c r="A449" s="1" t="s">
        <v>1532</v>
      </c>
      <c r="B449" s="1" t="s">
        <v>1543</v>
      </c>
      <c r="C449" s="1" t="s">
        <v>21</v>
      </c>
      <c r="D449" s="4" t="s">
        <v>1544</v>
      </c>
      <c r="E449" s="1" t="s">
        <v>1535</v>
      </c>
      <c r="F449" s="1" t="s">
        <v>1535</v>
      </c>
      <c r="G449" s="1" t="s">
        <v>1535</v>
      </c>
      <c r="H449" s="1" t="s">
        <v>1545</v>
      </c>
      <c r="I449" s="1" t="str">
        <f t="shared" si="1"/>
        <v>25</v>
      </c>
      <c r="J449" s="5"/>
      <c r="K449" s="1" t="str">
        <f t="shared" si="2"/>
        <v>8</v>
      </c>
      <c r="L449" s="5"/>
      <c r="M449" s="2" t="str">
        <f t="shared" si="3"/>
        <v>1387</v>
      </c>
      <c r="N449" s="5"/>
      <c r="O449" s="2">
        <v>4.0</v>
      </c>
      <c r="P449" s="5"/>
      <c r="Q449" s="5"/>
      <c r="R449" s="6" t="s">
        <v>1545</v>
      </c>
      <c r="S449" s="5"/>
      <c r="T449" s="1" t="str">
        <f>IFERROR(__xludf.DUMMYFUNCTION("INDEX(SPLIT(A449, ""/""), 2)"),"تشکل‌های اسلامی و سیاسی")</f>
        <v>تشکل‌های اسلامی و سیاسی</v>
      </c>
      <c r="U449" s="1" t="str">
        <f>IFERROR(__xludf.DUMMYFUNCTION("INDEX(SPLIT(A449, ""/""), 3)"),"انجمن اسلامی دانشجویان")</f>
        <v>انجمن اسلامی دانشجویان</v>
      </c>
      <c r="V449" s="1" t="str">
        <f>IFERROR(__xludf.DUMMYFUNCTION("INDEX(SPLIT(A449, ""/""), 4)"),"کاغذ اخبار")</f>
        <v>کاغذ اخبار</v>
      </c>
    </row>
    <row r="450">
      <c r="A450" s="1" t="s">
        <v>1532</v>
      </c>
      <c r="B450" s="1" t="s">
        <v>1546</v>
      </c>
      <c r="C450" s="1" t="s">
        <v>21</v>
      </c>
      <c r="D450" s="4" t="s">
        <v>1547</v>
      </c>
      <c r="E450" s="1" t="s">
        <v>1535</v>
      </c>
      <c r="F450" s="1" t="s">
        <v>1535</v>
      </c>
      <c r="G450" s="1" t="s">
        <v>1535</v>
      </c>
      <c r="H450" s="1" t="s">
        <v>1548</v>
      </c>
      <c r="I450" s="1" t="str">
        <f t="shared" si="1"/>
        <v>16</v>
      </c>
      <c r="J450" s="5"/>
      <c r="K450" s="1" t="str">
        <f t="shared" si="2"/>
        <v>9</v>
      </c>
      <c r="L450" s="5"/>
      <c r="M450" s="2" t="str">
        <f t="shared" si="3"/>
        <v>1387</v>
      </c>
      <c r="N450" s="5"/>
      <c r="O450" s="2">
        <v>5.0</v>
      </c>
      <c r="P450" s="5"/>
      <c r="Q450" s="5"/>
      <c r="R450" s="6" t="s">
        <v>1548</v>
      </c>
      <c r="S450" s="5"/>
      <c r="T450" s="1" t="str">
        <f>IFERROR(__xludf.DUMMYFUNCTION("INDEX(SPLIT(A450, ""/""), 2)"),"تشکل‌های اسلامی و سیاسی")</f>
        <v>تشکل‌های اسلامی و سیاسی</v>
      </c>
      <c r="U450" s="1" t="str">
        <f>IFERROR(__xludf.DUMMYFUNCTION("INDEX(SPLIT(A450, ""/""), 3)"),"انجمن اسلامی دانشجویان")</f>
        <v>انجمن اسلامی دانشجویان</v>
      </c>
      <c r="V450" s="1" t="str">
        <f>IFERROR(__xludf.DUMMYFUNCTION("INDEX(SPLIT(A450, ""/""), 4)"),"کاغذ اخبار")</f>
        <v>کاغذ اخبار</v>
      </c>
    </row>
    <row r="451">
      <c r="A451" s="1" t="s">
        <v>1532</v>
      </c>
      <c r="B451" s="1" t="s">
        <v>1549</v>
      </c>
      <c r="C451" s="1" t="s">
        <v>21</v>
      </c>
      <c r="D451" s="4" t="s">
        <v>1550</v>
      </c>
      <c r="E451" s="1" t="s">
        <v>1535</v>
      </c>
      <c r="F451" s="1" t="s">
        <v>1535</v>
      </c>
      <c r="G451" s="1" t="s">
        <v>1535</v>
      </c>
      <c r="H451" s="1" t="s">
        <v>1551</v>
      </c>
      <c r="I451" s="1" t="str">
        <f t="shared" si="1"/>
        <v>25</v>
      </c>
      <c r="J451" s="5"/>
      <c r="K451" s="1" t="str">
        <f t="shared" si="2"/>
        <v>9</v>
      </c>
      <c r="L451" s="5"/>
      <c r="M451" s="2" t="str">
        <f t="shared" si="3"/>
        <v>1387</v>
      </c>
      <c r="N451" s="5"/>
      <c r="O451" s="2">
        <v>6.0</v>
      </c>
      <c r="P451" s="5"/>
      <c r="Q451" s="5"/>
      <c r="R451" s="6" t="s">
        <v>1551</v>
      </c>
      <c r="S451" s="5"/>
      <c r="T451" s="1" t="str">
        <f>IFERROR(__xludf.DUMMYFUNCTION("INDEX(SPLIT(A451, ""/""), 2)"),"تشکل‌های اسلامی و سیاسی")</f>
        <v>تشکل‌های اسلامی و سیاسی</v>
      </c>
      <c r="U451" s="1" t="str">
        <f>IFERROR(__xludf.DUMMYFUNCTION("INDEX(SPLIT(A451, ""/""), 3)"),"انجمن اسلامی دانشجویان")</f>
        <v>انجمن اسلامی دانشجویان</v>
      </c>
      <c r="V451" s="1" t="str">
        <f>IFERROR(__xludf.DUMMYFUNCTION("INDEX(SPLIT(A451, ""/""), 4)"),"کاغذ اخبار")</f>
        <v>کاغذ اخبار</v>
      </c>
    </row>
    <row r="452">
      <c r="A452" s="1" t="s">
        <v>1532</v>
      </c>
      <c r="B452" s="1" t="s">
        <v>1552</v>
      </c>
      <c r="C452" s="1" t="s">
        <v>21</v>
      </c>
      <c r="D452" s="4" t="s">
        <v>1553</v>
      </c>
      <c r="E452" s="1" t="s">
        <v>1535</v>
      </c>
      <c r="F452" s="1" t="s">
        <v>1535</v>
      </c>
      <c r="G452" s="1" t="s">
        <v>1535</v>
      </c>
      <c r="H452" s="7" t="s">
        <v>1554</v>
      </c>
      <c r="I452" s="1" t="str">
        <f t="shared" si="1"/>
        <v>12</v>
      </c>
      <c r="J452" s="5"/>
      <c r="K452" s="1" t="str">
        <f t="shared" si="2"/>
        <v>11</v>
      </c>
      <c r="L452" s="5"/>
      <c r="M452" s="2" t="str">
        <f t="shared" si="3"/>
        <v>1387</v>
      </c>
      <c r="N452" s="5"/>
      <c r="O452" s="2">
        <v>7.0</v>
      </c>
      <c r="P452" s="5"/>
      <c r="Q452" s="5"/>
      <c r="R452" s="8" t="s">
        <v>1554</v>
      </c>
      <c r="S452" s="5"/>
      <c r="T452" s="1" t="str">
        <f>IFERROR(__xludf.DUMMYFUNCTION("INDEX(SPLIT(A452, ""/""), 2)"),"تشکل‌های اسلامی و سیاسی")</f>
        <v>تشکل‌های اسلامی و سیاسی</v>
      </c>
      <c r="U452" s="1" t="str">
        <f>IFERROR(__xludf.DUMMYFUNCTION("INDEX(SPLIT(A452, ""/""), 3)"),"انجمن اسلامی دانشجویان")</f>
        <v>انجمن اسلامی دانشجویان</v>
      </c>
      <c r="V452" s="1" t="str">
        <f>IFERROR(__xludf.DUMMYFUNCTION("INDEX(SPLIT(A452, ""/""), 4)"),"کاغذ اخبار")</f>
        <v>کاغذ اخبار</v>
      </c>
    </row>
    <row r="453">
      <c r="A453" s="1" t="s">
        <v>1555</v>
      </c>
      <c r="B453" s="1" t="s">
        <v>1556</v>
      </c>
      <c r="C453" s="1" t="s">
        <v>21</v>
      </c>
      <c r="D453" s="4" t="s">
        <v>1557</v>
      </c>
      <c r="E453" s="1" t="s">
        <v>750</v>
      </c>
      <c r="F453" s="1" t="s">
        <v>1558</v>
      </c>
      <c r="G453" s="1" t="s">
        <v>1559</v>
      </c>
      <c r="H453" s="1" t="s">
        <v>1560</v>
      </c>
      <c r="I453" s="1" t="str">
        <f t="shared" si="1"/>
        <v>22</v>
      </c>
      <c r="J453" s="5"/>
      <c r="K453" s="1" t="str">
        <f t="shared" si="2"/>
        <v>9</v>
      </c>
      <c r="L453" s="5"/>
      <c r="M453" s="2" t="str">
        <f t="shared" si="3"/>
        <v>1394</v>
      </c>
      <c r="N453" s="5"/>
      <c r="O453" s="1">
        <v>2.0</v>
      </c>
      <c r="P453" s="5"/>
      <c r="Q453" s="5"/>
      <c r="R453" s="6" t="s">
        <v>1560</v>
      </c>
      <c r="S453" s="5"/>
      <c r="T453" s="1" t="str">
        <f>IFERROR(__xludf.DUMMYFUNCTION("INDEX(SPLIT(A453, ""/""), 2)"),"تشکل‌های اسلامی و سیاسی")</f>
        <v>تشکل‌های اسلامی و سیاسی</v>
      </c>
      <c r="U453" s="1" t="str">
        <f>IFERROR(__xludf.DUMMYFUNCTION("INDEX(SPLIT(A453, ""/""), 3)"),"انجمن اسلامی دانشجویان")</f>
        <v>انجمن اسلامی دانشجویان</v>
      </c>
      <c r="V453" s="1" t="str">
        <f>IFERROR(__xludf.DUMMYFUNCTION("INDEX(SPLIT(A453, ""/""), 4)"),"مجال")</f>
        <v>مجال</v>
      </c>
    </row>
    <row r="454">
      <c r="A454" s="1" t="s">
        <v>1555</v>
      </c>
      <c r="B454" s="1" t="s">
        <v>1561</v>
      </c>
      <c r="C454" s="1" t="s">
        <v>21</v>
      </c>
      <c r="D454" s="4" t="s">
        <v>1562</v>
      </c>
      <c r="E454" s="1" t="s">
        <v>750</v>
      </c>
      <c r="F454" s="1" t="s">
        <v>1558</v>
      </c>
      <c r="G454" s="1" t="s">
        <v>1563</v>
      </c>
      <c r="H454" s="7" t="s">
        <v>1564</v>
      </c>
      <c r="I454" s="1" t="str">
        <f t="shared" si="1"/>
        <v>3</v>
      </c>
      <c r="J454" s="5"/>
      <c r="K454" s="1" t="str">
        <f t="shared" si="2"/>
        <v>12</v>
      </c>
      <c r="L454" s="5"/>
      <c r="M454" s="2" t="str">
        <f t="shared" si="3"/>
        <v>1395</v>
      </c>
      <c r="N454" s="5"/>
      <c r="O454" s="1">
        <v>3.0</v>
      </c>
      <c r="P454" s="5"/>
      <c r="Q454" s="5"/>
      <c r="R454" s="8" t="s">
        <v>1564</v>
      </c>
      <c r="S454" s="5"/>
      <c r="T454" s="1" t="str">
        <f>IFERROR(__xludf.DUMMYFUNCTION("INDEX(SPLIT(A454, ""/""), 2)"),"تشکل‌های اسلامی و سیاسی")</f>
        <v>تشکل‌های اسلامی و سیاسی</v>
      </c>
      <c r="U454" s="1" t="str">
        <f>IFERROR(__xludf.DUMMYFUNCTION("INDEX(SPLIT(A454, ""/""), 3)"),"انجمن اسلامی دانشجویان")</f>
        <v>انجمن اسلامی دانشجویان</v>
      </c>
      <c r="V454" s="1" t="str">
        <f>IFERROR(__xludf.DUMMYFUNCTION("INDEX(SPLIT(A454, ""/""), 4)"),"مجال")</f>
        <v>مجال</v>
      </c>
    </row>
    <row r="455">
      <c r="A455" s="1" t="s">
        <v>1555</v>
      </c>
      <c r="B455" s="1" t="s">
        <v>1565</v>
      </c>
      <c r="C455" s="1" t="s">
        <v>21</v>
      </c>
      <c r="D455" s="4" t="s">
        <v>1566</v>
      </c>
      <c r="E455" s="1" t="s">
        <v>750</v>
      </c>
      <c r="F455" s="1" t="s">
        <v>1183</v>
      </c>
      <c r="G455" s="1" t="s">
        <v>1183</v>
      </c>
      <c r="H455" s="7" t="s">
        <v>1567</v>
      </c>
      <c r="I455" s="1" t="str">
        <f t="shared" si="1"/>
        <v>10</v>
      </c>
      <c r="J455" s="5"/>
      <c r="K455" s="1" t="str">
        <f t="shared" si="2"/>
        <v>2</v>
      </c>
      <c r="L455" s="5"/>
      <c r="M455" s="2" t="str">
        <f t="shared" si="3"/>
        <v>1396</v>
      </c>
      <c r="N455" s="5"/>
      <c r="O455" s="1">
        <v>4.0</v>
      </c>
      <c r="P455" s="5"/>
      <c r="Q455" s="5"/>
      <c r="R455" s="8" t="s">
        <v>1567</v>
      </c>
      <c r="S455" s="5"/>
      <c r="T455" s="1" t="str">
        <f>IFERROR(__xludf.DUMMYFUNCTION("INDEX(SPLIT(A455, ""/""), 2)"),"تشکل‌های اسلامی و سیاسی")</f>
        <v>تشکل‌های اسلامی و سیاسی</v>
      </c>
      <c r="U455" s="1" t="str">
        <f>IFERROR(__xludf.DUMMYFUNCTION("INDEX(SPLIT(A455, ""/""), 3)"),"انجمن اسلامی دانشجویان")</f>
        <v>انجمن اسلامی دانشجویان</v>
      </c>
      <c r="V455" s="1" t="str">
        <f>IFERROR(__xludf.DUMMYFUNCTION("INDEX(SPLIT(A455, ""/""), 4)"),"مجال")</f>
        <v>مجال</v>
      </c>
    </row>
    <row r="456">
      <c r="A456" s="1" t="s">
        <v>1555</v>
      </c>
      <c r="B456" s="1" t="s">
        <v>1568</v>
      </c>
      <c r="C456" s="1" t="s">
        <v>21</v>
      </c>
      <c r="D456" s="4" t="s">
        <v>1569</v>
      </c>
      <c r="E456" s="1" t="s">
        <v>750</v>
      </c>
      <c r="F456" s="1" t="s">
        <v>1183</v>
      </c>
      <c r="G456" s="1" t="s">
        <v>1570</v>
      </c>
      <c r="H456" s="1" t="s">
        <v>1571</v>
      </c>
      <c r="I456" s="1" t="str">
        <f t="shared" si="1"/>
        <v>20</v>
      </c>
      <c r="J456" s="5"/>
      <c r="K456" s="1" t="str">
        <f t="shared" si="2"/>
        <v>8</v>
      </c>
      <c r="L456" s="5"/>
      <c r="M456" s="2" t="str">
        <f t="shared" si="3"/>
        <v>1396</v>
      </c>
      <c r="N456" s="5"/>
      <c r="O456" s="1">
        <v>5.0</v>
      </c>
      <c r="P456" s="5"/>
      <c r="Q456" s="5"/>
      <c r="R456" s="6" t="s">
        <v>1571</v>
      </c>
      <c r="S456" s="5"/>
      <c r="T456" s="1" t="str">
        <f>IFERROR(__xludf.DUMMYFUNCTION("INDEX(SPLIT(A456, ""/""), 2)"),"تشکل‌های اسلامی و سیاسی")</f>
        <v>تشکل‌های اسلامی و سیاسی</v>
      </c>
      <c r="U456" s="1" t="str">
        <f>IFERROR(__xludf.DUMMYFUNCTION("INDEX(SPLIT(A456, ""/""), 3)"),"انجمن اسلامی دانشجویان")</f>
        <v>انجمن اسلامی دانشجویان</v>
      </c>
      <c r="V456" s="1" t="str">
        <f>IFERROR(__xludf.DUMMYFUNCTION("INDEX(SPLIT(A456, ""/""), 4)"),"مجال")</f>
        <v>مجال</v>
      </c>
    </row>
    <row r="457">
      <c r="A457" s="1" t="s">
        <v>1555</v>
      </c>
      <c r="B457" s="1" t="s">
        <v>1572</v>
      </c>
      <c r="C457" s="1" t="s">
        <v>21</v>
      </c>
      <c r="D457" s="4" t="s">
        <v>1573</v>
      </c>
      <c r="E457" s="1" t="s">
        <v>750</v>
      </c>
      <c r="F457" s="1" t="s">
        <v>1293</v>
      </c>
      <c r="G457" s="1" t="s">
        <v>1570</v>
      </c>
      <c r="H457" s="1" t="s">
        <v>1574</v>
      </c>
      <c r="I457" s="1" t="str">
        <f t="shared" si="1"/>
        <v>22</v>
      </c>
      <c r="J457" s="5"/>
      <c r="K457" s="1" t="str">
        <f t="shared" si="2"/>
        <v>11</v>
      </c>
      <c r="L457" s="5"/>
      <c r="M457" s="2" t="str">
        <f t="shared" si="3"/>
        <v>1396</v>
      </c>
      <c r="N457" s="5"/>
      <c r="O457" s="1">
        <v>6.0</v>
      </c>
      <c r="P457" s="5"/>
      <c r="Q457" s="5"/>
      <c r="R457" s="6" t="s">
        <v>1574</v>
      </c>
      <c r="S457" s="5"/>
      <c r="T457" s="1" t="str">
        <f>IFERROR(__xludf.DUMMYFUNCTION("INDEX(SPLIT(A457, ""/""), 2)"),"تشکل‌های اسلامی و سیاسی")</f>
        <v>تشکل‌های اسلامی و سیاسی</v>
      </c>
      <c r="U457" s="1" t="str">
        <f>IFERROR(__xludf.DUMMYFUNCTION("INDEX(SPLIT(A457, ""/""), 3)"),"انجمن اسلامی دانشجویان")</f>
        <v>انجمن اسلامی دانشجویان</v>
      </c>
      <c r="V457" s="1" t="str">
        <f>IFERROR(__xludf.DUMMYFUNCTION("INDEX(SPLIT(A457, ""/""), 4)"),"مجال")</f>
        <v>مجال</v>
      </c>
    </row>
    <row r="458">
      <c r="A458" s="1" t="s">
        <v>1555</v>
      </c>
      <c r="B458" s="1" t="s">
        <v>1575</v>
      </c>
      <c r="C458" s="1" t="s">
        <v>21</v>
      </c>
      <c r="D458" s="4" t="s">
        <v>1576</v>
      </c>
      <c r="E458" s="1" t="s">
        <v>750</v>
      </c>
      <c r="F458" s="1" t="s">
        <v>1577</v>
      </c>
      <c r="G458" s="1" t="s">
        <v>752</v>
      </c>
      <c r="H458" s="7" t="s">
        <v>1578</v>
      </c>
      <c r="I458" s="1" t="str">
        <f t="shared" si="1"/>
        <v>11</v>
      </c>
      <c r="J458" s="5"/>
      <c r="K458" s="1" t="str">
        <f t="shared" si="2"/>
        <v>12</v>
      </c>
      <c r="L458" s="5"/>
      <c r="M458" s="2" t="str">
        <f t="shared" si="3"/>
        <v>1396</v>
      </c>
      <c r="N458" s="5"/>
      <c r="O458" s="1">
        <v>7.0</v>
      </c>
      <c r="P458" s="5"/>
      <c r="Q458" s="5"/>
      <c r="R458" s="8" t="s">
        <v>1578</v>
      </c>
      <c r="S458" s="5"/>
      <c r="T458" s="1" t="str">
        <f>IFERROR(__xludf.DUMMYFUNCTION("INDEX(SPLIT(A458, ""/""), 2)"),"تشکل‌های اسلامی و سیاسی")</f>
        <v>تشکل‌های اسلامی و سیاسی</v>
      </c>
      <c r="U458" s="1" t="str">
        <f>IFERROR(__xludf.DUMMYFUNCTION("INDEX(SPLIT(A458, ""/""), 3)"),"انجمن اسلامی دانشجویان")</f>
        <v>انجمن اسلامی دانشجویان</v>
      </c>
      <c r="V458" s="1" t="str">
        <f>IFERROR(__xludf.DUMMYFUNCTION("INDEX(SPLIT(A458, ""/""), 4)"),"مجال")</f>
        <v>مجال</v>
      </c>
    </row>
    <row r="459">
      <c r="A459" s="1" t="s">
        <v>1555</v>
      </c>
      <c r="B459" s="1" t="s">
        <v>1579</v>
      </c>
      <c r="C459" s="1" t="s">
        <v>21</v>
      </c>
      <c r="D459" s="4" t="s">
        <v>1580</v>
      </c>
      <c r="E459" s="1" t="s">
        <v>750</v>
      </c>
      <c r="F459" s="1" t="s">
        <v>772</v>
      </c>
      <c r="G459" s="1" t="s">
        <v>1581</v>
      </c>
      <c r="H459" s="1" t="s">
        <v>1582</v>
      </c>
      <c r="I459" s="1" t="str">
        <f t="shared" si="1"/>
        <v>17</v>
      </c>
      <c r="J459" s="5"/>
      <c r="K459" s="1" t="str">
        <f t="shared" si="2"/>
        <v>12</v>
      </c>
      <c r="L459" s="5"/>
      <c r="M459" s="2" t="str">
        <f t="shared" si="3"/>
        <v>1398</v>
      </c>
      <c r="N459" s="5"/>
      <c r="O459" s="1">
        <v>8.0</v>
      </c>
      <c r="P459" s="5"/>
      <c r="Q459" s="5"/>
      <c r="R459" s="6" t="s">
        <v>1582</v>
      </c>
      <c r="S459" s="5"/>
      <c r="T459" s="1" t="str">
        <f>IFERROR(__xludf.DUMMYFUNCTION("INDEX(SPLIT(A459, ""/""), 2)"),"تشکل‌های اسلامی و سیاسی")</f>
        <v>تشکل‌های اسلامی و سیاسی</v>
      </c>
      <c r="U459" s="1" t="str">
        <f>IFERROR(__xludf.DUMMYFUNCTION("INDEX(SPLIT(A459, ""/""), 3)"),"انجمن اسلامی دانشجویان")</f>
        <v>انجمن اسلامی دانشجویان</v>
      </c>
      <c r="V459" s="1" t="str">
        <f>IFERROR(__xludf.DUMMYFUNCTION("INDEX(SPLIT(A459, ""/""), 4)"),"مجال")</f>
        <v>مجال</v>
      </c>
    </row>
    <row r="460">
      <c r="A460" s="1" t="s">
        <v>1555</v>
      </c>
      <c r="B460" s="1" t="s">
        <v>1583</v>
      </c>
      <c r="C460" s="1" t="s">
        <v>21</v>
      </c>
      <c r="D460" s="4" t="s">
        <v>1584</v>
      </c>
      <c r="E460" s="1" t="s">
        <v>750</v>
      </c>
      <c r="F460" s="1" t="s">
        <v>772</v>
      </c>
      <c r="G460" s="1" t="s">
        <v>1581</v>
      </c>
      <c r="H460" s="1" t="s">
        <v>32</v>
      </c>
      <c r="I460" s="1" t="str">
        <f t="shared" si="1"/>
        <v>x</v>
      </c>
      <c r="J460" s="5"/>
      <c r="K460" s="1" t="str">
        <f t="shared" si="2"/>
        <v>8</v>
      </c>
      <c r="L460" s="5"/>
      <c r="M460" s="2" t="str">
        <f t="shared" si="3"/>
        <v>1399</v>
      </c>
      <c r="N460" s="5"/>
      <c r="O460" s="1">
        <v>9.0</v>
      </c>
      <c r="P460" s="5"/>
      <c r="Q460" s="5"/>
      <c r="R460" s="6" t="s">
        <v>33</v>
      </c>
      <c r="S460" s="5"/>
      <c r="T460" s="1" t="str">
        <f>IFERROR(__xludf.DUMMYFUNCTION("INDEX(SPLIT(A460, ""/""), 2)"),"تشکل‌های اسلامی و سیاسی")</f>
        <v>تشکل‌های اسلامی و سیاسی</v>
      </c>
      <c r="U460" s="1" t="str">
        <f>IFERROR(__xludf.DUMMYFUNCTION("INDEX(SPLIT(A460, ""/""), 3)"),"انجمن اسلامی دانشجویان")</f>
        <v>انجمن اسلامی دانشجویان</v>
      </c>
      <c r="V460" s="1" t="str">
        <f>IFERROR(__xludf.DUMMYFUNCTION("INDEX(SPLIT(A460, ""/""), 4)"),"مجال")</f>
        <v>مجال</v>
      </c>
    </row>
    <row r="461">
      <c r="A461" s="1" t="s">
        <v>1585</v>
      </c>
      <c r="B461" s="1" t="s">
        <v>1586</v>
      </c>
      <c r="C461" s="1" t="s">
        <v>21</v>
      </c>
      <c r="D461" s="4" t="s">
        <v>1587</v>
      </c>
      <c r="E461" s="1" t="s">
        <v>750</v>
      </c>
      <c r="F461" s="1" t="s">
        <v>71</v>
      </c>
      <c r="G461" s="1" t="s">
        <v>71</v>
      </c>
      <c r="H461" s="1" t="s">
        <v>1458</v>
      </c>
      <c r="I461" s="1" t="str">
        <f t="shared" si="1"/>
        <v>18</v>
      </c>
      <c r="J461" s="5"/>
      <c r="K461" s="1" t="str">
        <f t="shared" si="2"/>
        <v>7</v>
      </c>
      <c r="L461" s="5"/>
      <c r="M461" s="2" t="str">
        <f t="shared" si="3"/>
        <v>1379</v>
      </c>
      <c r="N461" s="5"/>
      <c r="O461" s="2">
        <v>3.0</v>
      </c>
      <c r="P461" s="5"/>
      <c r="Q461" s="5"/>
      <c r="R461" s="6" t="s">
        <v>1458</v>
      </c>
      <c r="S461" s="5"/>
      <c r="T461" s="1" t="str">
        <f>IFERROR(__xludf.DUMMYFUNCTION("INDEX(SPLIT(A461, ""/""), 2)"),"تشکل‌های اسلامی و سیاسی")</f>
        <v>تشکل‌های اسلامی و سیاسی</v>
      </c>
      <c r="U461" s="1" t="str">
        <f>IFERROR(__xludf.DUMMYFUNCTION("INDEX(SPLIT(A461, ""/""), 3)"),"انجمن اسلامی دانشجویان")</f>
        <v>انجمن اسلامی دانشجویان</v>
      </c>
      <c r="V461" s="1" t="str">
        <f>IFERROR(__xludf.DUMMYFUNCTION("INDEX(SPLIT(A461, ""/""), 4)"),"نمای شریف")</f>
        <v>نمای شریف</v>
      </c>
    </row>
    <row r="462">
      <c r="A462" s="1" t="s">
        <v>1585</v>
      </c>
      <c r="B462" s="1" t="s">
        <v>832</v>
      </c>
      <c r="C462" s="1" t="s">
        <v>21</v>
      </c>
      <c r="D462" s="4" t="s">
        <v>1588</v>
      </c>
      <c r="E462" s="1" t="s">
        <v>750</v>
      </c>
      <c r="F462" s="1" t="s">
        <v>939</v>
      </c>
      <c r="G462" s="1" t="s">
        <v>1589</v>
      </c>
      <c r="H462" s="1" t="s">
        <v>1590</v>
      </c>
      <c r="I462" s="1" t="str">
        <f t="shared" si="1"/>
        <v>x</v>
      </c>
      <c r="J462" s="5"/>
      <c r="K462" s="1" t="str">
        <f t="shared" si="2"/>
        <v>3</v>
      </c>
      <c r="L462" s="5"/>
      <c r="M462" s="2" t="str">
        <f t="shared" si="3"/>
        <v>1385</v>
      </c>
      <c r="N462" s="5"/>
      <c r="O462" s="2">
        <v>20.0</v>
      </c>
      <c r="P462" s="5"/>
      <c r="Q462" s="5"/>
      <c r="R462" s="6" t="s">
        <v>1591</v>
      </c>
      <c r="S462" s="5"/>
      <c r="T462" s="1" t="str">
        <f>IFERROR(__xludf.DUMMYFUNCTION("INDEX(SPLIT(A462, ""/""), 2)"),"تشکل‌های اسلامی و سیاسی")</f>
        <v>تشکل‌های اسلامی و سیاسی</v>
      </c>
      <c r="U462" s="1" t="str">
        <f>IFERROR(__xludf.DUMMYFUNCTION("INDEX(SPLIT(A462, ""/""), 3)"),"انجمن اسلامی دانشجویان")</f>
        <v>انجمن اسلامی دانشجویان</v>
      </c>
      <c r="V462" s="1" t="str">
        <f>IFERROR(__xludf.DUMMYFUNCTION("INDEX(SPLIT(A462, ""/""), 4)"),"نمای شریف")</f>
        <v>نمای شریف</v>
      </c>
    </row>
    <row r="463">
      <c r="A463" s="1" t="s">
        <v>1585</v>
      </c>
      <c r="B463" s="1" t="s">
        <v>1592</v>
      </c>
      <c r="C463" s="1" t="s">
        <v>21</v>
      </c>
      <c r="D463" s="4" t="s">
        <v>1593</v>
      </c>
      <c r="E463" s="1" t="s">
        <v>750</v>
      </c>
      <c r="F463" s="1" t="s">
        <v>939</v>
      </c>
      <c r="G463" s="1" t="s">
        <v>1589</v>
      </c>
      <c r="H463" s="1" t="s">
        <v>1594</v>
      </c>
      <c r="I463" s="1" t="str">
        <f t="shared" si="1"/>
        <v>x</v>
      </c>
      <c r="J463" s="5"/>
      <c r="K463" s="1" t="str">
        <f t="shared" si="2"/>
        <v>7</v>
      </c>
      <c r="L463" s="5"/>
      <c r="M463" s="2" t="str">
        <f t="shared" si="3"/>
        <v>1385</v>
      </c>
      <c r="N463" s="5"/>
      <c r="O463" s="2">
        <v>21.0</v>
      </c>
      <c r="P463" s="5"/>
      <c r="Q463" s="5"/>
      <c r="R463" s="6" t="s">
        <v>1595</v>
      </c>
      <c r="S463" s="5"/>
      <c r="T463" s="1" t="str">
        <f>IFERROR(__xludf.DUMMYFUNCTION("INDEX(SPLIT(A463, ""/""), 2)"),"تشکل‌های اسلامی و سیاسی")</f>
        <v>تشکل‌های اسلامی و سیاسی</v>
      </c>
      <c r="U463" s="1" t="str">
        <f>IFERROR(__xludf.DUMMYFUNCTION("INDEX(SPLIT(A463, ""/""), 3)"),"انجمن اسلامی دانشجویان")</f>
        <v>انجمن اسلامی دانشجویان</v>
      </c>
      <c r="V463" s="1" t="str">
        <f>IFERROR(__xludf.DUMMYFUNCTION("INDEX(SPLIT(A463, ""/""), 4)"),"نمای شریف")</f>
        <v>نمای شریف</v>
      </c>
    </row>
    <row r="464">
      <c r="A464" s="1" t="s">
        <v>1585</v>
      </c>
      <c r="B464" s="1" t="s">
        <v>1596</v>
      </c>
      <c r="C464" s="1" t="s">
        <v>21</v>
      </c>
      <c r="D464" s="4" t="s">
        <v>1597</v>
      </c>
      <c r="E464" s="1" t="s">
        <v>750</v>
      </c>
      <c r="F464" s="1" t="s">
        <v>939</v>
      </c>
      <c r="G464" s="1" t="s">
        <v>1589</v>
      </c>
      <c r="H464" s="1" t="s">
        <v>1594</v>
      </c>
      <c r="I464" s="1" t="str">
        <f t="shared" si="1"/>
        <v>x</v>
      </c>
      <c r="J464" s="5"/>
      <c r="K464" s="1" t="str">
        <f t="shared" si="2"/>
        <v>7</v>
      </c>
      <c r="L464" s="5"/>
      <c r="M464" s="2" t="str">
        <f t="shared" si="3"/>
        <v>1385</v>
      </c>
      <c r="N464" s="5"/>
      <c r="O464" s="2">
        <v>22.0</v>
      </c>
      <c r="P464" s="5"/>
      <c r="Q464" s="5"/>
      <c r="R464" s="6" t="s">
        <v>1595</v>
      </c>
      <c r="S464" s="5"/>
      <c r="T464" s="1" t="str">
        <f>IFERROR(__xludf.DUMMYFUNCTION("INDEX(SPLIT(A464, ""/""), 2)"),"تشکل‌های اسلامی و سیاسی")</f>
        <v>تشکل‌های اسلامی و سیاسی</v>
      </c>
      <c r="U464" s="1" t="str">
        <f>IFERROR(__xludf.DUMMYFUNCTION("INDEX(SPLIT(A464, ""/""), 3)"),"انجمن اسلامی دانشجویان")</f>
        <v>انجمن اسلامی دانشجویان</v>
      </c>
      <c r="V464" s="1" t="str">
        <f>IFERROR(__xludf.DUMMYFUNCTION("INDEX(SPLIT(A464, ""/""), 4)"),"نمای شریف")</f>
        <v>نمای شریف</v>
      </c>
    </row>
    <row r="465">
      <c r="A465" s="1" t="s">
        <v>1585</v>
      </c>
      <c r="B465" s="1" t="s">
        <v>1598</v>
      </c>
      <c r="C465" s="1" t="s">
        <v>21</v>
      </c>
      <c r="D465" s="4" t="s">
        <v>1599</v>
      </c>
      <c r="E465" s="1" t="s">
        <v>750</v>
      </c>
      <c r="F465" s="1" t="s">
        <v>1600</v>
      </c>
      <c r="G465" s="1" t="s">
        <v>939</v>
      </c>
      <c r="H465" s="1" t="s">
        <v>1601</v>
      </c>
      <c r="I465" s="1" t="str">
        <f t="shared" si="1"/>
        <v>23</v>
      </c>
      <c r="J465" s="5"/>
      <c r="K465" s="1" t="str">
        <f t="shared" si="2"/>
        <v>8</v>
      </c>
      <c r="L465" s="5"/>
      <c r="M465" s="2" t="str">
        <f t="shared" si="3"/>
        <v>1385</v>
      </c>
      <c r="N465" s="5"/>
      <c r="O465" s="2">
        <v>23.0</v>
      </c>
      <c r="P465" s="5"/>
      <c r="Q465" s="5"/>
      <c r="R465" s="6" t="s">
        <v>1601</v>
      </c>
      <c r="S465" s="5"/>
      <c r="T465" s="1" t="str">
        <f>IFERROR(__xludf.DUMMYFUNCTION("INDEX(SPLIT(A465, ""/""), 2)"),"تشکل‌های اسلامی و سیاسی")</f>
        <v>تشکل‌های اسلامی و سیاسی</v>
      </c>
      <c r="U465" s="1" t="str">
        <f>IFERROR(__xludf.DUMMYFUNCTION("INDEX(SPLIT(A465, ""/""), 3)"),"انجمن اسلامی دانشجویان")</f>
        <v>انجمن اسلامی دانشجویان</v>
      </c>
      <c r="V465" s="1" t="str">
        <f>IFERROR(__xludf.DUMMYFUNCTION("INDEX(SPLIT(A465, ""/""), 4)"),"نمای شریف")</f>
        <v>نمای شریف</v>
      </c>
    </row>
    <row r="466">
      <c r="A466" s="1" t="s">
        <v>1585</v>
      </c>
      <c r="B466" s="1" t="s">
        <v>1602</v>
      </c>
      <c r="C466" s="1" t="s">
        <v>21</v>
      </c>
      <c r="D466" s="4" t="s">
        <v>1603</v>
      </c>
      <c r="E466" s="1" t="s">
        <v>750</v>
      </c>
      <c r="F466" s="1" t="s">
        <v>1600</v>
      </c>
      <c r="G466" s="1" t="s">
        <v>939</v>
      </c>
      <c r="H466" s="1" t="s">
        <v>1604</v>
      </c>
      <c r="I466" s="1" t="str">
        <f t="shared" si="1"/>
        <v>x</v>
      </c>
      <c r="J466" s="5"/>
      <c r="K466" s="1" t="str">
        <f t="shared" si="2"/>
        <v>8</v>
      </c>
      <c r="L466" s="5"/>
      <c r="M466" s="2" t="str">
        <f t="shared" si="3"/>
        <v>1385</v>
      </c>
      <c r="N466" s="5"/>
      <c r="O466" s="2">
        <v>24.0</v>
      </c>
      <c r="P466" s="5"/>
      <c r="Q466" s="5"/>
      <c r="R466" s="6" t="s">
        <v>1605</v>
      </c>
      <c r="S466" s="5"/>
      <c r="T466" s="1" t="str">
        <f>IFERROR(__xludf.DUMMYFUNCTION("INDEX(SPLIT(A466, ""/""), 2)"),"تشکل‌های اسلامی و سیاسی")</f>
        <v>تشکل‌های اسلامی و سیاسی</v>
      </c>
      <c r="U466" s="1" t="str">
        <f>IFERROR(__xludf.DUMMYFUNCTION("INDEX(SPLIT(A466, ""/""), 3)"),"انجمن اسلامی دانشجویان")</f>
        <v>انجمن اسلامی دانشجویان</v>
      </c>
      <c r="V466" s="1" t="str">
        <f>IFERROR(__xludf.DUMMYFUNCTION("INDEX(SPLIT(A466, ""/""), 4)"),"نمای شریف")</f>
        <v>نمای شریف</v>
      </c>
    </row>
    <row r="467">
      <c r="A467" s="1" t="s">
        <v>1585</v>
      </c>
      <c r="B467" s="1" t="s">
        <v>1606</v>
      </c>
      <c r="C467" s="1" t="s">
        <v>21</v>
      </c>
      <c r="D467" s="4" t="s">
        <v>1607</v>
      </c>
      <c r="E467" s="1" t="s">
        <v>750</v>
      </c>
      <c r="F467" s="1" t="s">
        <v>939</v>
      </c>
      <c r="G467" s="1" t="s">
        <v>1589</v>
      </c>
      <c r="H467" s="1" t="s">
        <v>1608</v>
      </c>
      <c r="I467" s="1" t="str">
        <f t="shared" si="1"/>
        <v>x</v>
      </c>
      <c r="J467" s="5"/>
      <c r="K467" s="1" t="str">
        <f t="shared" si="2"/>
        <v>9</v>
      </c>
      <c r="L467" s="5"/>
      <c r="M467" s="2" t="str">
        <f t="shared" si="3"/>
        <v>1385</v>
      </c>
      <c r="N467" s="5"/>
      <c r="O467" s="2">
        <v>25.0</v>
      </c>
      <c r="P467" s="5"/>
      <c r="Q467" s="5"/>
      <c r="R467" s="6" t="s">
        <v>1609</v>
      </c>
      <c r="S467" s="5"/>
      <c r="T467" s="1" t="str">
        <f>IFERROR(__xludf.DUMMYFUNCTION("INDEX(SPLIT(A467, ""/""), 2)"),"تشکل‌های اسلامی و سیاسی")</f>
        <v>تشکل‌های اسلامی و سیاسی</v>
      </c>
      <c r="U467" s="1" t="str">
        <f>IFERROR(__xludf.DUMMYFUNCTION("INDEX(SPLIT(A467, ""/""), 3)"),"انجمن اسلامی دانشجویان")</f>
        <v>انجمن اسلامی دانشجویان</v>
      </c>
      <c r="V467" s="1" t="str">
        <f>IFERROR(__xludf.DUMMYFUNCTION("INDEX(SPLIT(A467, ""/""), 4)"),"نمای شریف")</f>
        <v>نمای شریف</v>
      </c>
    </row>
    <row r="468">
      <c r="A468" s="1" t="s">
        <v>1585</v>
      </c>
      <c r="B468" s="1" t="s">
        <v>1610</v>
      </c>
      <c r="C468" s="1" t="s">
        <v>21</v>
      </c>
      <c r="D468" s="4" t="s">
        <v>1611</v>
      </c>
      <c r="E468" s="1" t="s">
        <v>750</v>
      </c>
      <c r="F468" s="1" t="s">
        <v>1600</v>
      </c>
      <c r="G468" s="1" t="s">
        <v>1612</v>
      </c>
      <c r="H468" s="1" t="s">
        <v>1613</v>
      </c>
      <c r="I468" s="1" t="str">
        <f t="shared" si="1"/>
        <v>x</v>
      </c>
      <c r="J468" s="5"/>
      <c r="K468" s="1" t="str">
        <f t="shared" si="2"/>
        <v>12</v>
      </c>
      <c r="L468" s="5"/>
      <c r="M468" s="2" t="str">
        <f t="shared" si="3"/>
        <v>1385</v>
      </c>
      <c r="N468" s="5"/>
      <c r="O468" s="2">
        <v>26.0</v>
      </c>
      <c r="P468" s="5"/>
      <c r="Q468" s="5"/>
      <c r="R468" s="6" t="s">
        <v>1614</v>
      </c>
      <c r="S468" s="5"/>
      <c r="T468" s="1" t="str">
        <f>IFERROR(__xludf.DUMMYFUNCTION("INDEX(SPLIT(A468, ""/""), 2)"),"تشکل‌های اسلامی و سیاسی")</f>
        <v>تشکل‌های اسلامی و سیاسی</v>
      </c>
      <c r="U468" s="1" t="str">
        <f>IFERROR(__xludf.DUMMYFUNCTION("INDEX(SPLIT(A468, ""/""), 3)"),"انجمن اسلامی دانشجویان")</f>
        <v>انجمن اسلامی دانشجویان</v>
      </c>
      <c r="V468" s="1" t="str">
        <f>IFERROR(__xludf.DUMMYFUNCTION("INDEX(SPLIT(A468, ""/""), 4)"),"نمای شریف")</f>
        <v>نمای شریف</v>
      </c>
    </row>
    <row r="469">
      <c r="A469" s="1" t="s">
        <v>1585</v>
      </c>
      <c r="B469" s="1" t="s">
        <v>1615</v>
      </c>
      <c r="C469" s="1" t="s">
        <v>21</v>
      </c>
      <c r="D469" s="4" t="s">
        <v>1616</v>
      </c>
      <c r="E469" s="1" t="s">
        <v>750</v>
      </c>
      <c r="F469" s="1" t="s">
        <v>1600</v>
      </c>
      <c r="G469" s="1" t="s">
        <v>1612</v>
      </c>
      <c r="H469" s="1" t="s">
        <v>1031</v>
      </c>
      <c r="I469" s="1" t="str">
        <f t="shared" si="1"/>
        <v>x</v>
      </c>
      <c r="J469" s="5"/>
      <c r="K469" s="1" t="str">
        <f t="shared" si="2"/>
        <v>7</v>
      </c>
      <c r="L469" s="5"/>
      <c r="M469" s="2" t="str">
        <f t="shared" si="3"/>
        <v>1387</v>
      </c>
      <c r="N469" s="5"/>
      <c r="O469" s="2">
        <v>28.0</v>
      </c>
      <c r="P469" s="5"/>
      <c r="Q469" s="5"/>
      <c r="R469" s="6" t="s">
        <v>1032</v>
      </c>
      <c r="S469" s="5"/>
      <c r="T469" s="1" t="str">
        <f>IFERROR(__xludf.DUMMYFUNCTION("INDEX(SPLIT(A469, ""/""), 2)"),"تشکل‌های اسلامی و سیاسی")</f>
        <v>تشکل‌های اسلامی و سیاسی</v>
      </c>
      <c r="U469" s="1" t="str">
        <f>IFERROR(__xludf.DUMMYFUNCTION("INDEX(SPLIT(A469, ""/""), 3)"),"انجمن اسلامی دانشجویان")</f>
        <v>انجمن اسلامی دانشجویان</v>
      </c>
      <c r="V469" s="1" t="str">
        <f>IFERROR(__xludf.DUMMYFUNCTION("INDEX(SPLIT(A469, ""/""), 4)"),"نمای شریف")</f>
        <v>نمای شریف</v>
      </c>
    </row>
    <row r="470">
      <c r="A470" s="1" t="s">
        <v>1585</v>
      </c>
      <c r="B470" s="1" t="s">
        <v>1617</v>
      </c>
      <c r="C470" s="1" t="s">
        <v>21</v>
      </c>
      <c r="D470" s="4" t="s">
        <v>1618</v>
      </c>
      <c r="E470" s="1" t="s">
        <v>750</v>
      </c>
      <c r="F470" s="1" t="s">
        <v>1619</v>
      </c>
      <c r="G470" s="1" t="s">
        <v>71</v>
      </c>
      <c r="H470" s="1" t="s">
        <v>1620</v>
      </c>
      <c r="I470" s="1" t="str">
        <f t="shared" si="1"/>
        <v>x</v>
      </c>
      <c r="J470" s="5"/>
      <c r="K470" s="1" t="str">
        <f t="shared" si="2"/>
        <v>8</v>
      </c>
      <c r="L470" s="5"/>
      <c r="M470" s="2" t="str">
        <f t="shared" si="3"/>
        <v>1388</v>
      </c>
      <c r="N470" s="5"/>
      <c r="O470" s="2">
        <v>28.0</v>
      </c>
      <c r="P470" s="5"/>
      <c r="Q470" s="5"/>
      <c r="R470" s="6" t="s">
        <v>1621</v>
      </c>
      <c r="S470" s="5"/>
      <c r="T470" s="1" t="str">
        <f>IFERROR(__xludf.DUMMYFUNCTION("INDEX(SPLIT(A470, ""/""), 2)"),"تشکل‌های اسلامی و سیاسی")</f>
        <v>تشکل‌های اسلامی و سیاسی</v>
      </c>
      <c r="U470" s="1" t="str">
        <f>IFERROR(__xludf.DUMMYFUNCTION("INDEX(SPLIT(A470, ""/""), 3)"),"انجمن اسلامی دانشجویان")</f>
        <v>انجمن اسلامی دانشجویان</v>
      </c>
      <c r="V470" s="1" t="str">
        <f>IFERROR(__xludf.DUMMYFUNCTION("INDEX(SPLIT(A470, ""/""), 4)"),"نمای شریف")</f>
        <v>نمای شریف</v>
      </c>
    </row>
    <row r="471">
      <c r="A471" s="1" t="s">
        <v>1585</v>
      </c>
      <c r="B471" s="1" t="s">
        <v>1622</v>
      </c>
      <c r="C471" s="1" t="s">
        <v>21</v>
      </c>
      <c r="D471" s="4" t="s">
        <v>1623</v>
      </c>
      <c r="E471" s="1" t="s">
        <v>750</v>
      </c>
      <c r="F471" s="1" t="s">
        <v>1619</v>
      </c>
      <c r="G471" s="1" t="s">
        <v>71</v>
      </c>
      <c r="H471" s="1" t="s">
        <v>1620</v>
      </c>
      <c r="I471" s="1" t="str">
        <f t="shared" si="1"/>
        <v>x</v>
      </c>
      <c r="J471" s="5"/>
      <c r="K471" s="1" t="str">
        <f t="shared" si="2"/>
        <v>8</v>
      </c>
      <c r="L471" s="5"/>
      <c r="M471" s="2" t="str">
        <f t="shared" si="3"/>
        <v>1388</v>
      </c>
      <c r="N471" s="5"/>
      <c r="O471" s="2">
        <v>28.0</v>
      </c>
      <c r="P471" s="5"/>
      <c r="Q471" s="5"/>
      <c r="R471" s="6" t="s">
        <v>1621</v>
      </c>
      <c r="S471" s="5"/>
      <c r="T471" s="1" t="str">
        <f>IFERROR(__xludf.DUMMYFUNCTION("INDEX(SPLIT(A471, ""/""), 2)"),"تشکل‌های اسلامی و سیاسی")</f>
        <v>تشکل‌های اسلامی و سیاسی</v>
      </c>
      <c r="U471" s="1" t="str">
        <f>IFERROR(__xludf.DUMMYFUNCTION("INDEX(SPLIT(A471, ""/""), 3)"),"انجمن اسلامی دانشجویان")</f>
        <v>انجمن اسلامی دانشجویان</v>
      </c>
      <c r="V471" s="1" t="str">
        <f>IFERROR(__xludf.DUMMYFUNCTION("INDEX(SPLIT(A471, ""/""), 4)"),"نمای شریف")</f>
        <v>نمای شریف</v>
      </c>
    </row>
    <row r="472">
      <c r="A472" s="1" t="s">
        <v>1585</v>
      </c>
      <c r="B472" s="1" t="s">
        <v>1624</v>
      </c>
      <c r="C472" s="1" t="s">
        <v>21</v>
      </c>
      <c r="D472" s="4" t="s">
        <v>1625</v>
      </c>
      <c r="E472" s="1" t="s">
        <v>750</v>
      </c>
      <c r="F472" s="1" t="s">
        <v>1626</v>
      </c>
      <c r="G472" s="1" t="s">
        <v>71</v>
      </c>
      <c r="H472" s="1" t="s">
        <v>1627</v>
      </c>
      <c r="I472" s="1" t="str">
        <f t="shared" si="1"/>
        <v>x</v>
      </c>
      <c r="J472" s="5"/>
      <c r="K472" s="1" t="str">
        <f t="shared" si="2"/>
        <v>2</v>
      </c>
      <c r="L472" s="5"/>
      <c r="M472" s="2" t="str">
        <f t="shared" si="3"/>
        <v>1388</v>
      </c>
      <c r="N472" s="5"/>
      <c r="O472" s="2">
        <v>32.0</v>
      </c>
      <c r="P472" s="5"/>
      <c r="Q472" s="5"/>
      <c r="R472" s="6" t="s">
        <v>1628</v>
      </c>
      <c r="S472" s="5"/>
      <c r="T472" s="1" t="str">
        <f>IFERROR(__xludf.DUMMYFUNCTION("INDEX(SPLIT(A472, ""/""), 2)"),"تشکل‌های اسلامی و سیاسی")</f>
        <v>تشکل‌های اسلامی و سیاسی</v>
      </c>
      <c r="U472" s="1" t="str">
        <f>IFERROR(__xludf.DUMMYFUNCTION("INDEX(SPLIT(A472, ""/""), 3)"),"انجمن اسلامی دانشجویان")</f>
        <v>انجمن اسلامی دانشجویان</v>
      </c>
      <c r="V472" s="1" t="str">
        <f>IFERROR(__xludf.DUMMYFUNCTION("INDEX(SPLIT(A472, ""/""), 4)"),"نمای شریف")</f>
        <v>نمای شریف</v>
      </c>
    </row>
    <row r="473">
      <c r="A473" s="1" t="s">
        <v>1585</v>
      </c>
      <c r="B473" s="1" t="s">
        <v>1629</v>
      </c>
      <c r="C473" s="1" t="s">
        <v>21</v>
      </c>
      <c r="D473" s="4" t="s">
        <v>1630</v>
      </c>
      <c r="E473" s="1" t="s">
        <v>750</v>
      </c>
      <c r="F473" s="1" t="s">
        <v>1626</v>
      </c>
      <c r="G473" s="1" t="s">
        <v>71</v>
      </c>
      <c r="H473" s="1" t="s">
        <v>1103</v>
      </c>
      <c r="I473" s="1" t="str">
        <f t="shared" si="1"/>
        <v>21</v>
      </c>
      <c r="J473" s="5"/>
      <c r="K473" s="1" t="str">
        <f t="shared" si="2"/>
        <v>9</v>
      </c>
      <c r="L473" s="5"/>
      <c r="M473" s="2" t="str">
        <f t="shared" si="3"/>
        <v>1388</v>
      </c>
      <c r="N473" s="5"/>
      <c r="O473" s="2">
        <v>33.0</v>
      </c>
      <c r="P473" s="5"/>
      <c r="Q473" s="5"/>
      <c r="R473" s="6" t="s">
        <v>1103</v>
      </c>
      <c r="S473" s="5"/>
      <c r="T473" s="1" t="str">
        <f>IFERROR(__xludf.DUMMYFUNCTION("INDEX(SPLIT(A473, ""/""), 2)"),"تشکل‌های اسلامی و سیاسی")</f>
        <v>تشکل‌های اسلامی و سیاسی</v>
      </c>
      <c r="U473" s="1" t="str">
        <f>IFERROR(__xludf.DUMMYFUNCTION("INDEX(SPLIT(A473, ""/""), 3)"),"انجمن اسلامی دانشجویان")</f>
        <v>انجمن اسلامی دانشجویان</v>
      </c>
      <c r="V473" s="1" t="str">
        <f>IFERROR(__xludf.DUMMYFUNCTION("INDEX(SPLIT(A473, ""/""), 4)"),"نمای شریف")</f>
        <v>نمای شریف</v>
      </c>
    </row>
    <row r="474">
      <c r="A474" s="1" t="s">
        <v>1631</v>
      </c>
      <c r="B474" s="1" t="s">
        <v>1632</v>
      </c>
      <c r="C474" s="1" t="s">
        <v>21</v>
      </c>
      <c r="D474" s="4" t="s">
        <v>1633</v>
      </c>
      <c r="E474" s="1" t="s">
        <v>1634</v>
      </c>
      <c r="F474" s="1" t="s">
        <v>71</v>
      </c>
      <c r="G474" s="1" t="s">
        <v>1635</v>
      </c>
      <c r="H474" s="1" t="s">
        <v>1636</v>
      </c>
      <c r="I474" s="1" t="str">
        <f t="shared" si="1"/>
        <v>22</v>
      </c>
      <c r="J474" s="1">
        <v>4.0</v>
      </c>
      <c r="K474" s="1" t="str">
        <f t="shared" si="2"/>
        <v>1</v>
      </c>
      <c r="L474" s="5"/>
      <c r="M474" s="2" t="str">
        <f t="shared" si="3"/>
        <v>1388</v>
      </c>
      <c r="N474" s="1"/>
      <c r="O474" s="1">
        <v>1.0</v>
      </c>
      <c r="P474" s="5"/>
      <c r="Q474" s="5"/>
      <c r="R474" s="6" t="s">
        <v>1636</v>
      </c>
      <c r="S474" s="5"/>
      <c r="T474" s="1" t="str">
        <f>IFERROR(__xludf.DUMMYFUNCTION("INDEX(SPLIT(A474, ""/""), 2)"),"تشکل‌های اسلامی و سیاسی")</f>
        <v>تشکل‌های اسلامی و سیاسی</v>
      </c>
      <c r="U474" s="1" t="str">
        <f>IFERROR(__xludf.DUMMYFUNCTION("INDEX(SPLIT(A474, ""/""), 3)"),"بسیج دانشجویی")</f>
        <v>بسیج دانشجویی</v>
      </c>
      <c r="V474" s="1" t="str">
        <f>IFERROR(__xludf.DUMMYFUNCTION("INDEX(SPLIT(A474, ""/""), 4)"),"آزادراه")</f>
        <v>آزادراه</v>
      </c>
    </row>
    <row r="475">
      <c r="A475" s="1" t="s">
        <v>1631</v>
      </c>
      <c r="B475" s="1" t="s">
        <v>1637</v>
      </c>
      <c r="C475" s="1" t="s">
        <v>21</v>
      </c>
      <c r="D475" s="4" t="s">
        <v>1638</v>
      </c>
      <c r="E475" s="1" t="s">
        <v>1634</v>
      </c>
      <c r="F475" s="1" t="s">
        <v>1639</v>
      </c>
      <c r="G475" s="1" t="s">
        <v>1635</v>
      </c>
      <c r="H475" s="1" t="s">
        <v>1640</v>
      </c>
      <c r="I475" s="1" t="str">
        <f t="shared" si="1"/>
        <v>x</v>
      </c>
      <c r="J475" s="1">
        <v>1.0</v>
      </c>
      <c r="K475" s="1" t="str">
        <f t="shared" si="2"/>
        <v>7</v>
      </c>
      <c r="L475" s="5"/>
      <c r="M475" s="2" t="str">
        <f t="shared" si="3"/>
        <v>1389</v>
      </c>
      <c r="N475" s="1"/>
      <c r="O475" s="1">
        <v>2.0</v>
      </c>
      <c r="P475" s="5"/>
      <c r="Q475" s="5"/>
      <c r="R475" s="6" t="s">
        <v>1641</v>
      </c>
      <c r="S475" s="5"/>
      <c r="T475" s="1" t="str">
        <f>IFERROR(__xludf.DUMMYFUNCTION("INDEX(SPLIT(A475, ""/""), 2)"),"تشکل‌های اسلامی و سیاسی")</f>
        <v>تشکل‌های اسلامی و سیاسی</v>
      </c>
      <c r="U475" s="1" t="str">
        <f>IFERROR(__xludf.DUMMYFUNCTION("INDEX(SPLIT(A475, ""/""), 3)"),"بسیج دانشجویی")</f>
        <v>بسیج دانشجویی</v>
      </c>
      <c r="V475" s="1" t="str">
        <f>IFERROR(__xludf.DUMMYFUNCTION("INDEX(SPLIT(A475, ""/""), 4)"),"آزادراه")</f>
        <v>آزادراه</v>
      </c>
    </row>
    <row r="476">
      <c r="A476" s="1" t="s">
        <v>1631</v>
      </c>
      <c r="B476" s="1" t="s">
        <v>1642</v>
      </c>
      <c r="C476" s="1" t="s">
        <v>21</v>
      </c>
      <c r="D476" s="4" t="s">
        <v>1643</v>
      </c>
      <c r="E476" s="1" t="s">
        <v>1634</v>
      </c>
      <c r="F476" s="1" t="s">
        <v>1639</v>
      </c>
      <c r="G476" s="1" t="s">
        <v>1635</v>
      </c>
      <c r="H476" s="1" t="s">
        <v>1644</v>
      </c>
      <c r="I476" s="1" t="str">
        <f t="shared" si="1"/>
        <v>x</v>
      </c>
      <c r="J476" s="1">
        <v>3.0</v>
      </c>
      <c r="K476" s="1" t="str">
        <f t="shared" si="2"/>
        <v>8</v>
      </c>
      <c r="L476" s="5"/>
      <c r="M476" s="2" t="str">
        <f t="shared" si="3"/>
        <v>1389</v>
      </c>
      <c r="N476" s="1"/>
      <c r="O476" s="1">
        <v>3.0</v>
      </c>
      <c r="P476" s="5"/>
      <c r="Q476" s="5"/>
      <c r="R476" s="6" t="s">
        <v>1645</v>
      </c>
      <c r="S476" s="5"/>
      <c r="T476" s="1" t="str">
        <f>IFERROR(__xludf.DUMMYFUNCTION("INDEX(SPLIT(A476, ""/""), 2)"),"تشکل‌های اسلامی و سیاسی")</f>
        <v>تشکل‌های اسلامی و سیاسی</v>
      </c>
      <c r="U476" s="1" t="str">
        <f>IFERROR(__xludf.DUMMYFUNCTION("INDEX(SPLIT(A476, ""/""), 3)"),"بسیج دانشجویی")</f>
        <v>بسیج دانشجویی</v>
      </c>
      <c r="V476" s="1" t="str">
        <f>IFERROR(__xludf.DUMMYFUNCTION("INDEX(SPLIT(A476, ""/""), 4)"),"آزادراه")</f>
        <v>آزادراه</v>
      </c>
    </row>
    <row r="477">
      <c r="A477" s="1" t="s">
        <v>1631</v>
      </c>
      <c r="B477" s="1" t="s">
        <v>1646</v>
      </c>
      <c r="C477" s="1" t="s">
        <v>21</v>
      </c>
      <c r="D477" s="4" t="s">
        <v>1647</v>
      </c>
      <c r="E477" s="1" t="s">
        <v>1634</v>
      </c>
      <c r="F477" s="1" t="s">
        <v>1639</v>
      </c>
      <c r="G477" s="1" t="s">
        <v>1635</v>
      </c>
      <c r="H477" s="1" t="s">
        <v>1644</v>
      </c>
      <c r="I477" s="1" t="str">
        <f t="shared" si="1"/>
        <v>x</v>
      </c>
      <c r="J477" s="1">
        <v>1.0</v>
      </c>
      <c r="K477" s="1" t="str">
        <f t="shared" si="2"/>
        <v>8</v>
      </c>
      <c r="L477" s="5"/>
      <c r="M477" s="2" t="str">
        <f t="shared" si="3"/>
        <v>1389</v>
      </c>
      <c r="N477" s="1"/>
      <c r="O477" s="1">
        <v>4.0</v>
      </c>
      <c r="P477" s="5"/>
      <c r="Q477" s="5"/>
      <c r="R477" s="6" t="s">
        <v>1645</v>
      </c>
      <c r="S477" s="5"/>
      <c r="T477" s="1" t="str">
        <f>IFERROR(__xludf.DUMMYFUNCTION("INDEX(SPLIT(A477, ""/""), 2)"),"تشکل‌های اسلامی و سیاسی")</f>
        <v>تشکل‌های اسلامی و سیاسی</v>
      </c>
      <c r="U477" s="1" t="str">
        <f>IFERROR(__xludf.DUMMYFUNCTION("INDEX(SPLIT(A477, ""/""), 3)"),"بسیج دانشجویی")</f>
        <v>بسیج دانشجویی</v>
      </c>
      <c r="V477" s="1" t="str">
        <f>IFERROR(__xludf.DUMMYFUNCTION("INDEX(SPLIT(A477, ""/""), 4)"),"آزادراه")</f>
        <v>آزادراه</v>
      </c>
    </row>
    <row r="478">
      <c r="A478" s="1" t="s">
        <v>1631</v>
      </c>
      <c r="B478" s="1" t="s">
        <v>1648</v>
      </c>
      <c r="C478" s="1" t="s">
        <v>21</v>
      </c>
      <c r="D478" s="4" t="s">
        <v>1649</v>
      </c>
      <c r="E478" s="1" t="s">
        <v>1634</v>
      </c>
      <c r="F478" s="1" t="s">
        <v>1639</v>
      </c>
      <c r="G478" s="1" t="s">
        <v>1635</v>
      </c>
      <c r="H478" s="1" t="s">
        <v>1650</v>
      </c>
      <c r="I478" s="1" t="str">
        <f t="shared" si="1"/>
        <v>x</v>
      </c>
      <c r="J478" s="1">
        <v>3.0</v>
      </c>
      <c r="K478" s="1" t="str">
        <f t="shared" si="2"/>
        <v>9</v>
      </c>
      <c r="L478" s="5"/>
      <c r="M478" s="2" t="str">
        <f t="shared" si="3"/>
        <v>1389</v>
      </c>
      <c r="N478" s="1"/>
      <c r="O478" s="1">
        <v>5.0</v>
      </c>
      <c r="P478" s="5"/>
      <c r="Q478" s="5"/>
      <c r="R478" s="6" t="s">
        <v>1651</v>
      </c>
      <c r="S478" s="5"/>
      <c r="T478" s="1" t="str">
        <f>IFERROR(__xludf.DUMMYFUNCTION("INDEX(SPLIT(A478, ""/""), 2)"),"تشکل‌های اسلامی و سیاسی")</f>
        <v>تشکل‌های اسلامی و سیاسی</v>
      </c>
      <c r="U478" s="1" t="str">
        <f>IFERROR(__xludf.DUMMYFUNCTION("INDEX(SPLIT(A478, ""/""), 3)"),"بسیج دانشجویی")</f>
        <v>بسیج دانشجویی</v>
      </c>
      <c r="V478" s="1" t="str">
        <f>IFERROR(__xludf.DUMMYFUNCTION("INDEX(SPLIT(A478, ""/""), 4)"),"آزادراه")</f>
        <v>آزادراه</v>
      </c>
    </row>
    <row r="479">
      <c r="A479" s="1" t="s">
        <v>1631</v>
      </c>
      <c r="B479" s="1" t="s">
        <v>1652</v>
      </c>
      <c r="C479" s="1" t="s">
        <v>21</v>
      </c>
      <c r="D479" s="4" t="s">
        <v>1653</v>
      </c>
      <c r="E479" s="1" t="s">
        <v>1634</v>
      </c>
      <c r="F479" s="1" t="s">
        <v>1639</v>
      </c>
      <c r="G479" s="1" t="s">
        <v>1635</v>
      </c>
      <c r="H479" s="1" t="s">
        <v>1650</v>
      </c>
      <c r="I479" s="1" t="str">
        <f t="shared" si="1"/>
        <v>x</v>
      </c>
      <c r="J479" s="1">
        <v>4.0</v>
      </c>
      <c r="K479" s="1" t="str">
        <f t="shared" si="2"/>
        <v>9</v>
      </c>
      <c r="L479" s="5"/>
      <c r="M479" s="2" t="str">
        <f t="shared" si="3"/>
        <v>1389</v>
      </c>
      <c r="N479" s="1"/>
      <c r="O479" s="1">
        <v>6.0</v>
      </c>
      <c r="P479" s="5"/>
      <c r="Q479" s="5"/>
      <c r="R479" s="6" t="s">
        <v>1651</v>
      </c>
      <c r="S479" s="5"/>
      <c r="T479" s="1" t="str">
        <f>IFERROR(__xludf.DUMMYFUNCTION("INDEX(SPLIT(A479, ""/""), 2)"),"تشکل‌های اسلامی و سیاسی")</f>
        <v>تشکل‌های اسلامی و سیاسی</v>
      </c>
      <c r="U479" s="1" t="str">
        <f>IFERROR(__xludf.DUMMYFUNCTION("INDEX(SPLIT(A479, ""/""), 3)"),"بسیج دانشجویی")</f>
        <v>بسیج دانشجویی</v>
      </c>
      <c r="V479" s="1" t="str">
        <f>IFERROR(__xludf.DUMMYFUNCTION("INDEX(SPLIT(A479, ""/""), 4)"),"آزادراه")</f>
        <v>آزادراه</v>
      </c>
    </row>
    <row r="480">
      <c r="A480" s="1" t="s">
        <v>1631</v>
      </c>
      <c r="B480" s="1" t="s">
        <v>1654</v>
      </c>
      <c r="C480" s="1" t="s">
        <v>21</v>
      </c>
      <c r="D480" s="4" t="s">
        <v>1655</v>
      </c>
      <c r="E480" s="1" t="s">
        <v>1634</v>
      </c>
      <c r="F480" s="1" t="s">
        <v>1639</v>
      </c>
      <c r="G480" s="1" t="s">
        <v>1635</v>
      </c>
      <c r="H480" s="1" t="s">
        <v>1650</v>
      </c>
      <c r="I480" s="1" t="str">
        <f t="shared" si="1"/>
        <v>x</v>
      </c>
      <c r="J480" s="1">
        <v>3.0</v>
      </c>
      <c r="K480" s="1" t="str">
        <f t="shared" si="2"/>
        <v>9</v>
      </c>
      <c r="L480" s="5"/>
      <c r="M480" s="2" t="str">
        <f t="shared" si="3"/>
        <v>1389</v>
      </c>
      <c r="N480" s="1"/>
      <c r="O480" s="1">
        <v>7.0</v>
      </c>
      <c r="P480" s="5"/>
      <c r="Q480" s="5"/>
      <c r="R480" s="6" t="s">
        <v>1651</v>
      </c>
      <c r="S480" s="5"/>
      <c r="T480" s="1" t="str">
        <f>IFERROR(__xludf.DUMMYFUNCTION("INDEX(SPLIT(A480, ""/""), 2)"),"تشکل‌های اسلامی و سیاسی")</f>
        <v>تشکل‌های اسلامی و سیاسی</v>
      </c>
      <c r="U480" s="1" t="str">
        <f>IFERROR(__xludf.DUMMYFUNCTION("INDEX(SPLIT(A480, ""/""), 3)"),"بسیج دانشجویی")</f>
        <v>بسیج دانشجویی</v>
      </c>
      <c r="V480" s="1" t="str">
        <f>IFERROR(__xludf.DUMMYFUNCTION("INDEX(SPLIT(A480, ""/""), 4)"),"آزادراه")</f>
        <v>آزادراه</v>
      </c>
    </row>
    <row r="481">
      <c r="A481" s="1" t="s">
        <v>1631</v>
      </c>
      <c r="B481" s="1" t="s">
        <v>1656</v>
      </c>
      <c r="C481" s="1" t="s">
        <v>21</v>
      </c>
      <c r="D481" s="4" t="s">
        <v>1657</v>
      </c>
      <c r="E481" s="1" t="s">
        <v>1634</v>
      </c>
      <c r="F481" s="1" t="s">
        <v>1639</v>
      </c>
      <c r="G481" s="1" t="s">
        <v>1635</v>
      </c>
      <c r="H481" s="1" t="s">
        <v>1658</v>
      </c>
      <c r="I481" s="1" t="str">
        <f t="shared" si="1"/>
        <v>x</v>
      </c>
      <c r="J481" s="1">
        <v>1.0</v>
      </c>
      <c r="K481" s="1" t="str">
        <f t="shared" si="2"/>
        <v>11</v>
      </c>
      <c r="L481" s="5"/>
      <c r="M481" s="2" t="str">
        <f t="shared" si="3"/>
        <v>1389</v>
      </c>
      <c r="N481" s="1"/>
      <c r="O481" s="1">
        <v>8.0</v>
      </c>
      <c r="P481" s="5"/>
      <c r="Q481" s="5"/>
      <c r="R481" s="6" t="s">
        <v>1659</v>
      </c>
      <c r="S481" s="5"/>
      <c r="T481" s="1" t="str">
        <f>IFERROR(__xludf.DUMMYFUNCTION("INDEX(SPLIT(A481, ""/""), 2)"),"تشکل‌های اسلامی و سیاسی")</f>
        <v>تشکل‌های اسلامی و سیاسی</v>
      </c>
      <c r="U481" s="1" t="str">
        <f>IFERROR(__xludf.DUMMYFUNCTION("INDEX(SPLIT(A481, ""/""), 3)"),"بسیج دانشجویی")</f>
        <v>بسیج دانشجویی</v>
      </c>
      <c r="V481" s="1" t="str">
        <f>IFERROR(__xludf.DUMMYFUNCTION("INDEX(SPLIT(A481, ""/""), 4)"),"آزادراه")</f>
        <v>آزادراه</v>
      </c>
    </row>
    <row r="482">
      <c r="A482" s="1" t="s">
        <v>1631</v>
      </c>
      <c r="B482" s="1" t="s">
        <v>1660</v>
      </c>
      <c r="C482" s="1" t="s">
        <v>21</v>
      </c>
      <c r="D482" s="4" t="s">
        <v>1661</v>
      </c>
      <c r="E482" s="1" t="s">
        <v>1634</v>
      </c>
      <c r="F482" s="1" t="s">
        <v>1639</v>
      </c>
      <c r="G482" s="1" t="s">
        <v>1635</v>
      </c>
      <c r="H482" s="1" t="s">
        <v>1662</v>
      </c>
      <c r="I482" s="1" t="str">
        <f t="shared" si="1"/>
        <v>x</v>
      </c>
      <c r="J482" s="1">
        <v>3.0</v>
      </c>
      <c r="K482" s="1" t="str">
        <f t="shared" si="2"/>
        <v>12</v>
      </c>
      <c r="L482" s="5"/>
      <c r="M482" s="2" t="str">
        <f t="shared" si="3"/>
        <v>1389</v>
      </c>
      <c r="N482" s="1"/>
      <c r="O482" s="1">
        <v>9.0</v>
      </c>
      <c r="P482" s="5"/>
      <c r="Q482" s="5"/>
      <c r="R482" s="6" t="s">
        <v>1663</v>
      </c>
      <c r="S482" s="5"/>
      <c r="T482" s="1" t="str">
        <f>IFERROR(__xludf.DUMMYFUNCTION("INDEX(SPLIT(A482, ""/""), 2)"),"تشکل‌های اسلامی و سیاسی")</f>
        <v>تشکل‌های اسلامی و سیاسی</v>
      </c>
      <c r="U482" s="1" t="str">
        <f>IFERROR(__xludf.DUMMYFUNCTION("INDEX(SPLIT(A482, ""/""), 3)"),"بسیج دانشجویی")</f>
        <v>بسیج دانشجویی</v>
      </c>
      <c r="V482" s="1" t="str">
        <f>IFERROR(__xludf.DUMMYFUNCTION("INDEX(SPLIT(A482, ""/""), 4)"),"آزادراه")</f>
        <v>آزادراه</v>
      </c>
    </row>
    <row r="483">
      <c r="A483" s="1" t="s">
        <v>1631</v>
      </c>
      <c r="B483" s="1" t="s">
        <v>1664</v>
      </c>
      <c r="C483" s="1" t="s">
        <v>21</v>
      </c>
      <c r="D483" s="4" t="s">
        <v>1665</v>
      </c>
      <c r="E483" s="1" t="s">
        <v>1634</v>
      </c>
      <c r="F483" s="1" t="s">
        <v>1639</v>
      </c>
      <c r="G483" s="1" t="s">
        <v>1635</v>
      </c>
      <c r="H483" s="1" t="s">
        <v>1662</v>
      </c>
      <c r="I483" s="1" t="str">
        <f t="shared" si="1"/>
        <v>x</v>
      </c>
      <c r="J483" s="1">
        <v>3.0</v>
      </c>
      <c r="K483" s="1" t="str">
        <f t="shared" si="2"/>
        <v>12</v>
      </c>
      <c r="L483" s="5"/>
      <c r="M483" s="2" t="str">
        <f t="shared" si="3"/>
        <v>1389</v>
      </c>
      <c r="N483" s="1"/>
      <c r="O483" s="1">
        <v>10.0</v>
      </c>
      <c r="P483" s="5"/>
      <c r="Q483" s="5"/>
      <c r="R483" s="6" t="s">
        <v>1663</v>
      </c>
      <c r="S483" s="5"/>
      <c r="T483" s="1" t="str">
        <f>IFERROR(__xludf.DUMMYFUNCTION("INDEX(SPLIT(A483, ""/""), 2)"),"تشکل‌های اسلامی و سیاسی")</f>
        <v>تشکل‌های اسلامی و سیاسی</v>
      </c>
      <c r="U483" s="1" t="str">
        <f>IFERROR(__xludf.DUMMYFUNCTION("INDEX(SPLIT(A483, ""/""), 3)"),"بسیج دانشجویی")</f>
        <v>بسیج دانشجویی</v>
      </c>
      <c r="V483" s="1" t="str">
        <f>IFERROR(__xludf.DUMMYFUNCTION("INDEX(SPLIT(A483, ""/""), 4)"),"آزادراه")</f>
        <v>آزادراه</v>
      </c>
    </row>
    <row r="484">
      <c r="A484" s="1" t="s">
        <v>1631</v>
      </c>
      <c r="B484" s="1" t="s">
        <v>1666</v>
      </c>
      <c r="C484" s="1" t="s">
        <v>21</v>
      </c>
      <c r="D484" s="4" t="s">
        <v>1667</v>
      </c>
      <c r="E484" s="1" t="s">
        <v>1634</v>
      </c>
      <c r="F484" s="1" t="s">
        <v>1639</v>
      </c>
      <c r="G484" s="1" t="s">
        <v>752</v>
      </c>
      <c r="H484" s="1" t="s">
        <v>1668</v>
      </c>
      <c r="I484" s="1" t="str">
        <f t="shared" si="1"/>
        <v>x</v>
      </c>
      <c r="J484" s="5"/>
      <c r="K484" s="1" t="str">
        <f t="shared" si="2"/>
        <v>1</v>
      </c>
      <c r="L484" s="5"/>
      <c r="M484" s="2" t="str">
        <f t="shared" si="3"/>
        <v>1390</v>
      </c>
      <c r="N484" s="1"/>
      <c r="O484" s="1">
        <v>14.0</v>
      </c>
      <c r="P484" s="5"/>
      <c r="Q484" s="5"/>
      <c r="R484" s="6" t="s">
        <v>1669</v>
      </c>
      <c r="S484" s="5"/>
      <c r="T484" s="1" t="str">
        <f>IFERROR(__xludf.DUMMYFUNCTION("INDEX(SPLIT(A484, ""/""), 2)"),"تشکل‌های اسلامی و سیاسی")</f>
        <v>تشکل‌های اسلامی و سیاسی</v>
      </c>
      <c r="U484" s="1" t="str">
        <f>IFERROR(__xludf.DUMMYFUNCTION("INDEX(SPLIT(A484, ""/""), 3)"),"بسیج دانشجویی")</f>
        <v>بسیج دانشجویی</v>
      </c>
      <c r="V484" s="1" t="str">
        <f>IFERROR(__xludf.DUMMYFUNCTION("INDEX(SPLIT(A484, ""/""), 4)"),"آزادراه")</f>
        <v>آزادراه</v>
      </c>
    </row>
    <row r="485">
      <c r="A485" s="1" t="s">
        <v>1631</v>
      </c>
      <c r="B485" s="1" t="s">
        <v>1670</v>
      </c>
      <c r="C485" s="1" t="s">
        <v>21</v>
      </c>
      <c r="D485" s="4" t="s">
        <v>1671</v>
      </c>
      <c r="E485" s="1" t="s">
        <v>1634</v>
      </c>
      <c r="F485" s="1" t="s">
        <v>1639</v>
      </c>
      <c r="G485" s="1" t="s">
        <v>752</v>
      </c>
      <c r="H485" s="1" t="s">
        <v>1672</v>
      </c>
      <c r="I485" s="1" t="str">
        <f t="shared" si="1"/>
        <v>29</v>
      </c>
      <c r="J485" s="1">
        <v>4.0</v>
      </c>
      <c r="K485" s="1" t="str">
        <f t="shared" si="2"/>
        <v>8</v>
      </c>
      <c r="L485" s="5"/>
      <c r="M485" s="2" t="str">
        <f t="shared" si="3"/>
        <v>1390</v>
      </c>
      <c r="N485" s="1"/>
      <c r="O485" s="1">
        <v>14.5</v>
      </c>
      <c r="P485" s="5"/>
      <c r="Q485" s="5"/>
      <c r="R485" s="6" t="s">
        <v>1672</v>
      </c>
      <c r="S485" s="5"/>
      <c r="T485" s="1" t="str">
        <f>IFERROR(__xludf.DUMMYFUNCTION("INDEX(SPLIT(A485, ""/""), 2)"),"تشکل‌های اسلامی و سیاسی")</f>
        <v>تشکل‌های اسلامی و سیاسی</v>
      </c>
      <c r="U485" s="1" t="str">
        <f>IFERROR(__xludf.DUMMYFUNCTION("INDEX(SPLIT(A485, ""/""), 3)"),"بسیج دانشجویی")</f>
        <v>بسیج دانشجویی</v>
      </c>
      <c r="V485" s="1" t="str">
        <f>IFERROR(__xludf.DUMMYFUNCTION("INDEX(SPLIT(A485, ""/""), 4)"),"آزادراه")</f>
        <v>آزادراه</v>
      </c>
    </row>
    <row r="486">
      <c r="A486" s="1" t="s">
        <v>1631</v>
      </c>
      <c r="B486" s="1" t="s">
        <v>1673</v>
      </c>
      <c r="C486" s="1" t="s">
        <v>21</v>
      </c>
      <c r="D486" s="4" t="s">
        <v>1674</v>
      </c>
      <c r="E486" s="1" t="s">
        <v>1634</v>
      </c>
      <c r="F486" s="1" t="s">
        <v>1639</v>
      </c>
      <c r="G486" s="1" t="s">
        <v>752</v>
      </c>
      <c r="H486" s="1" t="s">
        <v>1675</v>
      </c>
      <c r="I486" s="1" t="str">
        <f t="shared" si="1"/>
        <v>x</v>
      </c>
      <c r="J486" s="1">
        <v>3.0</v>
      </c>
      <c r="K486" s="1" t="str">
        <f t="shared" si="2"/>
        <v>8</v>
      </c>
      <c r="L486" s="5"/>
      <c r="M486" s="2" t="str">
        <f t="shared" si="3"/>
        <v>1390</v>
      </c>
      <c r="N486" s="1"/>
      <c r="O486" s="1">
        <v>15.0</v>
      </c>
      <c r="P486" s="5"/>
      <c r="Q486" s="5"/>
      <c r="R486" s="6" t="s">
        <v>1676</v>
      </c>
      <c r="S486" s="5"/>
      <c r="T486" s="1" t="str">
        <f>IFERROR(__xludf.DUMMYFUNCTION("INDEX(SPLIT(A486, ""/""), 2)"),"تشکل‌های اسلامی و سیاسی")</f>
        <v>تشکل‌های اسلامی و سیاسی</v>
      </c>
      <c r="U486" s="1" t="str">
        <f>IFERROR(__xludf.DUMMYFUNCTION("INDEX(SPLIT(A486, ""/""), 3)"),"بسیج دانشجویی")</f>
        <v>بسیج دانشجویی</v>
      </c>
      <c r="V486" s="1" t="str">
        <f>IFERROR(__xludf.DUMMYFUNCTION("INDEX(SPLIT(A486, ""/""), 4)"),"آزادراه")</f>
        <v>آزادراه</v>
      </c>
    </row>
    <row r="487">
      <c r="A487" s="1" t="s">
        <v>1631</v>
      </c>
      <c r="B487" s="1" t="s">
        <v>1677</v>
      </c>
      <c r="C487" s="1" t="s">
        <v>21</v>
      </c>
      <c r="D487" s="4" t="s">
        <v>1678</v>
      </c>
      <c r="E487" s="1" t="s">
        <v>1634</v>
      </c>
      <c r="F487" s="1" t="s">
        <v>1639</v>
      </c>
      <c r="G487" s="1" t="s">
        <v>752</v>
      </c>
      <c r="H487" s="1" t="s">
        <v>1679</v>
      </c>
      <c r="I487" s="1" t="str">
        <f t="shared" si="1"/>
        <v>x</v>
      </c>
      <c r="J487" s="1">
        <v>1.0</v>
      </c>
      <c r="K487" s="1" t="str">
        <f t="shared" si="2"/>
        <v>9</v>
      </c>
      <c r="L487" s="5"/>
      <c r="M487" s="2" t="str">
        <f t="shared" si="3"/>
        <v>1390</v>
      </c>
      <c r="N487" s="1"/>
      <c r="O487" s="1">
        <v>16.0</v>
      </c>
      <c r="P487" s="5"/>
      <c r="Q487" s="5"/>
      <c r="R487" s="6" t="s">
        <v>1680</v>
      </c>
      <c r="S487" s="5"/>
      <c r="T487" s="1" t="str">
        <f>IFERROR(__xludf.DUMMYFUNCTION("INDEX(SPLIT(A487, ""/""), 2)"),"تشکل‌های اسلامی و سیاسی")</f>
        <v>تشکل‌های اسلامی و سیاسی</v>
      </c>
      <c r="U487" s="1" t="str">
        <f>IFERROR(__xludf.DUMMYFUNCTION("INDEX(SPLIT(A487, ""/""), 3)"),"بسیج دانشجویی")</f>
        <v>بسیج دانشجویی</v>
      </c>
      <c r="V487" s="1" t="str">
        <f>IFERROR(__xludf.DUMMYFUNCTION("INDEX(SPLIT(A487, ""/""), 4)"),"آزادراه")</f>
        <v>آزادراه</v>
      </c>
    </row>
    <row r="488">
      <c r="A488" s="1" t="s">
        <v>1681</v>
      </c>
      <c r="B488" s="1" t="s">
        <v>1682</v>
      </c>
      <c r="C488" s="1" t="s">
        <v>21</v>
      </c>
      <c r="D488" s="4" t="s">
        <v>1683</v>
      </c>
      <c r="E488" s="1" t="s">
        <v>1634</v>
      </c>
      <c r="F488" s="1" t="s">
        <v>1684</v>
      </c>
      <c r="G488" s="1" t="s">
        <v>1685</v>
      </c>
      <c r="H488" s="1" t="s">
        <v>1290</v>
      </c>
      <c r="I488" s="1" t="str">
        <f t="shared" si="1"/>
        <v>26</v>
      </c>
      <c r="J488" s="5"/>
      <c r="K488" s="1" t="str">
        <f t="shared" si="2"/>
        <v>9</v>
      </c>
      <c r="L488" s="5"/>
      <c r="M488" s="2" t="str">
        <f t="shared" si="3"/>
        <v>1397</v>
      </c>
      <c r="N488" s="5"/>
      <c r="O488" s="2">
        <v>1.0</v>
      </c>
      <c r="P488" s="5"/>
      <c r="Q488" s="5"/>
      <c r="R488" s="6" t="s">
        <v>1290</v>
      </c>
      <c r="S488" s="5"/>
      <c r="T488" s="1" t="str">
        <f>IFERROR(__xludf.DUMMYFUNCTION("INDEX(SPLIT(A488, ""/""), 2)"),"تشکل‌های اسلامی و سیاسی")</f>
        <v>تشکل‌های اسلامی و سیاسی</v>
      </c>
      <c r="U488" s="1" t="str">
        <f>IFERROR(__xludf.DUMMYFUNCTION("INDEX(SPLIT(A488, ""/""), 3)"),"بسیج دانشجویی")</f>
        <v>بسیج دانشجویی</v>
      </c>
      <c r="V488" s="1" t="str">
        <f>IFERROR(__xludf.DUMMYFUNCTION("INDEX(SPLIT(A488, ""/""), 4)"),"ثمین")</f>
        <v>ثمین</v>
      </c>
    </row>
    <row r="489">
      <c r="A489" s="1" t="s">
        <v>1681</v>
      </c>
      <c r="B489" s="1" t="s">
        <v>1686</v>
      </c>
      <c r="C489" s="1" t="s">
        <v>21</v>
      </c>
      <c r="D489" s="4" t="s">
        <v>1687</v>
      </c>
      <c r="E489" s="1" t="s">
        <v>1634</v>
      </c>
      <c r="F489" s="1" t="s">
        <v>1684</v>
      </c>
      <c r="G489" s="1" t="s">
        <v>1685</v>
      </c>
      <c r="H489" s="1" t="s">
        <v>1688</v>
      </c>
      <c r="I489" s="1" t="str">
        <f t="shared" si="1"/>
        <v>21</v>
      </c>
      <c r="J489" s="5"/>
      <c r="K489" s="1" t="str">
        <f t="shared" si="2"/>
        <v>11</v>
      </c>
      <c r="L489" s="5"/>
      <c r="M489" s="2" t="str">
        <f t="shared" si="3"/>
        <v>1397</v>
      </c>
      <c r="N489" s="5"/>
      <c r="O489" s="2">
        <v>2.0</v>
      </c>
      <c r="P489" s="5"/>
      <c r="Q489" s="5"/>
      <c r="R489" s="6" t="s">
        <v>1688</v>
      </c>
      <c r="S489" s="5"/>
      <c r="T489" s="1" t="str">
        <f>IFERROR(__xludf.DUMMYFUNCTION("INDEX(SPLIT(A489, ""/""), 2)"),"تشکل‌های اسلامی و سیاسی")</f>
        <v>تشکل‌های اسلامی و سیاسی</v>
      </c>
      <c r="U489" s="1" t="str">
        <f>IFERROR(__xludf.DUMMYFUNCTION("INDEX(SPLIT(A489, ""/""), 3)"),"بسیج دانشجویی")</f>
        <v>بسیج دانشجویی</v>
      </c>
      <c r="V489" s="1" t="str">
        <f>IFERROR(__xludf.DUMMYFUNCTION("INDEX(SPLIT(A489, ""/""), 4)"),"ثمین")</f>
        <v>ثمین</v>
      </c>
    </row>
    <row r="490">
      <c r="A490" s="1" t="s">
        <v>1681</v>
      </c>
      <c r="B490" s="1" t="s">
        <v>1689</v>
      </c>
      <c r="C490" s="1" t="s">
        <v>21</v>
      </c>
      <c r="D490" s="4" t="s">
        <v>1690</v>
      </c>
      <c r="E490" s="1" t="s">
        <v>1634</v>
      </c>
      <c r="F490" s="1" t="s">
        <v>1684</v>
      </c>
      <c r="G490" s="1" t="s">
        <v>1685</v>
      </c>
      <c r="H490" s="7" t="s">
        <v>782</v>
      </c>
      <c r="I490" s="1" t="str">
        <f t="shared" si="1"/>
        <v>7</v>
      </c>
      <c r="J490" s="5"/>
      <c r="K490" s="1" t="str">
        <f t="shared" si="2"/>
        <v>3</v>
      </c>
      <c r="L490" s="5"/>
      <c r="M490" s="2" t="str">
        <f t="shared" si="3"/>
        <v>1398</v>
      </c>
      <c r="N490" s="5"/>
      <c r="O490" s="2">
        <v>3.0</v>
      </c>
      <c r="P490" s="5"/>
      <c r="Q490" s="5"/>
      <c r="R490" s="8" t="s">
        <v>782</v>
      </c>
      <c r="S490" s="5"/>
      <c r="T490" s="1" t="str">
        <f>IFERROR(__xludf.DUMMYFUNCTION("INDEX(SPLIT(A490, ""/""), 2)"),"تشکل‌های اسلامی و سیاسی")</f>
        <v>تشکل‌های اسلامی و سیاسی</v>
      </c>
      <c r="U490" s="1" t="str">
        <f>IFERROR(__xludf.DUMMYFUNCTION("INDEX(SPLIT(A490, ""/""), 3)"),"بسیج دانشجویی")</f>
        <v>بسیج دانشجویی</v>
      </c>
      <c r="V490" s="1" t="str">
        <f>IFERROR(__xludf.DUMMYFUNCTION("INDEX(SPLIT(A490, ""/""), 4)"),"ثمین")</f>
        <v>ثمین</v>
      </c>
    </row>
    <row r="491">
      <c r="A491" s="1" t="s">
        <v>1681</v>
      </c>
      <c r="B491" s="1" t="s">
        <v>1691</v>
      </c>
      <c r="C491" s="1" t="s">
        <v>21</v>
      </c>
      <c r="D491" s="4" t="s">
        <v>1692</v>
      </c>
      <c r="E491" s="1" t="s">
        <v>1634</v>
      </c>
      <c r="F491" s="1" t="s">
        <v>1684</v>
      </c>
      <c r="G491" s="1" t="s">
        <v>1685</v>
      </c>
      <c r="H491" s="1" t="s">
        <v>1315</v>
      </c>
      <c r="I491" s="1" t="str">
        <f t="shared" si="1"/>
        <v>14</v>
      </c>
      <c r="J491" s="5"/>
      <c r="K491" s="1" t="str">
        <f t="shared" si="2"/>
        <v>8</v>
      </c>
      <c r="L491" s="5"/>
      <c r="M491" s="2" t="str">
        <f t="shared" si="3"/>
        <v>1398</v>
      </c>
      <c r="N491" s="5"/>
      <c r="O491" s="2">
        <v>4.0</v>
      </c>
      <c r="P491" s="5"/>
      <c r="Q491" s="5"/>
      <c r="R491" s="6" t="s">
        <v>1315</v>
      </c>
      <c r="S491" s="5"/>
      <c r="T491" s="1" t="str">
        <f>IFERROR(__xludf.DUMMYFUNCTION("INDEX(SPLIT(A491, ""/""), 2)"),"تشکل‌های اسلامی و سیاسی")</f>
        <v>تشکل‌های اسلامی و سیاسی</v>
      </c>
      <c r="U491" s="1" t="str">
        <f>IFERROR(__xludf.DUMMYFUNCTION("INDEX(SPLIT(A491, ""/""), 3)"),"بسیج دانشجویی")</f>
        <v>بسیج دانشجویی</v>
      </c>
      <c r="V491" s="1" t="str">
        <f>IFERROR(__xludf.DUMMYFUNCTION("INDEX(SPLIT(A491, ""/""), 4)"),"ثمین")</f>
        <v>ثمین</v>
      </c>
    </row>
    <row r="492">
      <c r="A492" s="1" t="s">
        <v>1681</v>
      </c>
      <c r="B492" s="1" t="s">
        <v>1693</v>
      </c>
      <c r="C492" s="1" t="s">
        <v>21</v>
      </c>
      <c r="D492" s="4" t="s">
        <v>1694</v>
      </c>
      <c r="E492" s="1" t="s">
        <v>1634</v>
      </c>
      <c r="F492" s="1" t="s">
        <v>1695</v>
      </c>
      <c r="G492" s="1" t="s">
        <v>1696</v>
      </c>
      <c r="H492" s="7" t="s">
        <v>1697</v>
      </c>
      <c r="I492" s="1" t="str">
        <f t="shared" si="1"/>
        <v>1</v>
      </c>
      <c r="J492" s="5"/>
      <c r="K492" s="1" t="str">
        <f t="shared" si="2"/>
        <v>12</v>
      </c>
      <c r="L492" s="5"/>
      <c r="M492" s="2" t="str">
        <f t="shared" si="3"/>
        <v>1398</v>
      </c>
      <c r="N492" s="5"/>
      <c r="O492" s="2">
        <v>6.0</v>
      </c>
      <c r="P492" s="5"/>
      <c r="Q492" s="5"/>
      <c r="R492" s="8" t="s">
        <v>1697</v>
      </c>
      <c r="S492" s="5"/>
      <c r="T492" s="1" t="str">
        <f>IFERROR(__xludf.DUMMYFUNCTION("INDEX(SPLIT(A492, ""/""), 2)"),"تشکل‌های اسلامی و سیاسی")</f>
        <v>تشکل‌های اسلامی و سیاسی</v>
      </c>
      <c r="U492" s="1" t="str">
        <f>IFERROR(__xludf.DUMMYFUNCTION("INDEX(SPLIT(A492, ""/""), 3)"),"بسیج دانشجویی")</f>
        <v>بسیج دانشجویی</v>
      </c>
      <c r="V492" s="1" t="str">
        <f>IFERROR(__xludf.DUMMYFUNCTION("INDEX(SPLIT(A492, ""/""), 4)"),"ثمین")</f>
        <v>ثمین</v>
      </c>
    </row>
    <row r="493">
      <c r="A493" s="1" t="s">
        <v>1681</v>
      </c>
      <c r="B493" s="1" t="s">
        <v>1698</v>
      </c>
      <c r="C493" s="1" t="s">
        <v>21</v>
      </c>
      <c r="D493" s="4" t="s">
        <v>1699</v>
      </c>
      <c r="E493" s="1" t="s">
        <v>1634</v>
      </c>
      <c r="F493" s="1" t="s">
        <v>1695</v>
      </c>
      <c r="G493" s="1" t="s">
        <v>1700</v>
      </c>
      <c r="H493" s="1" t="s">
        <v>375</v>
      </c>
      <c r="I493" s="1" t="str">
        <f t="shared" si="1"/>
        <v>x</v>
      </c>
      <c r="J493" s="5"/>
      <c r="K493" s="1" t="str">
        <f t="shared" si="2"/>
        <v>3</v>
      </c>
      <c r="L493" s="5"/>
      <c r="M493" s="2" t="str">
        <f t="shared" si="3"/>
        <v>1399</v>
      </c>
      <c r="N493" s="5"/>
      <c r="O493" s="2" t="s">
        <v>1701</v>
      </c>
      <c r="P493" s="5"/>
      <c r="Q493" s="5"/>
      <c r="R493" s="6" t="s">
        <v>376</v>
      </c>
      <c r="S493" s="5"/>
      <c r="T493" s="1" t="str">
        <f>IFERROR(__xludf.DUMMYFUNCTION("INDEX(SPLIT(A493, ""/""), 2)"),"تشکل‌های اسلامی و سیاسی")</f>
        <v>تشکل‌های اسلامی و سیاسی</v>
      </c>
      <c r="U493" s="1" t="str">
        <f>IFERROR(__xludf.DUMMYFUNCTION("INDEX(SPLIT(A493, ""/""), 3)"),"بسیج دانشجویی")</f>
        <v>بسیج دانشجویی</v>
      </c>
      <c r="V493" s="1" t="str">
        <f>IFERROR(__xludf.DUMMYFUNCTION("INDEX(SPLIT(A493, ""/""), 4)"),"ثمین")</f>
        <v>ثمین</v>
      </c>
    </row>
    <row r="494">
      <c r="A494" s="1" t="s">
        <v>1681</v>
      </c>
      <c r="B494" s="1" t="s">
        <v>1702</v>
      </c>
      <c r="C494" s="1" t="s">
        <v>21</v>
      </c>
      <c r="D494" s="4" t="s">
        <v>1703</v>
      </c>
      <c r="E494" s="1" t="s">
        <v>1634</v>
      </c>
      <c r="F494" s="1" t="s">
        <v>1700</v>
      </c>
      <c r="G494" s="1" t="s">
        <v>1704</v>
      </c>
      <c r="H494" s="1" t="s">
        <v>32</v>
      </c>
      <c r="I494" s="1" t="str">
        <f t="shared" si="1"/>
        <v>x</v>
      </c>
      <c r="J494" s="5"/>
      <c r="K494" s="1" t="str">
        <f t="shared" si="2"/>
        <v>8</v>
      </c>
      <c r="L494" s="5"/>
      <c r="M494" s="2" t="str">
        <f t="shared" si="3"/>
        <v>1399</v>
      </c>
      <c r="N494" s="5"/>
      <c r="O494" s="2">
        <v>7.0</v>
      </c>
      <c r="P494" s="5"/>
      <c r="Q494" s="5"/>
      <c r="R494" s="6" t="s">
        <v>33</v>
      </c>
      <c r="S494" s="5"/>
      <c r="T494" s="1" t="str">
        <f>IFERROR(__xludf.DUMMYFUNCTION("INDEX(SPLIT(A494, ""/""), 2)"),"تشکل‌های اسلامی و سیاسی")</f>
        <v>تشکل‌های اسلامی و سیاسی</v>
      </c>
      <c r="U494" s="1" t="str">
        <f>IFERROR(__xludf.DUMMYFUNCTION("INDEX(SPLIT(A494, ""/""), 3)"),"بسیج دانشجویی")</f>
        <v>بسیج دانشجویی</v>
      </c>
      <c r="V494" s="1" t="str">
        <f>IFERROR(__xludf.DUMMYFUNCTION("INDEX(SPLIT(A494, ""/""), 4)"),"ثمین")</f>
        <v>ثمین</v>
      </c>
    </row>
    <row r="495">
      <c r="A495" s="1" t="s">
        <v>1681</v>
      </c>
      <c r="B495" s="1" t="s">
        <v>1705</v>
      </c>
      <c r="C495" s="1" t="s">
        <v>21</v>
      </c>
      <c r="D495" s="4" t="s">
        <v>1706</v>
      </c>
      <c r="E495" s="1" t="s">
        <v>1634</v>
      </c>
      <c r="F495" s="1" t="s">
        <v>1700</v>
      </c>
      <c r="G495" s="1" t="s">
        <v>1704</v>
      </c>
      <c r="H495" s="1" t="s">
        <v>44</v>
      </c>
      <c r="I495" s="1" t="str">
        <f t="shared" si="1"/>
        <v>x</v>
      </c>
      <c r="J495" s="5"/>
      <c r="K495" s="1" t="str">
        <f t="shared" si="2"/>
        <v>10</v>
      </c>
      <c r="L495" s="5"/>
      <c r="M495" s="2" t="str">
        <f t="shared" si="3"/>
        <v>1399</v>
      </c>
      <c r="N495" s="5"/>
      <c r="O495" s="2">
        <v>8.0</v>
      </c>
      <c r="P495" s="5"/>
      <c r="Q495" s="5"/>
      <c r="R495" s="6" t="s">
        <v>45</v>
      </c>
      <c r="S495" s="5"/>
      <c r="T495" s="1" t="str">
        <f>IFERROR(__xludf.DUMMYFUNCTION("INDEX(SPLIT(A495, ""/""), 2)"),"تشکل‌های اسلامی و سیاسی")</f>
        <v>تشکل‌های اسلامی و سیاسی</v>
      </c>
      <c r="U495" s="1" t="str">
        <f>IFERROR(__xludf.DUMMYFUNCTION("INDEX(SPLIT(A495, ""/""), 3)"),"بسیج دانشجویی")</f>
        <v>بسیج دانشجویی</v>
      </c>
      <c r="V495" s="1" t="str">
        <f>IFERROR(__xludf.DUMMYFUNCTION("INDEX(SPLIT(A495, ""/""), 4)"),"ثمین")</f>
        <v>ثمین</v>
      </c>
    </row>
    <row r="496">
      <c r="A496" s="1" t="s">
        <v>1707</v>
      </c>
      <c r="B496" s="1" t="s">
        <v>1708</v>
      </c>
      <c r="C496" s="1" t="s">
        <v>21</v>
      </c>
      <c r="D496" s="4" t="s">
        <v>1709</v>
      </c>
      <c r="E496" s="1" t="s">
        <v>1634</v>
      </c>
      <c r="F496" s="1" t="s">
        <v>71</v>
      </c>
      <c r="G496" s="1" t="s">
        <v>71</v>
      </c>
      <c r="H496" s="5"/>
      <c r="I496" s="1" t="str">
        <f t="shared" si="1"/>
        <v>#VALUE!</v>
      </c>
      <c r="J496" s="5"/>
      <c r="K496" s="1" t="str">
        <f t="shared" si="2"/>
        <v>#VALUE!</v>
      </c>
      <c r="L496" s="5"/>
      <c r="M496" s="2" t="str">
        <f t="shared" si="3"/>
        <v>#VALUE!</v>
      </c>
      <c r="N496" s="5"/>
      <c r="O496" s="1">
        <v>0.0</v>
      </c>
      <c r="P496" s="7" t="s">
        <v>1710</v>
      </c>
      <c r="Q496" s="7" t="s">
        <v>1711</v>
      </c>
      <c r="R496" s="6" t="s">
        <v>1712</v>
      </c>
      <c r="S496" s="1" t="s">
        <v>1713</v>
      </c>
      <c r="T496" s="1" t="str">
        <f>IFERROR(__xludf.DUMMYFUNCTION("INDEX(SPLIT(A496, ""/""), 2)"),"تشکل‌های اسلامی و سیاسی")</f>
        <v>تشکل‌های اسلامی و سیاسی</v>
      </c>
      <c r="U496" s="1" t="str">
        <f>IFERROR(__xludf.DUMMYFUNCTION("INDEX(SPLIT(A496, ""/""), 3)"),"بسیج دانشجویی")</f>
        <v>بسیج دانشجویی</v>
      </c>
      <c r="V496" s="1" t="str">
        <f>IFERROR(__xludf.DUMMYFUNCTION("INDEX(SPLIT(A496, ""/""), 4)"),"روشن")</f>
        <v>روشن</v>
      </c>
    </row>
    <row r="497">
      <c r="A497" s="1" t="s">
        <v>1707</v>
      </c>
      <c r="B497" s="1" t="s">
        <v>1714</v>
      </c>
      <c r="C497" s="1" t="s">
        <v>21</v>
      </c>
      <c r="D497" s="4" t="s">
        <v>1715</v>
      </c>
      <c r="E497" s="1" t="s">
        <v>1634</v>
      </c>
      <c r="F497" s="1" t="s">
        <v>1716</v>
      </c>
      <c r="G497" s="1" t="s">
        <v>1717</v>
      </c>
      <c r="H497" s="5"/>
      <c r="I497" s="1" t="str">
        <f t="shared" si="1"/>
        <v>#VALUE!</v>
      </c>
      <c r="J497" s="5"/>
      <c r="K497" s="1" t="str">
        <f t="shared" si="2"/>
        <v>#VALUE!</v>
      </c>
      <c r="L497" s="5"/>
      <c r="M497" s="2" t="str">
        <f t="shared" si="3"/>
        <v>#VALUE!</v>
      </c>
      <c r="N497" s="5"/>
      <c r="O497" s="1">
        <v>26.0</v>
      </c>
      <c r="P497" s="7" t="s">
        <v>1718</v>
      </c>
      <c r="Q497" s="7" t="s">
        <v>1719</v>
      </c>
      <c r="R497" s="6" t="s">
        <v>1720</v>
      </c>
      <c r="S497" s="1" t="s">
        <v>1721</v>
      </c>
      <c r="T497" s="1" t="str">
        <f>IFERROR(__xludf.DUMMYFUNCTION("INDEX(SPLIT(A497, ""/""), 2)"),"تشکل‌های اسلامی و سیاسی")</f>
        <v>تشکل‌های اسلامی و سیاسی</v>
      </c>
      <c r="U497" s="1" t="str">
        <f>IFERROR(__xludf.DUMMYFUNCTION("INDEX(SPLIT(A497, ""/""), 3)"),"بسیج دانشجویی")</f>
        <v>بسیج دانشجویی</v>
      </c>
      <c r="V497" s="1" t="str">
        <f>IFERROR(__xludf.DUMMYFUNCTION("INDEX(SPLIT(A497, ""/""), 4)"),"روشن")</f>
        <v>روشن</v>
      </c>
    </row>
    <row r="498">
      <c r="A498" s="1" t="s">
        <v>1707</v>
      </c>
      <c r="B498" s="1" t="s">
        <v>1722</v>
      </c>
      <c r="C498" s="1" t="s">
        <v>21</v>
      </c>
      <c r="D498" s="4" t="s">
        <v>1723</v>
      </c>
      <c r="E498" s="1" t="s">
        <v>1634</v>
      </c>
      <c r="F498" s="1" t="s">
        <v>1717</v>
      </c>
      <c r="G498" s="1" t="s">
        <v>1724</v>
      </c>
      <c r="H498" s="5"/>
      <c r="I498" s="1" t="str">
        <f t="shared" si="1"/>
        <v>#VALUE!</v>
      </c>
      <c r="J498" s="5"/>
      <c r="K498" s="1" t="str">
        <f t="shared" si="2"/>
        <v>#VALUE!</v>
      </c>
      <c r="L498" s="5"/>
      <c r="M498" s="2" t="str">
        <f t="shared" si="3"/>
        <v>#VALUE!</v>
      </c>
      <c r="N498" s="5"/>
      <c r="O498" s="1">
        <v>33.0</v>
      </c>
      <c r="P498" s="7" t="s">
        <v>1725</v>
      </c>
      <c r="Q498" s="7" t="s">
        <v>1726</v>
      </c>
      <c r="R498" s="6" t="s">
        <v>1153</v>
      </c>
      <c r="S498" s="1" t="s">
        <v>1727</v>
      </c>
      <c r="T498" s="1" t="str">
        <f>IFERROR(__xludf.DUMMYFUNCTION("INDEX(SPLIT(A498, ""/""), 2)"),"تشکل‌های اسلامی و سیاسی")</f>
        <v>تشکل‌های اسلامی و سیاسی</v>
      </c>
      <c r="U498" s="1" t="str">
        <f>IFERROR(__xludf.DUMMYFUNCTION("INDEX(SPLIT(A498, ""/""), 3)"),"بسیج دانشجویی")</f>
        <v>بسیج دانشجویی</v>
      </c>
      <c r="V498" s="1" t="str">
        <f>IFERROR(__xludf.DUMMYFUNCTION("INDEX(SPLIT(A498, ""/""), 4)"),"روشن")</f>
        <v>روشن</v>
      </c>
    </row>
    <row r="499">
      <c r="A499" s="1" t="s">
        <v>1707</v>
      </c>
      <c r="B499" s="1" t="s">
        <v>1728</v>
      </c>
      <c r="C499" s="1" t="s">
        <v>21</v>
      </c>
      <c r="D499" s="4" t="s">
        <v>1729</v>
      </c>
      <c r="E499" s="1" t="s">
        <v>1634</v>
      </c>
      <c r="F499" s="1" t="s">
        <v>1717</v>
      </c>
      <c r="G499" s="1" t="s">
        <v>1724</v>
      </c>
      <c r="H499" s="5"/>
      <c r="I499" s="1" t="str">
        <f t="shared" si="1"/>
        <v>#VALUE!</v>
      </c>
      <c r="J499" s="5"/>
      <c r="K499" s="1" t="str">
        <f t="shared" si="2"/>
        <v>#VALUE!</v>
      </c>
      <c r="L499" s="5"/>
      <c r="M499" s="2" t="str">
        <f t="shared" si="3"/>
        <v>#VALUE!</v>
      </c>
      <c r="N499" s="5"/>
      <c r="O499" s="1">
        <v>34.0</v>
      </c>
      <c r="P499" s="7" t="s">
        <v>1725</v>
      </c>
      <c r="Q499" s="7" t="s">
        <v>1726</v>
      </c>
      <c r="R499" s="6" t="s">
        <v>1153</v>
      </c>
      <c r="S499" s="1" t="s">
        <v>1727</v>
      </c>
      <c r="T499" s="1" t="str">
        <f>IFERROR(__xludf.DUMMYFUNCTION("INDEX(SPLIT(A499, ""/""), 2)"),"تشکل‌های اسلامی و سیاسی")</f>
        <v>تشکل‌های اسلامی و سیاسی</v>
      </c>
      <c r="U499" s="1" t="str">
        <f>IFERROR(__xludf.DUMMYFUNCTION("INDEX(SPLIT(A499, ""/""), 3)"),"بسیج دانشجویی")</f>
        <v>بسیج دانشجویی</v>
      </c>
      <c r="V499" s="1" t="str">
        <f>IFERROR(__xludf.DUMMYFUNCTION("INDEX(SPLIT(A499, ""/""), 4)"),"روشن")</f>
        <v>روشن</v>
      </c>
    </row>
    <row r="500">
      <c r="A500" s="1" t="s">
        <v>1707</v>
      </c>
      <c r="B500" s="1" t="s">
        <v>1730</v>
      </c>
      <c r="C500" s="1" t="s">
        <v>21</v>
      </c>
      <c r="D500" s="4" t="s">
        <v>1731</v>
      </c>
      <c r="E500" s="1" t="s">
        <v>1634</v>
      </c>
      <c r="F500" s="1" t="s">
        <v>1717</v>
      </c>
      <c r="G500" s="1" t="s">
        <v>1724</v>
      </c>
      <c r="H500" s="5"/>
      <c r="I500" s="1" t="str">
        <f t="shared" si="1"/>
        <v>#VALUE!</v>
      </c>
      <c r="J500" s="5"/>
      <c r="K500" s="1" t="str">
        <f t="shared" si="2"/>
        <v>#VALUE!</v>
      </c>
      <c r="L500" s="5"/>
      <c r="M500" s="2" t="str">
        <f t="shared" si="3"/>
        <v>#VALUE!</v>
      </c>
      <c r="N500" s="5"/>
      <c r="O500" s="1">
        <v>35.0</v>
      </c>
      <c r="P500" s="7" t="s">
        <v>1725</v>
      </c>
      <c r="Q500" s="7" t="s">
        <v>1726</v>
      </c>
      <c r="R500" s="6" t="s">
        <v>1153</v>
      </c>
      <c r="S500" s="1" t="s">
        <v>1727</v>
      </c>
      <c r="T500" s="1" t="str">
        <f>IFERROR(__xludf.DUMMYFUNCTION("INDEX(SPLIT(A500, ""/""), 2)"),"تشکل‌های اسلامی و سیاسی")</f>
        <v>تشکل‌های اسلامی و سیاسی</v>
      </c>
      <c r="U500" s="1" t="str">
        <f>IFERROR(__xludf.DUMMYFUNCTION("INDEX(SPLIT(A500, ""/""), 3)"),"بسیج دانشجویی")</f>
        <v>بسیج دانشجویی</v>
      </c>
      <c r="V500" s="1" t="str">
        <f>IFERROR(__xludf.DUMMYFUNCTION("INDEX(SPLIT(A500, ""/""), 4)"),"روشن")</f>
        <v>روشن</v>
      </c>
    </row>
    <row r="501">
      <c r="A501" s="1" t="s">
        <v>1707</v>
      </c>
      <c r="B501" s="1" t="s">
        <v>1732</v>
      </c>
      <c r="C501" s="1" t="s">
        <v>21</v>
      </c>
      <c r="D501" s="4" t="s">
        <v>1733</v>
      </c>
      <c r="E501" s="1" t="s">
        <v>1634</v>
      </c>
      <c r="F501" s="1" t="s">
        <v>1717</v>
      </c>
      <c r="G501" s="1" t="s">
        <v>1724</v>
      </c>
      <c r="H501" s="5"/>
      <c r="I501" s="1" t="str">
        <f t="shared" si="1"/>
        <v>#VALUE!</v>
      </c>
      <c r="J501" s="5"/>
      <c r="K501" s="1" t="str">
        <f t="shared" si="2"/>
        <v>#VALUE!</v>
      </c>
      <c r="L501" s="5"/>
      <c r="M501" s="2" t="str">
        <f t="shared" si="3"/>
        <v>#VALUE!</v>
      </c>
      <c r="N501" s="5"/>
      <c r="O501" s="1">
        <v>36.0</v>
      </c>
      <c r="P501" s="7" t="s">
        <v>1725</v>
      </c>
      <c r="Q501" s="7" t="s">
        <v>1726</v>
      </c>
      <c r="R501" s="6" t="s">
        <v>1153</v>
      </c>
      <c r="S501" s="1" t="s">
        <v>1727</v>
      </c>
      <c r="T501" s="1" t="str">
        <f>IFERROR(__xludf.DUMMYFUNCTION("INDEX(SPLIT(A501, ""/""), 2)"),"تشکل‌های اسلامی و سیاسی")</f>
        <v>تشکل‌های اسلامی و سیاسی</v>
      </c>
      <c r="U501" s="1" t="str">
        <f>IFERROR(__xludf.DUMMYFUNCTION("INDEX(SPLIT(A501, ""/""), 3)"),"بسیج دانشجویی")</f>
        <v>بسیج دانشجویی</v>
      </c>
      <c r="V501" s="1" t="str">
        <f>IFERROR(__xludf.DUMMYFUNCTION("INDEX(SPLIT(A501, ""/""), 4)"),"روشن")</f>
        <v>روشن</v>
      </c>
    </row>
    <row r="502">
      <c r="A502" s="1" t="s">
        <v>1707</v>
      </c>
      <c r="B502" s="1" t="s">
        <v>1734</v>
      </c>
      <c r="C502" s="1" t="s">
        <v>21</v>
      </c>
      <c r="D502" s="4" t="s">
        <v>1735</v>
      </c>
      <c r="E502" s="1" t="s">
        <v>1634</v>
      </c>
      <c r="F502" s="1" t="s">
        <v>1717</v>
      </c>
      <c r="G502" s="1" t="s">
        <v>1724</v>
      </c>
      <c r="H502" s="5"/>
      <c r="I502" s="1" t="str">
        <f t="shared" si="1"/>
        <v>#VALUE!</v>
      </c>
      <c r="J502" s="5"/>
      <c r="K502" s="1" t="str">
        <f t="shared" si="2"/>
        <v>#VALUE!</v>
      </c>
      <c r="L502" s="5"/>
      <c r="M502" s="2" t="str">
        <f t="shared" si="3"/>
        <v>#VALUE!</v>
      </c>
      <c r="N502" s="5"/>
      <c r="O502" s="1">
        <v>37.0</v>
      </c>
      <c r="P502" s="7" t="s">
        <v>1725</v>
      </c>
      <c r="Q502" s="7" t="s">
        <v>1726</v>
      </c>
      <c r="R502" s="6" t="s">
        <v>1153</v>
      </c>
      <c r="S502" s="1" t="s">
        <v>1727</v>
      </c>
      <c r="T502" s="1" t="str">
        <f>IFERROR(__xludf.DUMMYFUNCTION("INDEX(SPLIT(A502, ""/""), 2)"),"تشکل‌های اسلامی و سیاسی")</f>
        <v>تشکل‌های اسلامی و سیاسی</v>
      </c>
      <c r="U502" s="1" t="str">
        <f>IFERROR(__xludf.DUMMYFUNCTION("INDEX(SPLIT(A502, ""/""), 3)"),"بسیج دانشجویی")</f>
        <v>بسیج دانشجویی</v>
      </c>
      <c r="V502" s="1" t="str">
        <f>IFERROR(__xludf.DUMMYFUNCTION("INDEX(SPLIT(A502, ""/""), 4)"),"روشن")</f>
        <v>روشن</v>
      </c>
    </row>
    <row r="503">
      <c r="A503" s="1" t="s">
        <v>1707</v>
      </c>
      <c r="B503" s="1" t="s">
        <v>1736</v>
      </c>
      <c r="C503" s="1" t="s">
        <v>21</v>
      </c>
      <c r="D503" s="4" t="s">
        <v>1737</v>
      </c>
      <c r="E503" s="1" t="s">
        <v>1634</v>
      </c>
      <c r="F503" s="1" t="s">
        <v>1724</v>
      </c>
      <c r="G503" s="1" t="s">
        <v>1738</v>
      </c>
      <c r="H503" s="5"/>
      <c r="I503" s="1" t="str">
        <f t="shared" si="1"/>
        <v>#VALUE!</v>
      </c>
      <c r="J503" s="5"/>
      <c r="K503" s="1" t="str">
        <f t="shared" si="2"/>
        <v>#VALUE!</v>
      </c>
      <c r="L503" s="5"/>
      <c r="M503" s="2" t="str">
        <f t="shared" si="3"/>
        <v>#VALUE!</v>
      </c>
      <c r="N503" s="5"/>
      <c r="O503" s="1">
        <v>47.0</v>
      </c>
      <c r="P503" s="7" t="s">
        <v>1725</v>
      </c>
      <c r="Q503" s="7" t="s">
        <v>1726</v>
      </c>
      <c r="R503" s="6" t="s">
        <v>1153</v>
      </c>
      <c r="S503" s="1" t="s">
        <v>1727</v>
      </c>
      <c r="T503" s="1" t="str">
        <f>IFERROR(__xludf.DUMMYFUNCTION("INDEX(SPLIT(A503, ""/""), 2)"),"تشکل‌های اسلامی و سیاسی")</f>
        <v>تشکل‌های اسلامی و سیاسی</v>
      </c>
      <c r="U503" s="1" t="str">
        <f>IFERROR(__xludf.DUMMYFUNCTION("INDEX(SPLIT(A503, ""/""), 3)"),"بسیج دانشجویی")</f>
        <v>بسیج دانشجویی</v>
      </c>
      <c r="V503" s="1" t="str">
        <f>IFERROR(__xludf.DUMMYFUNCTION("INDEX(SPLIT(A503, ""/""), 4)"),"روشن")</f>
        <v>روشن</v>
      </c>
    </row>
    <row r="504">
      <c r="A504" s="1" t="s">
        <v>1739</v>
      </c>
      <c r="B504" s="1" t="s">
        <v>1740</v>
      </c>
      <c r="C504" s="1" t="s">
        <v>21</v>
      </c>
      <c r="D504" s="4" t="s">
        <v>1741</v>
      </c>
      <c r="E504" s="1" t="s">
        <v>1634</v>
      </c>
      <c r="F504" s="1" t="s">
        <v>1742</v>
      </c>
      <c r="G504" s="1" t="s">
        <v>752</v>
      </c>
      <c r="H504" s="1" t="s">
        <v>1743</v>
      </c>
      <c r="I504" s="1" t="str">
        <f t="shared" si="1"/>
        <v>21</v>
      </c>
      <c r="J504" s="5"/>
      <c r="K504" s="1" t="str">
        <f t="shared" si="2"/>
        <v>8</v>
      </c>
      <c r="L504" s="5"/>
      <c r="M504" s="2" t="str">
        <f t="shared" si="3"/>
        <v>1396</v>
      </c>
      <c r="N504" s="5"/>
      <c r="O504" s="2">
        <v>2.0</v>
      </c>
      <c r="P504" s="5"/>
      <c r="Q504" s="5"/>
      <c r="R504" s="6" t="s">
        <v>1743</v>
      </c>
      <c r="S504" s="5"/>
      <c r="T504" s="1" t="str">
        <f>IFERROR(__xludf.DUMMYFUNCTION("INDEX(SPLIT(A504, ""/""), 2)"),"تشکل‌های اسلامی و سیاسی")</f>
        <v>تشکل‌های اسلامی و سیاسی</v>
      </c>
      <c r="U504" s="1" t="str">
        <f>IFERROR(__xludf.DUMMYFUNCTION("INDEX(SPLIT(A504, ""/""), 3)"),"بسیج دانشجویی")</f>
        <v>بسیج دانشجویی</v>
      </c>
      <c r="V504" s="1" t="str">
        <f>IFERROR(__xludf.DUMMYFUNCTION("INDEX(SPLIT(A504, ""/""), 4)"),"رویان")</f>
        <v>رویان</v>
      </c>
    </row>
    <row r="505">
      <c r="A505" s="1" t="s">
        <v>1739</v>
      </c>
      <c r="B505" s="1" t="s">
        <v>1744</v>
      </c>
      <c r="C505" s="1" t="s">
        <v>21</v>
      </c>
      <c r="D505" s="4" t="s">
        <v>1745</v>
      </c>
      <c r="E505" s="1" t="s">
        <v>1634</v>
      </c>
      <c r="F505" s="1" t="s">
        <v>1746</v>
      </c>
      <c r="G505" s="1" t="s">
        <v>1747</v>
      </c>
      <c r="H505" s="7" t="s">
        <v>1748</v>
      </c>
      <c r="I505" s="1" t="str">
        <f t="shared" si="1"/>
        <v>3</v>
      </c>
      <c r="J505" s="5"/>
      <c r="K505" s="1" t="str">
        <f t="shared" si="2"/>
        <v>10</v>
      </c>
      <c r="L505" s="5"/>
      <c r="M505" s="2" t="str">
        <f t="shared" si="3"/>
        <v>1396</v>
      </c>
      <c r="N505" s="5"/>
      <c r="O505" s="2">
        <v>3.0</v>
      </c>
      <c r="P505" s="5"/>
      <c r="Q505" s="5"/>
      <c r="R505" s="8" t="s">
        <v>1748</v>
      </c>
      <c r="S505" s="5"/>
      <c r="T505" s="1" t="str">
        <f>IFERROR(__xludf.DUMMYFUNCTION("INDEX(SPLIT(A505, ""/""), 2)"),"تشکل‌های اسلامی و سیاسی")</f>
        <v>تشکل‌های اسلامی و سیاسی</v>
      </c>
      <c r="U505" s="1" t="str">
        <f>IFERROR(__xludf.DUMMYFUNCTION("INDEX(SPLIT(A505, ""/""), 3)"),"بسیج دانشجویی")</f>
        <v>بسیج دانشجویی</v>
      </c>
      <c r="V505" s="1" t="str">
        <f>IFERROR(__xludf.DUMMYFUNCTION("INDEX(SPLIT(A505, ""/""), 4)"),"رویان")</f>
        <v>رویان</v>
      </c>
    </row>
    <row r="506">
      <c r="A506" s="1" t="s">
        <v>1739</v>
      </c>
      <c r="B506" s="1" t="s">
        <v>1749</v>
      </c>
      <c r="C506" s="1" t="s">
        <v>21</v>
      </c>
      <c r="D506" s="4" t="s">
        <v>1750</v>
      </c>
      <c r="E506" s="1" t="s">
        <v>1634</v>
      </c>
      <c r="F506" s="1" t="s">
        <v>1746</v>
      </c>
      <c r="G506" s="1" t="s">
        <v>1751</v>
      </c>
      <c r="H506" s="1" t="s">
        <v>1752</v>
      </c>
      <c r="I506" s="1" t="str">
        <f t="shared" si="1"/>
        <v>20</v>
      </c>
      <c r="J506" s="5"/>
      <c r="K506" s="1" t="str">
        <f t="shared" si="2"/>
        <v>12</v>
      </c>
      <c r="L506" s="5"/>
      <c r="M506" s="2" t="str">
        <f t="shared" si="3"/>
        <v>1396</v>
      </c>
      <c r="N506" s="5"/>
      <c r="O506" s="2">
        <v>4.0</v>
      </c>
      <c r="P506" s="5"/>
      <c r="Q506" s="5"/>
      <c r="R506" s="6" t="s">
        <v>1752</v>
      </c>
      <c r="S506" s="5"/>
      <c r="T506" s="1" t="str">
        <f>IFERROR(__xludf.DUMMYFUNCTION("INDEX(SPLIT(A506, ""/""), 2)"),"تشکل‌های اسلامی و سیاسی")</f>
        <v>تشکل‌های اسلامی و سیاسی</v>
      </c>
      <c r="U506" s="1" t="str">
        <f>IFERROR(__xludf.DUMMYFUNCTION("INDEX(SPLIT(A506, ""/""), 3)"),"بسیج دانشجویی")</f>
        <v>بسیج دانشجویی</v>
      </c>
      <c r="V506" s="1" t="str">
        <f>IFERROR(__xludf.DUMMYFUNCTION("INDEX(SPLIT(A506, ""/""), 4)"),"رویان")</f>
        <v>رویان</v>
      </c>
    </row>
    <row r="507">
      <c r="A507" s="1" t="s">
        <v>1739</v>
      </c>
      <c r="B507" s="1" t="s">
        <v>1753</v>
      </c>
      <c r="C507" s="1" t="s">
        <v>21</v>
      </c>
      <c r="D507" s="4" t="s">
        <v>1754</v>
      </c>
      <c r="E507" s="1" t="s">
        <v>1634</v>
      </c>
      <c r="F507" s="1" t="s">
        <v>1746</v>
      </c>
      <c r="G507" s="1" t="s">
        <v>1755</v>
      </c>
      <c r="H507" s="1" t="s">
        <v>1756</v>
      </c>
      <c r="I507" s="1" t="str">
        <f t="shared" si="1"/>
        <v>27</v>
      </c>
      <c r="J507" s="5"/>
      <c r="K507" s="1" t="str">
        <f t="shared" si="2"/>
        <v>8</v>
      </c>
      <c r="L507" s="5"/>
      <c r="M507" s="2" t="str">
        <f t="shared" si="3"/>
        <v>1397</v>
      </c>
      <c r="N507" s="5"/>
      <c r="O507" s="2">
        <v>5.0</v>
      </c>
      <c r="P507" s="5"/>
      <c r="Q507" s="5"/>
      <c r="R507" s="6" t="s">
        <v>1756</v>
      </c>
      <c r="S507" s="5"/>
      <c r="T507" s="1" t="str">
        <f>IFERROR(__xludf.DUMMYFUNCTION("INDEX(SPLIT(A507, ""/""), 2)"),"تشکل‌های اسلامی و سیاسی")</f>
        <v>تشکل‌های اسلامی و سیاسی</v>
      </c>
      <c r="U507" s="1" t="str">
        <f>IFERROR(__xludf.DUMMYFUNCTION("INDEX(SPLIT(A507, ""/""), 3)"),"بسیج دانشجویی")</f>
        <v>بسیج دانشجویی</v>
      </c>
      <c r="V507" s="1" t="str">
        <f>IFERROR(__xludf.DUMMYFUNCTION("INDEX(SPLIT(A507, ""/""), 4)"),"رویان")</f>
        <v>رویان</v>
      </c>
    </row>
    <row r="508">
      <c r="A508" s="1" t="s">
        <v>1739</v>
      </c>
      <c r="B508" s="1" t="s">
        <v>1757</v>
      </c>
      <c r="C508" s="1" t="s">
        <v>21</v>
      </c>
      <c r="D508" s="4" t="s">
        <v>1758</v>
      </c>
      <c r="E508" s="1" t="s">
        <v>1634</v>
      </c>
      <c r="F508" s="1" t="s">
        <v>1746</v>
      </c>
      <c r="G508" s="1" t="s">
        <v>1755</v>
      </c>
      <c r="H508" s="7" t="s">
        <v>1759</v>
      </c>
      <c r="I508" s="1" t="str">
        <f t="shared" si="1"/>
        <v>12</v>
      </c>
      <c r="J508" s="5"/>
      <c r="K508" s="1" t="str">
        <f t="shared" si="2"/>
        <v>12</v>
      </c>
      <c r="L508" s="5"/>
      <c r="M508" s="2" t="str">
        <f t="shared" si="3"/>
        <v>1397</v>
      </c>
      <c r="N508" s="5"/>
      <c r="O508" s="2">
        <v>6.0</v>
      </c>
      <c r="P508" s="5"/>
      <c r="Q508" s="5"/>
      <c r="R508" s="8" t="s">
        <v>1759</v>
      </c>
      <c r="S508" s="5"/>
      <c r="T508" s="1" t="str">
        <f>IFERROR(__xludf.DUMMYFUNCTION("INDEX(SPLIT(A508, ""/""), 2)"),"تشکل‌های اسلامی و سیاسی")</f>
        <v>تشکل‌های اسلامی و سیاسی</v>
      </c>
      <c r="U508" s="1" t="str">
        <f>IFERROR(__xludf.DUMMYFUNCTION("INDEX(SPLIT(A508, ""/""), 3)"),"بسیج دانشجویی")</f>
        <v>بسیج دانشجویی</v>
      </c>
      <c r="V508" s="1" t="str">
        <f>IFERROR(__xludf.DUMMYFUNCTION("INDEX(SPLIT(A508, ""/""), 4)"),"رویان")</f>
        <v>رویان</v>
      </c>
    </row>
    <row r="509">
      <c r="A509" s="1" t="s">
        <v>1760</v>
      </c>
      <c r="B509" s="1" t="s">
        <v>1761</v>
      </c>
      <c r="C509" s="1" t="s">
        <v>21</v>
      </c>
      <c r="D509" s="4" t="s">
        <v>1762</v>
      </c>
      <c r="E509" s="1" t="s">
        <v>1634</v>
      </c>
      <c r="F509" s="1" t="s">
        <v>1746</v>
      </c>
      <c r="G509" s="1" t="s">
        <v>1763</v>
      </c>
      <c r="H509" s="1" t="s">
        <v>347</v>
      </c>
      <c r="I509" s="1" t="str">
        <f t="shared" si="1"/>
        <v>x</v>
      </c>
      <c r="J509" s="5"/>
      <c r="K509" s="1" t="str">
        <f t="shared" si="2"/>
        <v>7</v>
      </c>
      <c r="L509" s="5"/>
      <c r="M509" s="2" t="str">
        <f t="shared" si="3"/>
        <v>1398</v>
      </c>
      <c r="N509" s="5"/>
      <c r="O509" s="2">
        <v>1.0</v>
      </c>
      <c r="P509" s="5"/>
      <c r="Q509" s="5"/>
      <c r="R509" s="6" t="s">
        <v>348</v>
      </c>
      <c r="S509" s="5"/>
      <c r="T509" s="1" t="str">
        <f>IFERROR(__xludf.DUMMYFUNCTION("INDEX(SPLIT(A509, ""/""), 2)"),"تشکل‌های اسلامی و سیاسی")</f>
        <v>تشکل‌های اسلامی و سیاسی</v>
      </c>
      <c r="U509" s="1" t="str">
        <f>IFERROR(__xludf.DUMMYFUNCTION("INDEX(SPLIT(A509, ""/""), 3)"),"بسیج دانشجویی")</f>
        <v>بسیج دانشجویی</v>
      </c>
      <c r="V509" s="1" t="str">
        <f>IFERROR(__xludf.DUMMYFUNCTION("INDEX(SPLIT(A509, ""/""), 4)"),"رویان")</f>
        <v>رویان</v>
      </c>
    </row>
    <row r="510">
      <c r="A510" s="1" t="s">
        <v>1760</v>
      </c>
      <c r="B510" s="1" t="s">
        <v>1764</v>
      </c>
      <c r="C510" s="1" t="s">
        <v>21</v>
      </c>
      <c r="D510" s="4" t="s">
        <v>1765</v>
      </c>
      <c r="E510" s="1" t="s">
        <v>1634</v>
      </c>
      <c r="F510" s="1" t="s">
        <v>1746</v>
      </c>
      <c r="G510" s="1" t="s">
        <v>1763</v>
      </c>
      <c r="H510" s="1" t="s">
        <v>195</v>
      </c>
      <c r="I510" s="1" t="str">
        <f t="shared" si="1"/>
        <v>x</v>
      </c>
      <c r="J510" s="5"/>
      <c r="K510" s="1" t="str">
        <f t="shared" si="2"/>
        <v>9</v>
      </c>
      <c r="L510" s="5"/>
      <c r="M510" s="2" t="str">
        <f t="shared" si="3"/>
        <v>1398</v>
      </c>
      <c r="N510" s="5"/>
      <c r="O510" s="2">
        <v>2.0</v>
      </c>
      <c r="P510" s="5"/>
      <c r="Q510" s="5"/>
      <c r="R510" s="6" t="s">
        <v>196</v>
      </c>
      <c r="S510" s="5"/>
      <c r="T510" s="1" t="str">
        <f>IFERROR(__xludf.DUMMYFUNCTION("INDEX(SPLIT(A510, ""/""), 2)"),"تشکل‌های اسلامی و سیاسی")</f>
        <v>تشکل‌های اسلامی و سیاسی</v>
      </c>
      <c r="U510" s="1" t="str">
        <f>IFERROR(__xludf.DUMMYFUNCTION("INDEX(SPLIT(A510, ""/""), 3)"),"بسیج دانشجویی")</f>
        <v>بسیج دانشجویی</v>
      </c>
      <c r="V510" s="1" t="str">
        <f>IFERROR(__xludf.DUMMYFUNCTION("INDEX(SPLIT(A510, ""/""), 4)"),"رویان")</f>
        <v>رویان</v>
      </c>
    </row>
    <row r="511">
      <c r="A511" s="1" t="s">
        <v>1766</v>
      </c>
      <c r="B511" s="1" t="s">
        <v>1767</v>
      </c>
      <c r="C511" s="1" t="s">
        <v>21</v>
      </c>
      <c r="D511" s="4" t="s">
        <v>1768</v>
      </c>
      <c r="E511" s="1" t="s">
        <v>1634</v>
      </c>
      <c r="F511" s="1" t="s">
        <v>1746</v>
      </c>
      <c r="G511" s="1" t="s">
        <v>752</v>
      </c>
      <c r="H511" s="7" t="s">
        <v>1769</v>
      </c>
      <c r="I511" s="1" t="str">
        <f t="shared" si="1"/>
        <v>11</v>
      </c>
      <c r="J511" s="5"/>
      <c r="K511" s="1" t="str">
        <f t="shared" si="2"/>
        <v>9</v>
      </c>
      <c r="L511" s="5"/>
      <c r="M511" s="2" t="str">
        <f t="shared" si="3"/>
        <v>1396</v>
      </c>
      <c r="N511" s="5"/>
      <c r="O511" s="2">
        <v>1.0</v>
      </c>
      <c r="P511" s="5"/>
      <c r="Q511" s="5"/>
      <c r="R511" s="8" t="s">
        <v>1769</v>
      </c>
      <c r="S511" s="5"/>
      <c r="T511" s="1" t="str">
        <f>IFERROR(__xludf.DUMMYFUNCTION("INDEX(SPLIT(A511, ""/""), 2)"),"تشکل‌های اسلامی و سیاسی")</f>
        <v>تشکل‌های اسلامی و سیاسی</v>
      </c>
      <c r="U511" s="1" t="str">
        <f>IFERROR(__xludf.DUMMYFUNCTION("INDEX(SPLIT(A511, ""/""), 3)"),"بسیج دانشجویی")</f>
        <v>بسیج دانشجویی</v>
      </c>
      <c r="V511" s="1" t="str">
        <f>IFERROR(__xludf.DUMMYFUNCTION("INDEX(SPLIT(A511, ""/""), 4)"),"رویان")</f>
        <v>رویان</v>
      </c>
    </row>
    <row r="512">
      <c r="A512" s="1" t="s">
        <v>1766</v>
      </c>
      <c r="B512" s="1" t="s">
        <v>1770</v>
      </c>
      <c r="C512" s="1" t="s">
        <v>21</v>
      </c>
      <c r="D512" s="4" t="s">
        <v>1771</v>
      </c>
      <c r="E512" s="1" t="s">
        <v>1634</v>
      </c>
      <c r="F512" s="1" t="s">
        <v>1746</v>
      </c>
      <c r="G512" s="1" t="s">
        <v>1772</v>
      </c>
      <c r="H512" s="7" t="s">
        <v>1748</v>
      </c>
      <c r="I512" s="1" t="str">
        <f t="shared" si="1"/>
        <v>3</v>
      </c>
      <c r="J512" s="5"/>
      <c r="K512" s="1" t="str">
        <f t="shared" si="2"/>
        <v>10</v>
      </c>
      <c r="L512" s="5"/>
      <c r="M512" s="2" t="str">
        <f t="shared" si="3"/>
        <v>1396</v>
      </c>
      <c r="N512" s="5"/>
      <c r="O512" s="2">
        <v>2.0</v>
      </c>
      <c r="P512" s="5"/>
      <c r="Q512" s="5"/>
      <c r="R512" s="8" t="s">
        <v>1748</v>
      </c>
      <c r="S512" s="5"/>
      <c r="T512" s="1" t="str">
        <f>IFERROR(__xludf.DUMMYFUNCTION("INDEX(SPLIT(A512, ""/""), 2)"),"تشکل‌های اسلامی و سیاسی")</f>
        <v>تشکل‌های اسلامی و سیاسی</v>
      </c>
      <c r="U512" s="1" t="str">
        <f>IFERROR(__xludf.DUMMYFUNCTION("INDEX(SPLIT(A512, ""/""), 3)"),"بسیج دانشجویی")</f>
        <v>بسیج دانشجویی</v>
      </c>
      <c r="V512" s="1" t="str">
        <f>IFERROR(__xludf.DUMMYFUNCTION("INDEX(SPLIT(A512, ""/""), 4)"),"رویان")</f>
        <v>رویان</v>
      </c>
    </row>
    <row r="513">
      <c r="A513" s="1" t="s">
        <v>1766</v>
      </c>
      <c r="B513" s="1" t="s">
        <v>1773</v>
      </c>
      <c r="C513" s="1" t="s">
        <v>21</v>
      </c>
      <c r="D513" s="4" t="s">
        <v>1774</v>
      </c>
      <c r="E513" s="1" t="s">
        <v>1634</v>
      </c>
      <c r="F513" s="1" t="s">
        <v>1746</v>
      </c>
      <c r="G513" s="1" t="s">
        <v>1772</v>
      </c>
      <c r="H513" s="1" t="s">
        <v>1254</v>
      </c>
      <c r="I513" s="1" t="str">
        <f t="shared" si="1"/>
        <v>30</v>
      </c>
      <c r="J513" s="5"/>
      <c r="K513" s="1" t="str">
        <f t="shared" si="2"/>
        <v>11</v>
      </c>
      <c r="L513" s="5"/>
      <c r="M513" s="2" t="str">
        <f t="shared" si="3"/>
        <v>1396</v>
      </c>
      <c r="N513" s="5"/>
      <c r="O513" s="2">
        <v>3.0</v>
      </c>
      <c r="P513" s="5"/>
      <c r="Q513" s="5"/>
      <c r="R513" s="6" t="s">
        <v>1254</v>
      </c>
      <c r="S513" s="5"/>
      <c r="T513" s="1" t="str">
        <f>IFERROR(__xludf.DUMMYFUNCTION("INDEX(SPLIT(A513, ""/""), 2)"),"تشکل‌های اسلامی و سیاسی")</f>
        <v>تشکل‌های اسلامی و سیاسی</v>
      </c>
      <c r="U513" s="1" t="str">
        <f>IFERROR(__xludf.DUMMYFUNCTION("INDEX(SPLIT(A513, ""/""), 3)"),"بسیج دانشجویی")</f>
        <v>بسیج دانشجویی</v>
      </c>
      <c r="V513" s="1" t="str">
        <f>IFERROR(__xludf.DUMMYFUNCTION("INDEX(SPLIT(A513, ""/""), 4)"),"رویان")</f>
        <v>رویان</v>
      </c>
    </row>
    <row r="514">
      <c r="A514" s="1" t="s">
        <v>1766</v>
      </c>
      <c r="B514" s="1" t="s">
        <v>1775</v>
      </c>
      <c r="C514" s="1" t="s">
        <v>21</v>
      </c>
      <c r="D514" s="4" t="s">
        <v>1776</v>
      </c>
      <c r="E514" s="1" t="s">
        <v>1634</v>
      </c>
      <c r="F514" s="1" t="s">
        <v>1746</v>
      </c>
      <c r="G514" s="1" t="s">
        <v>1772</v>
      </c>
      <c r="H514" s="1" t="s">
        <v>1260</v>
      </c>
      <c r="I514" s="1" t="str">
        <f t="shared" si="1"/>
        <v>21</v>
      </c>
      <c r="J514" s="5"/>
      <c r="K514" s="1" t="str">
        <f t="shared" si="2"/>
        <v>12</v>
      </c>
      <c r="L514" s="5"/>
      <c r="M514" s="2" t="str">
        <f t="shared" si="3"/>
        <v>1396</v>
      </c>
      <c r="N514" s="5"/>
      <c r="O514" s="2">
        <v>4.0</v>
      </c>
      <c r="P514" s="5"/>
      <c r="Q514" s="5"/>
      <c r="R514" s="6" t="s">
        <v>1260</v>
      </c>
      <c r="S514" s="5"/>
      <c r="T514" s="1" t="str">
        <f>IFERROR(__xludf.DUMMYFUNCTION("INDEX(SPLIT(A514, ""/""), 2)"),"تشکل‌های اسلامی و سیاسی")</f>
        <v>تشکل‌های اسلامی و سیاسی</v>
      </c>
      <c r="U514" s="1" t="str">
        <f>IFERROR(__xludf.DUMMYFUNCTION("INDEX(SPLIT(A514, ""/""), 3)"),"بسیج دانشجویی")</f>
        <v>بسیج دانشجویی</v>
      </c>
      <c r="V514" s="1" t="str">
        <f>IFERROR(__xludf.DUMMYFUNCTION("INDEX(SPLIT(A514, ""/""), 4)"),"رویان")</f>
        <v>رویان</v>
      </c>
    </row>
    <row r="515">
      <c r="A515" s="1" t="s">
        <v>1766</v>
      </c>
      <c r="B515" s="1" t="s">
        <v>1777</v>
      </c>
      <c r="C515" s="1" t="s">
        <v>21</v>
      </c>
      <c r="D515" s="4" t="s">
        <v>1778</v>
      </c>
      <c r="E515" s="1" t="s">
        <v>1634</v>
      </c>
      <c r="F515" s="1" t="s">
        <v>1746</v>
      </c>
      <c r="G515" s="1" t="s">
        <v>1772</v>
      </c>
      <c r="H515" s="7" t="s">
        <v>1779</v>
      </c>
      <c r="I515" s="1" t="str">
        <f t="shared" si="1"/>
        <v>8</v>
      </c>
      <c r="J515" s="5"/>
      <c r="K515" s="1" t="str">
        <f t="shared" si="2"/>
        <v>2</v>
      </c>
      <c r="L515" s="5"/>
      <c r="M515" s="2" t="str">
        <f t="shared" si="3"/>
        <v>1397</v>
      </c>
      <c r="N515" s="5"/>
      <c r="O515" s="2">
        <v>5.0</v>
      </c>
      <c r="P515" s="5"/>
      <c r="Q515" s="5"/>
      <c r="R515" s="8" t="s">
        <v>1779</v>
      </c>
      <c r="S515" s="5"/>
      <c r="T515" s="1" t="str">
        <f>IFERROR(__xludf.DUMMYFUNCTION("INDEX(SPLIT(A515, ""/""), 2)"),"تشکل‌های اسلامی و سیاسی")</f>
        <v>تشکل‌های اسلامی و سیاسی</v>
      </c>
      <c r="U515" s="1" t="str">
        <f>IFERROR(__xludf.DUMMYFUNCTION("INDEX(SPLIT(A515, ""/""), 3)"),"بسیج دانشجویی")</f>
        <v>بسیج دانشجویی</v>
      </c>
      <c r="V515" s="1" t="str">
        <f>IFERROR(__xludf.DUMMYFUNCTION("INDEX(SPLIT(A515, ""/""), 4)"),"رویان")</f>
        <v>رویان</v>
      </c>
    </row>
    <row r="516">
      <c r="A516" s="1" t="s">
        <v>1766</v>
      </c>
      <c r="B516" s="1" t="s">
        <v>1780</v>
      </c>
      <c r="C516" s="1" t="s">
        <v>21</v>
      </c>
      <c r="D516" s="4" t="s">
        <v>1781</v>
      </c>
      <c r="E516" s="1" t="s">
        <v>1634</v>
      </c>
      <c r="F516" s="1" t="s">
        <v>1746</v>
      </c>
      <c r="G516" s="1" t="s">
        <v>1772</v>
      </c>
      <c r="H516" s="1" t="s">
        <v>1782</v>
      </c>
      <c r="I516" s="1" t="str">
        <f t="shared" si="1"/>
        <v>23</v>
      </c>
      <c r="J516" s="5"/>
      <c r="K516" s="1" t="str">
        <f t="shared" si="2"/>
        <v>4</v>
      </c>
      <c r="L516" s="5"/>
      <c r="M516" s="2" t="str">
        <f t="shared" si="3"/>
        <v>1397</v>
      </c>
      <c r="N516" s="5"/>
      <c r="O516" s="2">
        <v>6.0</v>
      </c>
      <c r="P516" s="5"/>
      <c r="Q516" s="5"/>
      <c r="R516" s="6" t="s">
        <v>1782</v>
      </c>
      <c r="S516" s="5"/>
      <c r="T516" s="1" t="str">
        <f>IFERROR(__xludf.DUMMYFUNCTION("INDEX(SPLIT(A516, ""/""), 2)"),"تشکل‌های اسلامی و سیاسی")</f>
        <v>تشکل‌های اسلامی و سیاسی</v>
      </c>
      <c r="U516" s="1" t="str">
        <f>IFERROR(__xludf.DUMMYFUNCTION("INDEX(SPLIT(A516, ""/""), 3)"),"بسیج دانشجویی")</f>
        <v>بسیج دانشجویی</v>
      </c>
      <c r="V516" s="1" t="str">
        <f>IFERROR(__xludf.DUMMYFUNCTION("INDEX(SPLIT(A516, ""/""), 4)"),"رویان")</f>
        <v>رویان</v>
      </c>
    </row>
    <row r="517">
      <c r="A517" s="1" t="s">
        <v>1766</v>
      </c>
      <c r="B517" s="1" t="s">
        <v>1783</v>
      </c>
      <c r="C517" s="1" t="s">
        <v>21</v>
      </c>
      <c r="D517" s="4" t="s">
        <v>1784</v>
      </c>
      <c r="E517" s="1" t="s">
        <v>1634</v>
      </c>
      <c r="F517" s="1" t="s">
        <v>1746</v>
      </c>
      <c r="G517" s="1" t="s">
        <v>1785</v>
      </c>
      <c r="H517" s="7" t="s">
        <v>1786</v>
      </c>
      <c r="I517" s="1" t="str">
        <f t="shared" si="1"/>
        <v>5</v>
      </c>
      <c r="J517" s="5"/>
      <c r="K517" s="1" t="str">
        <f t="shared" si="2"/>
        <v>9</v>
      </c>
      <c r="L517" s="5"/>
      <c r="M517" s="2" t="str">
        <f t="shared" si="3"/>
        <v>1397</v>
      </c>
      <c r="N517" s="5"/>
      <c r="O517" s="2">
        <v>7.0</v>
      </c>
      <c r="P517" s="5"/>
      <c r="Q517" s="5"/>
      <c r="R517" s="8" t="s">
        <v>1786</v>
      </c>
      <c r="S517" s="5"/>
      <c r="T517" s="1" t="str">
        <f>IFERROR(__xludf.DUMMYFUNCTION("INDEX(SPLIT(A517, ""/""), 2)"),"تشکل‌های اسلامی و سیاسی")</f>
        <v>تشکل‌های اسلامی و سیاسی</v>
      </c>
      <c r="U517" s="1" t="str">
        <f>IFERROR(__xludf.DUMMYFUNCTION("INDEX(SPLIT(A517, ""/""), 3)"),"بسیج دانشجویی")</f>
        <v>بسیج دانشجویی</v>
      </c>
      <c r="V517" s="1" t="str">
        <f>IFERROR(__xludf.DUMMYFUNCTION("INDEX(SPLIT(A517, ""/""), 4)"),"رویان")</f>
        <v>رویان</v>
      </c>
    </row>
    <row r="518">
      <c r="A518" s="1" t="s">
        <v>1766</v>
      </c>
      <c r="B518" s="1" t="s">
        <v>1787</v>
      </c>
      <c r="C518" s="1" t="s">
        <v>21</v>
      </c>
      <c r="D518" s="4" t="s">
        <v>1788</v>
      </c>
      <c r="E518" s="1" t="s">
        <v>1634</v>
      </c>
      <c r="F518" s="1" t="s">
        <v>1746</v>
      </c>
      <c r="G518" s="1" t="s">
        <v>1789</v>
      </c>
      <c r="H518" s="1" t="s">
        <v>181</v>
      </c>
      <c r="I518" s="1" t="str">
        <f t="shared" si="1"/>
        <v>x</v>
      </c>
      <c r="J518" s="5"/>
      <c r="K518" s="1" t="str">
        <f t="shared" si="2"/>
        <v>12</v>
      </c>
      <c r="L518" s="5"/>
      <c r="M518" s="2" t="str">
        <f t="shared" si="3"/>
        <v>1397</v>
      </c>
      <c r="N518" s="5"/>
      <c r="O518" s="2">
        <v>8.0</v>
      </c>
      <c r="P518" s="5"/>
      <c r="Q518" s="5"/>
      <c r="R518" s="6" t="s">
        <v>182</v>
      </c>
      <c r="S518" s="5"/>
      <c r="T518" s="1" t="str">
        <f>IFERROR(__xludf.DUMMYFUNCTION("INDEX(SPLIT(A518, ""/""), 2)"),"تشکل‌های اسلامی و سیاسی")</f>
        <v>تشکل‌های اسلامی و سیاسی</v>
      </c>
      <c r="U518" s="1" t="str">
        <f>IFERROR(__xludf.DUMMYFUNCTION("INDEX(SPLIT(A518, ""/""), 3)"),"بسیج دانشجویی")</f>
        <v>بسیج دانشجویی</v>
      </c>
      <c r="V518" s="1" t="str">
        <f>IFERROR(__xludf.DUMMYFUNCTION("INDEX(SPLIT(A518, ""/""), 4)"),"رویان")</f>
        <v>رویان</v>
      </c>
    </row>
    <row r="519">
      <c r="A519" s="1" t="s">
        <v>1790</v>
      </c>
      <c r="B519" s="1" t="s">
        <v>1791</v>
      </c>
      <c r="C519" s="1" t="s">
        <v>21</v>
      </c>
      <c r="D519" s="4" t="s">
        <v>1792</v>
      </c>
      <c r="E519" s="1" t="s">
        <v>1634</v>
      </c>
      <c r="F519" s="1" t="s">
        <v>1746</v>
      </c>
      <c r="G519" s="1" t="s">
        <v>1793</v>
      </c>
      <c r="H519" s="7" t="s">
        <v>1405</v>
      </c>
      <c r="I519" s="1" t="str">
        <f t="shared" si="1"/>
        <v>4</v>
      </c>
      <c r="J519" s="5"/>
      <c r="K519" s="1" t="str">
        <f t="shared" si="2"/>
        <v>10</v>
      </c>
      <c r="L519" s="5"/>
      <c r="M519" s="2" t="str">
        <f t="shared" si="3"/>
        <v>1396</v>
      </c>
      <c r="N519" s="5"/>
      <c r="O519" s="2">
        <v>1.0</v>
      </c>
      <c r="P519" s="5"/>
      <c r="Q519" s="5"/>
      <c r="R519" s="8" t="s">
        <v>1405</v>
      </c>
      <c r="S519" s="5"/>
      <c r="T519" s="1" t="str">
        <f>IFERROR(__xludf.DUMMYFUNCTION("INDEX(SPLIT(A519, ""/""), 2)"),"تشکل‌های اسلامی و سیاسی")</f>
        <v>تشکل‌های اسلامی و سیاسی</v>
      </c>
      <c r="U519" s="1" t="str">
        <f>IFERROR(__xludf.DUMMYFUNCTION("INDEX(SPLIT(A519, ""/""), 3)"),"بسیج دانشجویی")</f>
        <v>بسیج دانشجویی</v>
      </c>
      <c r="V519" s="1" t="str">
        <f>IFERROR(__xludf.DUMMYFUNCTION("INDEX(SPLIT(A519, ""/""), 4)"),"رویان")</f>
        <v>رویان</v>
      </c>
    </row>
    <row r="520">
      <c r="A520" s="1" t="s">
        <v>1790</v>
      </c>
      <c r="B520" s="1" t="s">
        <v>1794</v>
      </c>
      <c r="C520" s="1" t="s">
        <v>21</v>
      </c>
      <c r="D520" s="4" t="s">
        <v>1795</v>
      </c>
      <c r="E520" s="1" t="s">
        <v>1634</v>
      </c>
      <c r="F520" s="1" t="s">
        <v>1746</v>
      </c>
      <c r="G520" s="1" t="s">
        <v>1793</v>
      </c>
      <c r="H520" s="7" t="s">
        <v>773</v>
      </c>
      <c r="I520" s="1" t="str">
        <f t="shared" si="1"/>
        <v>6</v>
      </c>
      <c r="J520" s="5"/>
      <c r="K520" s="1" t="str">
        <f t="shared" si="2"/>
        <v>12</v>
      </c>
      <c r="L520" s="5"/>
      <c r="M520" s="2" t="str">
        <f t="shared" si="3"/>
        <v>1396</v>
      </c>
      <c r="N520" s="5"/>
      <c r="O520" s="2">
        <v>2.0</v>
      </c>
      <c r="P520" s="5"/>
      <c r="Q520" s="5"/>
      <c r="R520" s="8" t="s">
        <v>773</v>
      </c>
      <c r="S520" s="5"/>
      <c r="T520" s="1" t="str">
        <f>IFERROR(__xludf.DUMMYFUNCTION("INDEX(SPLIT(A520, ""/""), 2)"),"تشکل‌های اسلامی و سیاسی")</f>
        <v>تشکل‌های اسلامی و سیاسی</v>
      </c>
      <c r="U520" s="1" t="str">
        <f>IFERROR(__xludf.DUMMYFUNCTION("INDEX(SPLIT(A520, ""/""), 3)"),"بسیج دانشجویی")</f>
        <v>بسیج دانشجویی</v>
      </c>
      <c r="V520" s="1" t="str">
        <f>IFERROR(__xludf.DUMMYFUNCTION("INDEX(SPLIT(A520, ""/""), 4)"),"رویان")</f>
        <v>رویان</v>
      </c>
    </row>
    <row r="521">
      <c r="A521" s="1" t="s">
        <v>1790</v>
      </c>
      <c r="B521" s="1" t="s">
        <v>1796</v>
      </c>
      <c r="C521" s="1" t="s">
        <v>21</v>
      </c>
      <c r="D521" s="4" t="s">
        <v>1797</v>
      </c>
      <c r="E521" s="1" t="s">
        <v>1634</v>
      </c>
      <c r="F521" s="1" t="s">
        <v>1746</v>
      </c>
      <c r="G521" s="1" t="s">
        <v>1793</v>
      </c>
      <c r="H521" s="7" t="s">
        <v>1798</v>
      </c>
      <c r="I521" s="1" t="str">
        <f t="shared" si="1"/>
        <v>8</v>
      </c>
      <c r="J521" s="5"/>
      <c r="K521" s="1" t="str">
        <f t="shared" si="2"/>
        <v>5</v>
      </c>
      <c r="L521" s="5"/>
      <c r="M521" s="2" t="str">
        <f t="shared" si="3"/>
        <v>1397</v>
      </c>
      <c r="N521" s="5"/>
      <c r="O521" s="2">
        <v>4.0</v>
      </c>
      <c r="P521" s="5"/>
      <c r="Q521" s="5"/>
      <c r="R521" s="8" t="s">
        <v>1798</v>
      </c>
      <c r="S521" s="5"/>
      <c r="T521" s="1" t="str">
        <f>IFERROR(__xludf.DUMMYFUNCTION("INDEX(SPLIT(A521, ""/""), 2)"),"تشکل‌های اسلامی و سیاسی")</f>
        <v>تشکل‌های اسلامی و سیاسی</v>
      </c>
      <c r="U521" s="1" t="str">
        <f>IFERROR(__xludf.DUMMYFUNCTION("INDEX(SPLIT(A521, ""/""), 3)"),"بسیج دانشجویی")</f>
        <v>بسیج دانشجویی</v>
      </c>
      <c r="V521" s="1" t="str">
        <f>IFERROR(__xludf.DUMMYFUNCTION("INDEX(SPLIT(A521, ""/""), 4)"),"رویان")</f>
        <v>رویان</v>
      </c>
    </row>
    <row r="522">
      <c r="A522" s="1" t="s">
        <v>1790</v>
      </c>
      <c r="B522" s="1" t="s">
        <v>1799</v>
      </c>
      <c r="C522" s="1" t="s">
        <v>21</v>
      </c>
      <c r="D522" s="4" t="s">
        <v>1800</v>
      </c>
      <c r="E522" s="1" t="s">
        <v>1634</v>
      </c>
      <c r="F522" s="1" t="s">
        <v>1746</v>
      </c>
      <c r="G522" s="1" t="s">
        <v>1793</v>
      </c>
      <c r="H522" s="7" t="s">
        <v>1801</v>
      </c>
      <c r="I522" s="1" t="str">
        <f t="shared" si="1"/>
        <v>11</v>
      </c>
      <c r="J522" s="5"/>
      <c r="K522" s="1" t="str">
        <f t="shared" si="2"/>
        <v>7</v>
      </c>
      <c r="L522" s="5"/>
      <c r="M522" s="2" t="str">
        <f t="shared" si="3"/>
        <v>1397</v>
      </c>
      <c r="N522" s="5"/>
      <c r="O522" s="2">
        <v>5.0</v>
      </c>
      <c r="P522" s="5"/>
      <c r="Q522" s="5"/>
      <c r="R522" s="8" t="s">
        <v>1801</v>
      </c>
      <c r="S522" s="5"/>
      <c r="T522" s="1" t="str">
        <f>IFERROR(__xludf.DUMMYFUNCTION("INDEX(SPLIT(A522, ""/""), 2)"),"تشکل‌های اسلامی و سیاسی")</f>
        <v>تشکل‌های اسلامی و سیاسی</v>
      </c>
      <c r="U522" s="1" t="str">
        <f>IFERROR(__xludf.DUMMYFUNCTION("INDEX(SPLIT(A522, ""/""), 3)"),"بسیج دانشجویی")</f>
        <v>بسیج دانشجویی</v>
      </c>
      <c r="V522" s="1" t="str">
        <f>IFERROR(__xludf.DUMMYFUNCTION("INDEX(SPLIT(A522, ""/""), 4)"),"رویان")</f>
        <v>رویان</v>
      </c>
    </row>
    <row r="523">
      <c r="A523" s="1" t="s">
        <v>1790</v>
      </c>
      <c r="B523" s="1" t="s">
        <v>1802</v>
      </c>
      <c r="C523" s="1" t="s">
        <v>21</v>
      </c>
      <c r="D523" s="4" t="s">
        <v>1803</v>
      </c>
      <c r="E523" s="1" t="s">
        <v>1634</v>
      </c>
      <c r="F523" s="1" t="s">
        <v>1746</v>
      </c>
      <c r="G523" s="1" t="s">
        <v>1804</v>
      </c>
      <c r="H523" s="1" t="s">
        <v>1805</v>
      </c>
      <c r="I523" s="1" t="str">
        <f t="shared" si="1"/>
        <v>19</v>
      </c>
      <c r="J523" s="5"/>
      <c r="K523" s="1" t="str">
        <f t="shared" si="2"/>
        <v>9</v>
      </c>
      <c r="L523" s="5"/>
      <c r="M523" s="2" t="str">
        <f t="shared" si="3"/>
        <v>1397</v>
      </c>
      <c r="N523" s="5"/>
      <c r="O523" s="2">
        <v>6.0</v>
      </c>
      <c r="P523" s="5"/>
      <c r="Q523" s="5"/>
      <c r="R523" s="6" t="s">
        <v>1805</v>
      </c>
      <c r="S523" s="5"/>
      <c r="T523" s="1" t="str">
        <f>IFERROR(__xludf.DUMMYFUNCTION("INDEX(SPLIT(A523, ""/""), 2)"),"تشکل‌های اسلامی و سیاسی")</f>
        <v>تشکل‌های اسلامی و سیاسی</v>
      </c>
      <c r="U523" s="1" t="str">
        <f>IFERROR(__xludf.DUMMYFUNCTION("INDEX(SPLIT(A523, ""/""), 3)"),"بسیج دانشجویی")</f>
        <v>بسیج دانشجویی</v>
      </c>
      <c r="V523" s="1" t="str">
        <f>IFERROR(__xludf.DUMMYFUNCTION("INDEX(SPLIT(A523, ""/""), 4)"),"رویان")</f>
        <v>رویان</v>
      </c>
    </row>
    <row r="524">
      <c r="A524" s="1" t="s">
        <v>1790</v>
      </c>
      <c r="B524" s="1" t="s">
        <v>1806</v>
      </c>
      <c r="C524" s="1" t="s">
        <v>21</v>
      </c>
      <c r="D524" s="4" t="s">
        <v>1807</v>
      </c>
      <c r="E524" s="1" t="s">
        <v>1634</v>
      </c>
      <c r="F524" s="1" t="s">
        <v>1746</v>
      </c>
      <c r="G524" s="1" t="s">
        <v>1804</v>
      </c>
      <c r="H524" s="1" t="s">
        <v>1688</v>
      </c>
      <c r="I524" s="1" t="str">
        <f t="shared" si="1"/>
        <v>21</v>
      </c>
      <c r="J524" s="5"/>
      <c r="K524" s="1" t="str">
        <f t="shared" si="2"/>
        <v>11</v>
      </c>
      <c r="L524" s="5"/>
      <c r="M524" s="2" t="str">
        <f t="shared" si="3"/>
        <v>1397</v>
      </c>
      <c r="N524" s="5"/>
      <c r="O524" s="2">
        <v>8.0</v>
      </c>
      <c r="P524" s="5"/>
      <c r="Q524" s="5"/>
      <c r="R524" s="6" t="s">
        <v>1688</v>
      </c>
      <c r="S524" s="5"/>
      <c r="T524" s="1" t="str">
        <f>IFERROR(__xludf.DUMMYFUNCTION("INDEX(SPLIT(A524, ""/""), 2)"),"تشکل‌های اسلامی و سیاسی")</f>
        <v>تشکل‌های اسلامی و سیاسی</v>
      </c>
      <c r="U524" s="1" t="str">
        <f>IFERROR(__xludf.DUMMYFUNCTION("INDEX(SPLIT(A524, ""/""), 3)"),"بسیج دانشجویی")</f>
        <v>بسیج دانشجویی</v>
      </c>
      <c r="V524" s="1" t="str">
        <f>IFERROR(__xludf.DUMMYFUNCTION("INDEX(SPLIT(A524, ""/""), 4)"),"رویان")</f>
        <v>رویان</v>
      </c>
    </row>
    <row r="525">
      <c r="A525" s="1" t="s">
        <v>1790</v>
      </c>
      <c r="B525" s="1" t="s">
        <v>1808</v>
      </c>
      <c r="C525" s="1" t="s">
        <v>21</v>
      </c>
      <c r="D525" s="4" t="s">
        <v>1809</v>
      </c>
      <c r="E525" s="1" t="s">
        <v>1634</v>
      </c>
      <c r="F525" s="1" t="s">
        <v>1746</v>
      </c>
      <c r="G525" s="1" t="s">
        <v>1804</v>
      </c>
      <c r="H525" s="1" t="s">
        <v>1810</v>
      </c>
      <c r="I525" s="1" t="str">
        <f t="shared" si="1"/>
        <v>19</v>
      </c>
      <c r="J525" s="5"/>
      <c r="K525" s="1" t="str">
        <f t="shared" si="2"/>
        <v>12</v>
      </c>
      <c r="L525" s="5"/>
      <c r="M525" s="2" t="str">
        <f t="shared" si="3"/>
        <v>1397</v>
      </c>
      <c r="N525" s="5"/>
      <c r="O525" s="2">
        <v>9.0</v>
      </c>
      <c r="P525" s="5"/>
      <c r="Q525" s="5"/>
      <c r="R525" s="6" t="s">
        <v>1810</v>
      </c>
      <c r="S525" s="5"/>
      <c r="T525" s="1" t="str">
        <f>IFERROR(__xludf.DUMMYFUNCTION("INDEX(SPLIT(A525, ""/""), 2)"),"تشکل‌های اسلامی و سیاسی")</f>
        <v>تشکل‌های اسلامی و سیاسی</v>
      </c>
      <c r="U525" s="1" t="str">
        <f>IFERROR(__xludf.DUMMYFUNCTION("INDEX(SPLIT(A525, ""/""), 3)"),"بسیج دانشجویی")</f>
        <v>بسیج دانشجویی</v>
      </c>
      <c r="V525" s="1" t="str">
        <f>IFERROR(__xludf.DUMMYFUNCTION("INDEX(SPLIT(A525, ""/""), 4)"),"رویان")</f>
        <v>رویان</v>
      </c>
    </row>
    <row r="526">
      <c r="A526" s="1" t="s">
        <v>1790</v>
      </c>
      <c r="B526" s="1" t="s">
        <v>1811</v>
      </c>
      <c r="C526" s="1" t="s">
        <v>21</v>
      </c>
      <c r="D526" s="4" t="s">
        <v>1812</v>
      </c>
      <c r="E526" s="1" t="s">
        <v>1634</v>
      </c>
      <c r="F526" s="1" t="s">
        <v>1746</v>
      </c>
      <c r="G526" s="1" t="s">
        <v>1804</v>
      </c>
      <c r="H526" s="1" t="s">
        <v>1813</v>
      </c>
      <c r="I526" s="1" t="str">
        <f t="shared" si="1"/>
        <v>25</v>
      </c>
      <c r="J526" s="5"/>
      <c r="K526" s="1" t="str">
        <f t="shared" si="2"/>
        <v>2</v>
      </c>
      <c r="L526" s="5"/>
      <c r="M526" s="2" t="str">
        <f t="shared" si="3"/>
        <v>1398</v>
      </c>
      <c r="N526" s="5"/>
      <c r="O526" s="2">
        <v>10.0</v>
      </c>
      <c r="P526" s="5"/>
      <c r="Q526" s="5"/>
      <c r="R526" s="6" t="s">
        <v>1813</v>
      </c>
      <c r="S526" s="5"/>
      <c r="T526" s="1" t="str">
        <f>IFERROR(__xludf.DUMMYFUNCTION("INDEX(SPLIT(A526, ""/""), 2)"),"تشکل‌های اسلامی و سیاسی")</f>
        <v>تشکل‌های اسلامی و سیاسی</v>
      </c>
      <c r="U526" s="1" t="str">
        <f>IFERROR(__xludf.DUMMYFUNCTION("INDEX(SPLIT(A526, ""/""), 3)"),"بسیج دانشجویی")</f>
        <v>بسیج دانشجویی</v>
      </c>
      <c r="V526" s="1" t="str">
        <f>IFERROR(__xludf.DUMMYFUNCTION("INDEX(SPLIT(A526, ""/""), 4)"),"رویان")</f>
        <v>رویان</v>
      </c>
    </row>
    <row r="527">
      <c r="A527" s="1" t="s">
        <v>1790</v>
      </c>
      <c r="B527" s="1" t="s">
        <v>1814</v>
      </c>
      <c r="C527" s="1" t="s">
        <v>21</v>
      </c>
      <c r="D527" s="4" t="s">
        <v>1815</v>
      </c>
      <c r="E527" s="1" t="s">
        <v>1634</v>
      </c>
      <c r="F527" s="1" t="s">
        <v>1746</v>
      </c>
      <c r="G527" s="1" t="s">
        <v>1816</v>
      </c>
      <c r="H527" s="1" t="s">
        <v>1817</v>
      </c>
      <c r="I527" s="1" t="str">
        <f t="shared" si="1"/>
        <v>17</v>
      </c>
      <c r="J527" s="5"/>
      <c r="K527" s="1" t="str">
        <f t="shared" si="2"/>
        <v>7</v>
      </c>
      <c r="L527" s="5"/>
      <c r="M527" s="2" t="str">
        <f t="shared" si="3"/>
        <v>1398</v>
      </c>
      <c r="N527" s="5"/>
      <c r="O527" s="2">
        <v>11.0</v>
      </c>
      <c r="P527" s="5"/>
      <c r="Q527" s="5"/>
      <c r="R527" s="6" t="s">
        <v>1817</v>
      </c>
      <c r="S527" s="5"/>
      <c r="T527" s="1" t="str">
        <f>IFERROR(__xludf.DUMMYFUNCTION("INDEX(SPLIT(A527, ""/""), 2)"),"تشکل‌های اسلامی و سیاسی")</f>
        <v>تشکل‌های اسلامی و سیاسی</v>
      </c>
      <c r="U527" s="1" t="str">
        <f>IFERROR(__xludf.DUMMYFUNCTION("INDEX(SPLIT(A527, ""/""), 3)"),"بسیج دانشجویی")</f>
        <v>بسیج دانشجویی</v>
      </c>
      <c r="V527" s="1" t="str">
        <f>IFERROR(__xludf.DUMMYFUNCTION("INDEX(SPLIT(A527, ""/""), 4)"),"رویان")</f>
        <v>رویان</v>
      </c>
    </row>
    <row r="528">
      <c r="A528" s="1" t="s">
        <v>1790</v>
      </c>
      <c r="B528" s="1" t="s">
        <v>1818</v>
      </c>
      <c r="C528" s="1" t="s">
        <v>21</v>
      </c>
      <c r="D528" s="4" t="s">
        <v>1819</v>
      </c>
      <c r="E528" s="1" t="s">
        <v>1634</v>
      </c>
      <c r="F528" s="1" t="s">
        <v>1746</v>
      </c>
      <c r="G528" s="1" t="s">
        <v>1816</v>
      </c>
      <c r="H528" s="1" t="s">
        <v>1505</v>
      </c>
      <c r="I528" s="1" t="str">
        <f t="shared" si="1"/>
        <v>30</v>
      </c>
      <c r="J528" s="5"/>
      <c r="K528" s="1" t="str">
        <f t="shared" si="2"/>
        <v>9</v>
      </c>
      <c r="L528" s="5"/>
      <c r="M528" s="2" t="str">
        <f t="shared" si="3"/>
        <v>1398</v>
      </c>
      <c r="N528" s="5"/>
      <c r="O528" s="2">
        <v>13.0</v>
      </c>
      <c r="P528" s="5"/>
      <c r="Q528" s="5"/>
      <c r="R528" s="6" t="s">
        <v>1505</v>
      </c>
      <c r="S528" s="5"/>
      <c r="T528" s="1" t="str">
        <f>IFERROR(__xludf.DUMMYFUNCTION("INDEX(SPLIT(A528, ""/""), 2)"),"تشکل‌های اسلامی و سیاسی")</f>
        <v>تشکل‌های اسلامی و سیاسی</v>
      </c>
      <c r="U528" s="1" t="str">
        <f>IFERROR(__xludf.DUMMYFUNCTION("INDEX(SPLIT(A528, ""/""), 3)"),"بسیج دانشجویی")</f>
        <v>بسیج دانشجویی</v>
      </c>
      <c r="V528" s="1" t="str">
        <f>IFERROR(__xludf.DUMMYFUNCTION("INDEX(SPLIT(A528, ""/""), 4)"),"رویان")</f>
        <v>رویان</v>
      </c>
    </row>
    <row r="529">
      <c r="A529" s="1" t="s">
        <v>1790</v>
      </c>
      <c r="B529" s="1" t="s">
        <v>1820</v>
      </c>
      <c r="C529" s="1" t="s">
        <v>21</v>
      </c>
      <c r="D529" s="4" t="s">
        <v>1821</v>
      </c>
      <c r="E529" s="1" t="s">
        <v>1634</v>
      </c>
      <c r="F529" s="1" t="s">
        <v>1746</v>
      </c>
      <c r="G529" s="1" t="s">
        <v>1816</v>
      </c>
      <c r="H529" s="1" t="s">
        <v>1822</v>
      </c>
      <c r="I529" s="1" t="str">
        <f t="shared" si="1"/>
        <v>30</v>
      </c>
      <c r="J529" s="5"/>
      <c r="K529" s="1" t="str">
        <f t="shared" si="2"/>
        <v>11</v>
      </c>
      <c r="L529" s="5"/>
      <c r="M529" s="2" t="str">
        <f t="shared" si="3"/>
        <v>1398</v>
      </c>
      <c r="N529" s="5"/>
      <c r="O529" s="2">
        <v>14.0</v>
      </c>
      <c r="P529" s="5"/>
      <c r="Q529" s="5"/>
      <c r="R529" s="6" t="s">
        <v>1822</v>
      </c>
      <c r="S529" s="5"/>
      <c r="T529" s="1" t="str">
        <f>IFERROR(__xludf.DUMMYFUNCTION("INDEX(SPLIT(A529, ""/""), 2)"),"تشکل‌های اسلامی و سیاسی")</f>
        <v>تشکل‌های اسلامی و سیاسی</v>
      </c>
      <c r="U529" s="1" t="str">
        <f>IFERROR(__xludf.DUMMYFUNCTION("INDEX(SPLIT(A529, ""/""), 3)"),"بسیج دانشجویی")</f>
        <v>بسیج دانشجویی</v>
      </c>
      <c r="V529" s="1" t="str">
        <f>IFERROR(__xludf.DUMMYFUNCTION("INDEX(SPLIT(A529, ""/""), 4)"),"رویان")</f>
        <v>رویان</v>
      </c>
    </row>
    <row r="530">
      <c r="A530" s="1" t="s">
        <v>1790</v>
      </c>
      <c r="B530" s="1" t="s">
        <v>1823</v>
      </c>
      <c r="C530" s="1" t="s">
        <v>21</v>
      </c>
      <c r="D530" s="4" t="s">
        <v>1824</v>
      </c>
      <c r="E530" s="1" t="s">
        <v>1634</v>
      </c>
      <c r="F530" s="1" t="s">
        <v>1746</v>
      </c>
      <c r="G530" s="1" t="s">
        <v>1816</v>
      </c>
      <c r="H530" s="1" t="s">
        <v>1825</v>
      </c>
      <c r="I530" s="1" t="str">
        <f t="shared" si="1"/>
        <v>29</v>
      </c>
      <c r="J530" s="5"/>
      <c r="K530" s="1" t="str">
        <f t="shared" si="2"/>
        <v>12</v>
      </c>
      <c r="L530" s="5"/>
      <c r="M530" s="2" t="str">
        <f t="shared" si="3"/>
        <v>1398</v>
      </c>
      <c r="N530" s="5"/>
      <c r="O530" s="2">
        <v>15.0</v>
      </c>
      <c r="P530" s="5"/>
      <c r="Q530" s="5"/>
      <c r="R530" s="6" t="s">
        <v>1825</v>
      </c>
      <c r="S530" s="5"/>
      <c r="T530" s="1" t="str">
        <f>IFERROR(__xludf.DUMMYFUNCTION("INDEX(SPLIT(A530, ""/""), 2)"),"تشکل‌های اسلامی و سیاسی")</f>
        <v>تشکل‌های اسلامی و سیاسی</v>
      </c>
      <c r="U530" s="1" t="str">
        <f>IFERROR(__xludf.DUMMYFUNCTION("INDEX(SPLIT(A530, ""/""), 3)"),"بسیج دانشجویی")</f>
        <v>بسیج دانشجویی</v>
      </c>
      <c r="V530" s="1" t="str">
        <f>IFERROR(__xludf.DUMMYFUNCTION("INDEX(SPLIT(A530, ""/""), 4)"),"رویان")</f>
        <v>رویان</v>
      </c>
    </row>
    <row r="531">
      <c r="A531" s="1" t="s">
        <v>1790</v>
      </c>
      <c r="B531" s="1" t="s">
        <v>1826</v>
      </c>
      <c r="C531" s="1" t="s">
        <v>21</v>
      </c>
      <c r="D531" s="4" t="s">
        <v>1827</v>
      </c>
      <c r="E531" s="1" t="s">
        <v>1634</v>
      </c>
      <c r="F531" s="1" t="s">
        <v>1746</v>
      </c>
      <c r="G531" s="1" t="s">
        <v>1816</v>
      </c>
      <c r="H531" s="7" t="s">
        <v>1828</v>
      </c>
      <c r="I531" s="1" t="str">
        <f t="shared" si="1"/>
        <v>1</v>
      </c>
      <c r="J531" s="5"/>
      <c r="K531" s="1" t="str">
        <f t="shared" si="2"/>
        <v>2</v>
      </c>
      <c r="L531" s="5"/>
      <c r="M531" s="2" t="str">
        <f t="shared" si="3"/>
        <v>1399</v>
      </c>
      <c r="N531" s="5"/>
      <c r="O531" s="2">
        <v>16.0</v>
      </c>
      <c r="P531" s="5"/>
      <c r="Q531" s="5"/>
      <c r="R531" s="8" t="s">
        <v>1828</v>
      </c>
      <c r="S531" s="5"/>
      <c r="T531" s="1" t="str">
        <f>IFERROR(__xludf.DUMMYFUNCTION("INDEX(SPLIT(A531, ""/""), 2)"),"تشکل‌های اسلامی و سیاسی")</f>
        <v>تشکل‌های اسلامی و سیاسی</v>
      </c>
      <c r="U531" s="1" t="str">
        <f>IFERROR(__xludf.DUMMYFUNCTION("INDEX(SPLIT(A531, ""/""), 3)"),"بسیج دانشجویی")</f>
        <v>بسیج دانشجویی</v>
      </c>
      <c r="V531" s="1" t="str">
        <f>IFERROR(__xludf.DUMMYFUNCTION("INDEX(SPLIT(A531, ""/""), 4)"),"رویان")</f>
        <v>رویان</v>
      </c>
    </row>
    <row r="532">
      <c r="A532" s="1" t="s">
        <v>1790</v>
      </c>
      <c r="B532" s="1" t="s">
        <v>1829</v>
      </c>
      <c r="C532" s="1" t="s">
        <v>21</v>
      </c>
      <c r="D532" s="4" t="s">
        <v>1830</v>
      </c>
      <c r="E532" s="1" t="s">
        <v>1634</v>
      </c>
      <c r="F532" s="1" t="s">
        <v>1746</v>
      </c>
      <c r="G532" s="1" t="s">
        <v>1816</v>
      </c>
      <c r="H532" s="1" t="s">
        <v>1831</v>
      </c>
      <c r="I532" s="1" t="str">
        <f t="shared" si="1"/>
        <v>31</v>
      </c>
      <c r="J532" s="5"/>
      <c r="K532" s="1" t="str">
        <f t="shared" si="2"/>
        <v>3</v>
      </c>
      <c r="L532" s="5"/>
      <c r="M532" s="2" t="str">
        <f t="shared" si="3"/>
        <v>1399</v>
      </c>
      <c r="N532" s="5"/>
      <c r="O532" s="2">
        <v>17.0</v>
      </c>
      <c r="P532" s="5"/>
      <c r="Q532" s="5"/>
      <c r="R532" s="6" t="s">
        <v>1831</v>
      </c>
      <c r="S532" s="5"/>
      <c r="T532" s="1" t="str">
        <f>IFERROR(__xludf.DUMMYFUNCTION("INDEX(SPLIT(A532, ""/""), 2)"),"تشکل‌های اسلامی و سیاسی")</f>
        <v>تشکل‌های اسلامی و سیاسی</v>
      </c>
      <c r="U532" s="1" t="str">
        <f>IFERROR(__xludf.DUMMYFUNCTION("INDEX(SPLIT(A532, ""/""), 3)"),"بسیج دانشجویی")</f>
        <v>بسیج دانشجویی</v>
      </c>
      <c r="V532" s="1" t="str">
        <f>IFERROR(__xludf.DUMMYFUNCTION("INDEX(SPLIT(A532, ""/""), 4)"),"رویان")</f>
        <v>رویان</v>
      </c>
    </row>
    <row r="533">
      <c r="A533" s="1" t="s">
        <v>1832</v>
      </c>
      <c r="B533" s="1" t="s">
        <v>1833</v>
      </c>
      <c r="C533" s="1" t="s">
        <v>21</v>
      </c>
      <c r="D533" s="4" t="s">
        <v>1834</v>
      </c>
      <c r="E533" s="1" t="s">
        <v>1634</v>
      </c>
      <c r="F533" s="1" t="s">
        <v>1835</v>
      </c>
      <c r="G533" s="1" t="s">
        <v>1835</v>
      </c>
      <c r="H533" s="1" t="s">
        <v>1206</v>
      </c>
      <c r="I533" s="1" t="str">
        <f t="shared" si="1"/>
        <v>14</v>
      </c>
      <c r="J533" s="5"/>
      <c r="K533" s="1" t="str">
        <f t="shared" si="2"/>
        <v>12</v>
      </c>
      <c r="L533" s="5"/>
      <c r="M533" s="2" t="str">
        <f t="shared" si="3"/>
        <v>1395</v>
      </c>
      <c r="N533" s="5"/>
      <c r="O533" s="2">
        <v>1.0</v>
      </c>
      <c r="P533" s="5"/>
      <c r="Q533" s="5"/>
      <c r="R533" s="6" t="s">
        <v>1206</v>
      </c>
      <c r="S533" s="5"/>
      <c r="T533" s="1" t="str">
        <f>IFERROR(__xludf.DUMMYFUNCTION("INDEX(SPLIT(A533, ""/""), 2)"),"تشکل‌های اسلامی و سیاسی")</f>
        <v>تشکل‌های اسلامی و سیاسی</v>
      </c>
      <c r="U533" s="1" t="str">
        <f>IFERROR(__xludf.DUMMYFUNCTION("INDEX(SPLIT(A533, ""/""), 3)"),"بسیج دانشجویی")</f>
        <v>بسیج دانشجویی</v>
      </c>
      <c r="V533" s="1" t="str">
        <f>IFERROR(__xludf.DUMMYFUNCTION("INDEX(SPLIT(A533, ""/""), 4)"),"رویان")</f>
        <v>رویان</v>
      </c>
    </row>
    <row r="534">
      <c r="A534" s="1" t="s">
        <v>1832</v>
      </c>
      <c r="B534" s="1" t="s">
        <v>1836</v>
      </c>
      <c r="C534" s="1" t="s">
        <v>21</v>
      </c>
      <c r="D534" s="4" t="s">
        <v>1837</v>
      </c>
      <c r="E534" s="1" t="s">
        <v>1634</v>
      </c>
      <c r="F534" s="1" t="s">
        <v>1746</v>
      </c>
      <c r="G534" s="1" t="s">
        <v>1838</v>
      </c>
      <c r="H534" s="7" t="s">
        <v>1405</v>
      </c>
      <c r="I534" s="1" t="str">
        <f t="shared" si="1"/>
        <v>4</v>
      </c>
      <c r="J534" s="5"/>
      <c r="K534" s="1" t="str">
        <f t="shared" si="2"/>
        <v>10</v>
      </c>
      <c r="L534" s="5"/>
      <c r="M534" s="2" t="str">
        <f t="shared" si="3"/>
        <v>1396</v>
      </c>
      <c r="N534" s="5"/>
      <c r="O534" s="2">
        <v>4.0</v>
      </c>
      <c r="P534" s="5"/>
      <c r="Q534" s="5"/>
      <c r="R534" s="8" t="s">
        <v>1405</v>
      </c>
      <c r="S534" s="5"/>
      <c r="T534" s="1" t="str">
        <f>IFERROR(__xludf.DUMMYFUNCTION("INDEX(SPLIT(A534, ""/""), 2)"),"تشکل‌های اسلامی و سیاسی")</f>
        <v>تشکل‌های اسلامی و سیاسی</v>
      </c>
      <c r="U534" s="1" t="str">
        <f>IFERROR(__xludf.DUMMYFUNCTION("INDEX(SPLIT(A534, ""/""), 3)"),"بسیج دانشجویی")</f>
        <v>بسیج دانشجویی</v>
      </c>
      <c r="V534" s="1" t="str">
        <f>IFERROR(__xludf.DUMMYFUNCTION("INDEX(SPLIT(A534, ""/""), 4)"),"رویان")</f>
        <v>رویان</v>
      </c>
    </row>
    <row r="535">
      <c r="A535" s="1" t="s">
        <v>1832</v>
      </c>
      <c r="B535" s="1" t="s">
        <v>1839</v>
      </c>
      <c r="C535" s="1" t="s">
        <v>21</v>
      </c>
      <c r="D535" s="4" t="s">
        <v>1840</v>
      </c>
      <c r="E535" s="1" t="s">
        <v>1634</v>
      </c>
      <c r="F535" s="1" t="s">
        <v>1746</v>
      </c>
      <c r="G535" s="1" t="s">
        <v>1838</v>
      </c>
      <c r="H535" s="1" t="s">
        <v>1841</v>
      </c>
      <c r="I535" s="1" t="str">
        <f t="shared" si="1"/>
        <v>29</v>
      </c>
      <c r="J535" s="5"/>
      <c r="K535" s="1" t="str">
        <f t="shared" si="2"/>
        <v>7</v>
      </c>
      <c r="L535" s="5"/>
      <c r="M535" s="2" t="str">
        <f t="shared" si="3"/>
        <v>1397</v>
      </c>
      <c r="N535" s="5"/>
      <c r="O535" s="2">
        <v>6.0</v>
      </c>
      <c r="P535" s="5"/>
      <c r="Q535" s="5"/>
      <c r="R535" s="6" t="s">
        <v>1841</v>
      </c>
      <c r="S535" s="5"/>
      <c r="T535" s="1" t="str">
        <f>IFERROR(__xludf.DUMMYFUNCTION("INDEX(SPLIT(A535, ""/""), 2)"),"تشکل‌های اسلامی و سیاسی")</f>
        <v>تشکل‌های اسلامی و سیاسی</v>
      </c>
      <c r="U535" s="1" t="str">
        <f>IFERROR(__xludf.DUMMYFUNCTION("INDEX(SPLIT(A535, ""/""), 3)"),"بسیج دانشجویی")</f>
        <v>بسیج دانشجویی</v>
      </c>
      <c r="V535" s="1" t="str">
        <f>IFERROR(__xludf.DUMMYFUNCTION("INDEX(SPLIT(A535, ""/""), 4)"),"رویان")</f>
        <v>رویان</v>
      </c>
    </row>
    <row r="536">
      <c r="A536" s="1" t="s">
        <v>1832</v>
      </c>
      <c r="B536" s="1" t="s">
        <v>1842</v>
      </c>
      <c r="C536" s="1" t="s">
        <v>21</v>
      </c>
      <c r="D536" s="4" t="s">
        <v>1843</v>
      </c>
      <c r="E536" s="1" t="s">
        <v>1634</v>
      </c>
      <c r="F536" s="1" t="s">
        <v>1746</v>
      </c>
      <c r="G536" s="1" t="s">
        <v>1844</v>
      </c>
      <c r="H536" s="1" t="s">
        <v>1845</v>
      </c>
      <c r="I536" s="1" t="str">
        <f t="shared" si="1"/>
        <v>25</v>
      </c>
      <c r="J536" s="5"/>
      <c r="K536" s="1" t="str">
        <f t="shared" si="2"/>
        <v>9</v>
      </c>
      <c r="L536" s="5"/>
      <c r="M536" s="2" t="str">
        <f t="shared" si="3"/>
        <v>1397</v>
      </c>
      <c r="N536" s="5"/>
      <c r="O536" s="2">
        <v>8.0</v>
      </c>
      <c r="P536" s="5"/>
      <c r="Q536" s="5"/>
      <c r="R536" s="6" t="s">
        <v>1845</v>
      </c>
      <c r="S536" s="5"/>
      <c r="T536" s="1" t="str">
        <f>IFERROR(__xludf.DUMMYFUNCTION("INDEX(SPLIT(A536, ""/""), 2)"),"تشکل‌های اسلامی و سیاسی")</f>
        <v>تشکل‌های اسلامی و سیاسی</v>
      </c>
      <c r="U536" s="1" t="str">
        <f>IFERROR(__xludf.DUMMYFUNCTION("INDEX(SPLIT(A536, ""/""), 3)"),"بسیج دانشجویی")</f>
        <v>بسیج دانشجویی</v>
      </c>
      <c r="V536" s="1" t="str">
        <f>IFERROR(__xludf.DUMMYFUNCTION("INDEX(SPLIT(A536, ""/""), 4)"),"رویان")</f>
        <v>رویان</v>
      </c>
    </row>
    <row r="537">
      <c r="A537" s="1" t="s">
        <v>1832</v>
      </c>
      <c r="B537" s="1" t="s">
        <v>1846</v>
      </c>
      <c r="C537" s="1" t="s">
        <v>21</v>
      </c>
      <c r="D537" s="4" t="s">
        <v>1847</v>
      </c>
      <c r="E537" s="1" t="s">
        <v>1634</v>
      </c>
      <c r="F537" s="1" t="s">
        <v>1746</v>
      </c>
      <c r="G537" s="1" t="s">
        <v>1844</v>
      </c>
      <c r="H537" s="7" t="s">
        <v>1496</v>
      </c>
      <c r="I537" s="1" t="str">
        <f t="shared" si="1"/>
        <v>8</v>
      </c>
      <c r="J537" s="5"/>
      <c r="K537" s="1" t="str">
        <f t="shared" si="2"/>
        <v>2</v>
      </c>
      <c r="L537" s="5"/>
      <c r="M537" s="2" t="str">
        <f t="shared" si="3"/>
        <v>1398</v>
      </c>
      <c r="N537" s="5"/>
      <c r="O537" s="2">
        <v>9.0</v>
      </c>
      <c r="P537" s="5"/>
      <c r="Q537" s="5"/>
      <c r="R537" s="8" t="s">
        <v>1496</v>
      </c>
      <c r="S537" s="5"/>
      <c r="T537" s="1" t="str">
        <f>IFERROR(__xludf.DUMMYFUNCTION("INDEX(SPLIT(A537, ""/""), 2)"),"تشکل‌های اسلامی و سیاسی")</f>
        <v>تشکل‌های اسلامی و سیاسی</v>
      </c>
      <c r="U537" s="1" t="str">
        <f>IFERROR(__xludf.DUMMYFUNCTION("INDEX(SPLIT(A537, ""/""), 3)"),"بسیج دانشجویی")</f>
        <v>بسیج دانشجویی</v>
      </c>
      <c r="V537" s="1" t="str">
        <f>IFERROR(__xludf.DUMMYFUNCTION("INDEX(SPLIT(A537, ""/""), 4)"),"رویان")</f>
        <v>رویان</v>
      </c>
    </row>
    <row r="538">
      <c r="A538" s="1" t="s">
        <v>1832</v>
      </c>
      <c r="B538" s="1" t="s">
        <v>1848</v>
      </c>
      <c r="C538" s="1" t="s">
        <v>21</v>
      </c>
      <c r="D538" s="4" t="s">
        <v>1849</v>
      </c>
      <c r="E538" s="1" t="s">
        <v>1634</v>
      </c>
      <c r="F538" s="1" t="s">
        <v>1746</v>
      </c>
      <c r="G538" s="1" t="s">
        <v>1850</v>
      </c>
      <c r="H538" s="1" t="s">
        <v>351</v>
      </c>
      <c r="I538" s="1" t="str">
        <f t="shared" si="1"/>
        <v>x</v>
      </c>
      <c r="J538" s="5"/>
      <c r="K538" s="1" t="str">
        <f t="shared" si="2"/>
        <v>8</v>
      </c>
      <c r="L538" s="5"/>
      <c r="M538" s="2" t="str">
        <f t="shared" si="3"/>
        <v>1398</v>
      </c>
      <c r="N538" s="5"/>
      <c r="O538" s="2">
        <v>10.0</v>
      </c>
      <c r="P538" s="5"/>
      <c r="Q538" s="5"/>
      <c r="R538" s="6" t="s">
        <v>352</v>
      </c>
      <c r="S538" s="5"/>
      <c r="T538" s="1" t="str">
        <f>IFERROR(__xludf.DUMMYFUNCTION("INDEX(SPLIT(A538, ""/""), 2)"),"تشکل‌های اسلامی و سیاسی")</f>
        <v>تشکل‌های اسلامی و سیاسی</v>
      </c>
      <c r="U538" s="1" t="str">
        <f>IFERROR(__xludf.DUMMYFUNCTION("INDEX(SPLIT(A538, ""/""), 3)"),"بسیج دانشجویی")</f>
        <v>بسیج دانشجویی</v>
      </c>
      <c r="V538" s="1" t="str">
        <f>IFERROR(__xludf.DUMMYFUNCTION("INDEX(SPLIT(A538, ""/""), 4)"),"رویان")</f>
        <v>رویان</v>
      </c>
    </row>
    <row r="539">
      <c r="A539" s="1" t="s">
        <v>1832</v>
      </c>
      <c r="B539" s="1" t="s">
        <v>1851</v>
      </c>
      <c r="C539" s="1" t="s">
        <v>21</v>
      </c>
      <c r="D539" s="4" t="s">
        <v>1852</v>
      </c>
      <c r="E539" s="1" t="s">
        <v>1634</v>
      </c>
      <c r="F539" s="1" t="s">
        <v>1746</v>
      </c>
      <c r="G539" s="1" t="s">
        <v>1850</v>
      </c>
      <c r="H539" s="1" t="s">
        <v>199</v>
      </c>
      <c r="I539" s="1" t="str">
        <f t="shared" si="1"/>
        <v>x</v>
      </c>
      <c r="J539" s="5"/>
      <c r="K539" s="1" t="str">
        <f t="shared" si="2"/>
        <v>11</v>
      </c>
      <c r="L539" s="5"/>
      <c r="M539" s="2" t="str">
        <f t="shared" si="3"/>
        <v>1398</v>
      </c>
      <c r="N539" s="5"/>
      <c r="O539" s="2">
        <v>11.0</v>
      </c>
      <c r="P539" s="5"/>
      <c r="Q539" s="5"/>
      <c r="R539" s="6" t="s">
        <v>200</v>
      </c>
      <c r="S539" s="5"/>
      <c r="T539" s="1" t="str">
        <f>IFERROR(__xludf.DUMMYFUNCTION("INDEX(SPLIT(A539, ""/""), 2)"),"تشکل‌های اسلامی و سیاسی")</f>
        <v>تشکل‌های اسلامی و سیاسی</v>
      </c>
      <c r="U539" s="1" t="str">
        <f>IFERROR(__xludf.DUMMYFUNCTION("INDEX(SPLIT(A539, ""/""), 3)"),"بسیج دانشجویی")</f>
        <v>بسیج دانشجویی</v>
      </c>
      <c r="V539" s="1" t="str">
        <f>IFERROR(__xludf.DUMMYFUNCTION("INDEX(SPLIT(A539, ""/""), 4)"),"رویان")</f>
        <v>رویان</v>
      </c>
    </row>
    <row r="540">
      <c r="A540" s="1" t="s">
        <v>1832</v>
      </c>
      <c r="B540" s="1" t="s">
        <v>1853</v>
      </c>
      <c r="C540" s="1" t="s">
        <v>21</v>
      </c>
      <c r="D540" s="4" t="s">
        <v>1854</v>
      </c>
      <c r="E540" s="1" t="s">
        <v>1634</v>
      </c>
      <c r="F540" s="1" t="s">
        <v>1746</v>
      </c>
      <c r="G540" s="1" t="s">
        <v>1850</v>
      </c>
      <c r="H540" s="1" t="s">
        <v>367</v>
      </c>
      <c r="I540" s="1" t="str">
        <f t="shared" si="1"/>
        <v>x</v>
      </c>
      <c r="J540" s="5"/>
      <c r="K540" s="1" t="str">
        <f t="shared" si="2"/>
        <v>1</v>
      </c>
      <c r="L540" s="5"/>
      <c r="M540" s="2" t="str">
        <f t="shared" si="3"/>
        <v>1399</v>
      </c>
      <c r="N540" s="5"/>
      <c r="O540" s="2">
        <v>12.0</v>
      </c>
      <c r="P540" s="5"/>
      <c r="Q540" s="5"/>
      <c r="R540" s="6" t="s">
        <v>368</v>
      </c>
      <c r="S540" s="5"/>
      <c r="T540" s="1" t="str">
        <f>IFERROR(__xludf.DUMMYFUNCTION("INDEX(SPLIT(A540, ""/""), 2)"),"تشکل‌های اسلامی و سیاسی")</f>
        <v>تشکل‌های اسلامی و سیاسی</v>
      </c>
      <c r="U540" s="1" t="str">
        <f>IFERROR(__xludf.DUMMYFUNCTION("INDEX(SPLIT(A540, ""/""), 3)"),"بسیج دانشجویی")</f>
        <v>بسیج دانشجویی</v>
      </c>
      <c r="V540" s="1" t="str">
        <f>IFERROR(__xludf.DUMMYFUNCTION("INDEX(SPLIT(A540, ""/""), 4)"),"رویان")</f>
        <v>رویان</v>
      </c>
    </row>
    <row r="541">
      <c r="A541" s="1" t="s">
        <v>1832</v>
      </c>
      <c r="B541" s="1" t="s">
        <v>1855</v>
      </c>
      <c r="C541" s="1" t="s">
        <v>21</v>
      </c>
      <c r="D541" s="4" t="s">
        <v>1856</v>
      </c>
      <c r="E541" s="1" t="s">
        <v>1634</v>
      </c>
      <c r="F541" s="1" t="s">
        <v>1857</v>
      </c>
      <c r="G541" s="1" t="s">
        <v>752</v>
      </c>
      <c r="H541" s="1" t="s">
        <v>38</v>
      </c>
      <c r="I541" s="1" t="str">
        <f t="shared" si="1"/>
        <v>x</v>
      </c>
      <c r="J541" s="5"/>
      <c r="K541" s="1" t="str">
        <f t="shared" si="2"/>
        <v>9</v>
      </c>
      <c r="L541" s="5"/>
      <c r="M541" s="2" t="str">
        <f t="shared" si="3"/>
        <v>1399</v>
      </c>
      <c r="N541" s="5"/>
      <c r="O541" s="2">
        <v>14.0</v>
      </c>
      <c r="P541" s="5"/>
      <c r="Q541" s="5"/>
      <c r="R541" s="6" t="s">
        <v>39</v>
      </c>
      <c r="S541" s="5"/>
      <c r="T541" s="1" t="str">
        <f>IFERROR(__xludf.DUMMYFUNCTION("INDEX(SPLIT(A541, ""/""), 2)"),"تشکل‌های اسلامی و سیاسی")</f>
        <v>تشکل‌های اسلامی و سیاسی</v>
      </c>
      <c r="U541" s="1" t="str">
        <f>IFERROR(__xludf.DUMMYFUNCTION("INDEX(SPLIT(A541, ""/""), 3)"),"بسیج دانشجویی")</f>
        <v>بسیج دانشجویی</v>
      </c>
      <c r="V541" s="1" t="str">
        <f>IFERROR(__xludf.DUMMYFUNCTION("INDEX(SPLIT(A541, ""/""), 4)"),"رویان")</f>
        <v>رویان</v>
      </c>
    </row>
    <row r="542">
      <c r="A542" s="1" t="s">
        <v>1858</v>
      </c>
      <c r="B542" s="1" t="s">
        <v>1859</v>
      </c>
      <c r="C542" s="1" t="s">
        <v>21</v>
      </c>
      <c r="D542" s="4" t="s">
        <v>1860</v>
      </c>
      <c r="E542" s="1" t="s">
        <v>1861</v>
      </c>
      <c r="F542" s="1" t="s">
        <v>71</v>
      </c>
      <c r="G542" s="1" t="s">
        <v>71</v>
      </c>
      <c r="H542" s="1" t="s">
        <v>1862</v>
      </c>
      <c r="I542" s="1" t="str">
        <f t="shared" si="1"/>
        <v>x</v>
      </c>
      <c r="J542" s="5"/>
      <c r="K542" s="1" t="str">
        <f t="shared" si="2"/>
        <v>x</v>
      </c>
      <c r="L542" s="5"/>
      <c r="M542" s="2" t="str">
        <f t="shared" si="3"/>
        <v>1392</v>
      </c>
      <c r="N542" s="1">
        <v>1.0</v>
      </c>
      <c r="O542" s="2">
        <v>1.0</v>
      </c>
      <c r="P542" s="5"/>
      <c r="Q542" s="5"/>
      <c r="R542" s="8" t="s">
        <v>1718</v>
      </c>
      <c r="S542" s="1" t="s">
        <v>1863</v>
      </c>
      <c r="T542" s="1" t="str">
        <f>IFERROR(__xludf.DUMMYFUNCTION("INDEX(SPLIT(A542, ""/""), 2)"),"تشکل‌های اسلامی و سیاسی")</f>
        <v>تشکل‌های اسلامی و سیاسی</v>
      </c>
      <c r="U542" s="1" t="str">
        <f>IFERROR(__xludf.DUMMYFUNCTION("INDEX(SPLIT(A542, ""/""), 3)"),"بسیج دانشجویی")</f>
        <v>بسیج دانشجویی</v>
      </c>
      <c r="V542" s="1" t="str">
        <f>IFERROR(__xludf.DUMMYFUNCTION("INDEX(SPLIT(A542, ""/""), 4)"),"شاخص")</f>
        <v>شاخص</v>
      </c>
    </row>
    <row r="543">
      <c r="A543" s="1" t="s">
        <v>1858</v>
      </c>
      <c r="B543" s="1" t="s">
        <v>1864</v>
      </c>
      <c r="C543" s="1" t="s">
        <v>21</v>
      </c>
      <c r="D543" s="4" t="s">
        <v>1865</v>
      </c>
      <c r="E543" s="1" t="s">
        <v>1861</v>
      </c>
      <c r="F543" s="1" t="s">
        <v>71</v>
      </c>
      <c r="G543" s="1" t="s">
        <v>71</v>
      </c>
      <c r="H543" s="1" t="s">
        <v>1862</v>
      </c>
      <c r="I543" s="1" t="str">
        <f t="shared" si="1"/>
        <v>x</v>
      </c>
      <c r="J543" s="5"/>
      <c r="K543" s="1" t="str">
        <f t="shared" si="2"/>
        <v>x</v>
      </c>
      <c r="L543" s="5"/>
      <c r="M543" s="2" t="str">
        <f t="shared" si="3"/>
        <v>1392</v>
      </c>
      <c r="N543" s="1">
        <v>1.0</v>
      </c>
      <c r="O543" s="2">
        <v>2.0</v>
      </c>
      <c r="P543" s="5"/>
      <c r="Q543" s="5"/>
      <c r="R543" s="8" t="s">
        <v>1718</v>
      </c>
      <c r="S543" s="1" t="s">
        <v>1863</v>
      </c>
      <c r="T543" s="1" t="str">
        <f>IFERROR(__xludf.DUMMYFUNCTION("INDEX(SPLIT(A543, ""/""), 2)"),"تشکل‌های اسلامی و سیاسی")</f>
        <v>تشکل‌های اسلامی و سیاسی</v>
      </c>
      <c r="U543" s="1" t="str">
        <f>IFERROR(__xludf.DUMMYFUNCTION("INDEX(SPLIT(A543, ""/""), 3)"),"بسیج دانشجویی")</f>
        <v>بسیج دانشجویی</v>
      </c>
      <c r="V543" s="1" t="str">
        <f>IFERROR(__xludf.DUMMYFUNCTION("INDEX(SPLIT(A543, ""/""), 4)"),"شاخص")</f>
        <v>شاخص</v>
      </c>
    </row>
    <row r="544">
      <c r="A544" s="1" t="s">
        <v>1858</v>
      </c>
      <c r="B544" s="1" t="s">
        <v>1866</v>
      </c>
      <c r="C544" s="1" t="s">
        <v>21</v>
      </c>
      <c r="D544" s="4" t="s">
        <v>1867</v>
      </c>
      <c r="E544" s="1" t="s">
        <v>1861</v>
      </c>
      <c r="F544" s="1" t="s">
        <v>71</v>
      </c>
      <c r="G544" s="1" t="s">
        <v>71</v>
      </c>
      <c r="H544" s="1" t="s">
        <v>1862</v>
      </c>
      <c r="I544" s="1" t="str">
        <f t="shared" si="1"/>
        <v>x</v>
      </c>
      <c r="J544" s="5"/>
      <c r="K544" s="1" t="str">
        <f t="shared" si="2"/>
        <v>x</v>
      </c>
      <c r="L544" s="5"/>
      <c r="M544" s="2" t="str">
        <f t="shared" si="3"/>
        <v>1392</v>
      </c>
      <c r="N544" s="1">
        <v>1.0</v>
      </c>
      <c r="O544" s="2">
        <v>3.0</v>
      </c>
      <c r="P544" s="5"/>
      <c r="Q544" s="5"/>
      <c r="R544" s="8" t="s">
        <v>1718</v>
      </c>
      <c r="S544" s="1" t="s">
        <v>1863</v>
      </c>
      <c r="T544" s="1" t="str">
        <f>IFERROR(__xludf.DUMMYFUNCTION("INDEX(SPLIT(A544, ""/""), 2)"),"تشکل‌های اسلامی و سیاسی")</f>
        <v>تشکل‌های اسلامی و سیاسی</v>
      </c>
      <c r="U544" s="1" t="str">
        <f>IFERROR(__xludf.DUMMYFUNCTION("INDEX(SPLIT(A544, ""/""), 3)"),"بسیج دانشجویی")</f>
        <v>بسیج دانشجویی</v>
      </c>
      <c r="V544" s="1" t="str">
        <f>IFERROR(__xludf.DUMMYFUNCTION("INDEX(SPLIT(A544, ""/""), 4)"),"شاخص")</f>
        <v>شاخص</v>
      </c>
    </row>
    <row r="545">
      <c r="A545" s="1" t="s">
        <v>1858</v>
      </c>
      <c r="B545" s="1" t="s">
        <v>1868</v>
      </c>
      <c r="C545" s="1" t="s">
        <v>21</v>
      </c>
      <c r="D545" s="4" t="s">
        <v>1869</v>
      </c>
      <c r="E545" s="1" t="s">
        <v>1861</v>
      </c>
      <c r="F545" s="1" t="s">
        <v>71</v>
      </c>
      <c r="G545" s="1" t="s">
        <v>71</v>
      </c>
      <c r="H545" s="1" t="s">
        <v>1862</v>
      </c>
      <c r="I545" s="1" t="str">
        <f t="shared" si="1"/>
        <v>x</v>
      </c>
      <c r="J545" s="5"/>
      <c r="K545" s="1" t="str">
        <f t="shared" si="2"/>
        <v>x</v>
      </c>
      <c r="L545" s="5"/>
      <c r="M545" s="2" t="str">
        <f t="shared" si="3"/>
        <v>1392</v>
      </c>
      <c r="N545" s="1">
        <v>1.0</v>
      </c>
      <c r="O545" s="2">
        <v>6.0</v>
      </c>
      <c r="P545" s="5"/>
      <c r="Q545" s="5"/>
      <c r="R545" s="8" t="s">
        <v>1718</v>
      </c>
      <c r="S545" s="1" t="s">
        <v>1863</v>
      </c>
      <c r="T545" s="1" t="str">
        <f>IFERROR(__xludf.DUMMYFUNCTION("INDEX(SPLIT(A545, ""/""), 2)"),"تشکل‌های اسلامی و سیاسی")</f>
        <v>تشکل‌های اسلامی و سیاسی</v>
      </c>
      <c r="U545" s="1" t="str">
        <f>IFERROR(__xludf.DUMMYFUNCTION("INDEX(SPLIT(A545, ""/""), 3)"),"بسیج دانشجویی")</f>
        <v>بسیج دانشجویی</v>
      </c>
      <c r="V545" s="1" t="str">
        <f>IFERROR(__xludf.DUMMYFUNCTION("INDEX(SPLIT(A545, ""/""), 4)"),"شاخص")</f>
        <v>شاخص</v>
      </c>
    </row>
    <row r="546">
      <c r="A546" s="1" t="s">
        <v>1858</v>
      </c>
      <c r="B546" s="1" t="s">
        <v>1870</v>
      </c>
      <c r="C546" s="1" t="s">
        <v>21</v>
      </c>
      <c r="D546" s="4" t="s">
        <v>1871</v>
      </c>
      <c r="E546" s="1" t="s">
        <v>1861</v>
      </c>
      <c r="F546" s="1" t="s">
        <v>71</v>
      </c>
      <c r="G546" s="1" t="s">
        <v>71</v>
      </c>
      <c r="H546" s="1" t="s">
        <v>1862</v>
      </c>
      <c r="I546" s="1" t="str">
        <f t="shared" si="1"/>
        <v>x</v>
      </c>
      <c r="J546" s="5"/>
      <c r="K546" s="1" t="str">
        <f t="shared" si="2"/>
        <v>x</v>
      </c>
      <c r="L546" s="5"/>
      <c r="M546" s="2" t="str">
        <f t="shared" si="3"/>
        <v>1392</v>
      </c>
      <c r="N546" s="1">
        <v>1.0</v>
      </c>
      <c r="O546" s="2">
        <v>7.0</v>
      </c>
      <c r="P546" s="5"/>
      <c r="Q546" s="5"/>
      <c r="R546" s="8" t="s">
        <v>1718</v>
      </c>
      <c r="S546" s="1" t="s">
        <v>1863</v>
      </c>
      <c r="T546" s="1" t="str">
        <f>IFERROR(__xludf.DUMMYFUNCTION("INDEX(SPLIT(A546, ""/""), 2)"),"تشکل‌های اسلامی و سیاسی")</f>
        <v>تشکل‌های اسلامی و سیاسی</v>
      </c>
      <c r="U546" s="1" t="str">
        <f>IFERROR(__xludf.DUMMYFUNCTION("INDEX(SPLIT(A546, ""/""), 3)"),"بسیج دانشجویی")</f>
        <v>بسیج دانشجویی</v>
      </c>
      <c r="V546" s="1" t="str">
        <f>IFERROR(__xludf.DUMMYFUNCTION("INDEX(SPLIT(A546, ""/""), 4)"),"شاخص")</f>
        <v>شاخص</v>
      </c>
    </row>
    <row r="547">
      <c r="A547" s="1" t="s">
        <v>1858</v>
      </c>
      <c r="B547" s="1" t="s">
        <v>1872</v>
      </c>
      <c r="C547" s="1" t="s">
        <v>21</v>
      </c>
      <c r="D547" s="4" t="s">
        <v>1873</v>
      </c>
      <c r="E547" s="1" t="s">
        <v>1861</v>
      </c>
      <c r="F547" s="1" t="s">
        <v>71</v>
      </c>
      <c r="G547" s="1" t="s">
        <v>71</v>
      </c>
      <c r="H547" s="1" t="s">
        <v>1862</v>
      </c>
      <c r="I547" s="1" t="str">
        <f t="shared" si="1"/>
        <v>x</v>
      </c>
      <c r="J547" s="5"/>
      <c r="K547" s="1" t="str">
        <f t="shared" si="2"/>
        <v>x</v>
      </c>
      <c r="L547" s="5"/>
      <c r="M547" s="2" t="str">
        <f t="shared" si="3"/>
        <v>1392</v>
      </c>
      <c r="N547" s="1">
        <v>1.0</v>
      </c>
      <c r="O547" s="2">
        <v>8.0</v>
      </c>
      <c r="P547" s="5"/>
      <c r="Q547" s="5"/>
      <c r="R547" s="8" t="s">
        <v>1718</v>
      </c>
      <c r="S547" s="1" t="s">
        <v>1863</v>
      </c>
      <c r="T547" s="1" t="str">
        <f>IFERROR(__xludf.DUMMYFUNCTION("INDEX(SPLIT(A547, ""/""), 2)"),"تشکل‌های اسلامی و سیاسی")</f>
        <v>تشکل‌های اسلامی و سیاسی</v>
      </c>
      <c r="U547" s="1" t="str">
        <f>IFERROR(__xludf.DUMMYFUNCTION("INDEX(SPLIT(A547, ""/""), 3)"),"بسیج دانشجویی")</f>
        <v>بسیج دانشجویی</v>
      </c>
      <c r="V547" s="1" t="str">
        <f>IFERROR(__xludf.DUMMYFUNCTION("INDEX(SPLIT(A547, ""/""), 4)"),"شاخص")</f>
        <v>شاخص</v>
      </c>
    </row>
    <row r="548">
      <c r="A548" s="1" t="s">
        <v>1858</v>
      </c>
      <c r="B548" s="1" t="s">
        <v>1874</v>
      </c>
      <c r="C548" s="1" t="s">
        <v>21</v>
      </c>
      <c r="D548" s="4" t="s">
        <v>1875</v>
      </c>
      <c r="E548" s="1" t="s">
        <v>1861</v>
      </c>
      <c r="F548" s="1" t="s">
        <v>71</v>
      </c>
      <c r="G548" s="1" t="s">
        <v>71</v>
      </c>
      <c r="H548" s="1" t="s">
        <v>1862</v>
      </c>
      <c r="I548" s="1" t="str">
        <f t="shared" si="1"/>
        <v>x</v>
      </c>
      <c r="J548" s="5"/>
      <c r="K548" s="1" t="str">
        <f t="shared" si="2"/>
        <v>x</v>
      </c>
      <c r="L548" s="5"/>
      <c r="M548" s="2" t="str">
        <f t="shared" si="3"/>
        <v>1392</v>
      </c>
      <c r="N548" s="1">
        <v>2.0</v>
      </c>
      <c r="O548" s="2">
        <v>1.0</v>
      </c>
      <c r="P548" s="5"/>
      <c r="Q548" s="5"/>
      <c r="R548" s="8" t="s">
        <v>1718</v>
      </c>
      <c r="S548" s="1" t="s">
        <v>1863</v>
      </c>
      <c r="T548" s="1" t="str">
        <f>IFERROR(__xludf.DUMMYFUNCTION("INDEX(SPLIT(A548, ""/""), 2)"),"تشکل‌های اسلامی و سیاسی")</f>
        <v>تشکل‌های اسلامی و سیاسی</v>
      </c>
      <c r="U548" s="1" t="str">
        <f>IFERROR(__xludf.DUMMYFUNCTION("INDEX(SPLIT(A548, ""/""), 3)"),"بسیج دانشجویی")</f>
        <v>بسیج دانشجویی</v>
      </c>
      <c r="V548" s="1" t="str">
        <f>IFERROR(__xludf.DUMMYFUNCTION("INDEX(SPLIT(A548, ""/""), 4)"),"شاخص")</f>
        <v>شاخص</v>
      </c>
    </row>
    <row r="549">
      <c r="A549" s="1" t="s">
        <v>1858</v>
      </c>
      <c r="B549" s="1" t="s">
        <v>1876</v>
      </c>
      <c r="C549" s="1" t="s">
        <v>21</v>
      </c>
      <c r="D549" s="4" t="s">
        <v>1877</v>
      </c>
      <c r="E549" s="1" t="s">
        <v>1861</v>
      </c>
      <c r="F549" s="1" t="s">
        <v>71</v>
      </c>
      <c r="G549" s="1" t="s">
        <v>71</v>
      </c>
      <c r="H549" s="1" t="s">
        <v>1862</v>
      </c>
      <c r="I549" s="1" t="str">
        <f t="shared" si="1"/>
        <v>x</v>
      </c>
      <c r="J549" s="5"/>
      <c r="K549" s="1" t="str">
        <f t="shared" si="2"/>
        <v>x</v>
      </c>
      <c r="L549" s="5"/>
      <c r="M549" s="2" t="str">
        <f t="shared" si="3"/>
        <v>1392</v>
      </c>
      <c r="N549" s="1">
        <v>2.0</v>
      </c>
      <c r="O549" s="2">
        <v>2.0</v>
      </c>
      <c r="P549" s="5"/>
      <c r="Q549" s="5"/>
      <c r="R549" s="8" t="s">
        <v>1718</v>
      </c>
      <c r="S549" s="1" t="s">
        <v>1863</v>
      </c>
      <c r="T549" s="1" t="str">
        <f>IFERROR(__xludf.DUMMYFUNCTION("INDEX(SPLIT(A549, ""/""), 2)"),"تشکل‌های اسلامی و سیاسی")</f>
        <v>تشکل‌های اسلامی و سیاسی</v>
      </c>
      <c r="U549" s="1" t="str">
        <f>IFERROR(__xludf.DUMMYFUNCTION("INDEX(SPLIT(A549, ""/""), 3)"),"بسیج دانشجویی")</f>
        <v>بسیج دانشجویی</v>
      </c>
      <c r="V549" s="1" t="str">
        <f>IFERROR(__xludf.DUMMYFUNCTION("INDEX(SPLIT(A549, ""/""), 4)"),"شاخص")</f>
        <v>شاخص</v>
      </c>
    </row>
    <row r="550">
      <c r="A550" s="1" t="s">
        <v>1858</v>
      </c>
      <c r="B550" s="1" t="s">
        <v>1878</v>
      </c>
      <c r="C550" s="1" t="s">
        <v>21</v>
      </c>
      <c r="D550" s="4" t="s">
        <v>1879</v>
      </c>
      <c r="E550" s="1" t="s">
        <v>1861</v>
      </c>
      <c r="F550" s="1" t="s">
        <v>71</v>
      </c>
      <c r="G550" s="1" t="s">
        <v>71</v>
      </c>
      <c r="H550" s="1" t="s">
        <v>1862</v>
      </c>
      <c r="I550" s="1" t="str">
        <f t="shared" si="1"/>
        <v>x</v>
      </c>
      <c r="J550" s="5"/>
      <c r="K550" s="1" t="str">
        <f t="shared" si="2"/>
        <v>x</v>
      </c>
      <c r="L550" s="5"/>
      <c r="M550" s="2" t="str">
        <f t="shared" si="3"/>
        <v>1392</v>
      </c>
      <c r="N550" s="1">
        <v>2.0</v>
      </c>
      <c r="O550" s="2">
        <v>3.0</v>
      </c>
      <c r="P550" s="5"/>
      <c r="Q550" s="5"/>
      <c r="R550" s="8" t="s">
        <v>1718</v>
      </c>
      <c r="S550" s="1" t="s">
        <v>1863</v>
      </c>
      <c r="T550" s="1" t="str">
        <f>IFERROR(__xludf.DUMMYFUNCTION("INDEX(SPLIT(A550, ""/""), 2)"),"تشکل‌های اسلامی و سیاسی")</f>
        <v>تشکل‌های اسلامی و سیاسی</v>
      </c>
      <c r="U550" s="1" t="str">
        <f>IFERROR(__xludf.DUMMYFUNCTION("INDEX(SPLIT(A550, ""/""), 3)"),"بسیج دانشجویی")</f>
        <v>بسیج دانشجویی</v>
      </c>
      <c r="V550" s="1" t="str">
        <f>IFERROR(__xludf.DUMMYFUNCTION("INDEX(SPLIT(A550, ""/""), 4)"),"شاخص")</f>
        <v>شاخص</v>
      </c>
    </row>
    <row r="551">
      <c r="A551" s="1" t="s">
        <v>1858</v>
      </c>
      <c r="B551" s="1" t="s">
        <v>1880</v>
      </c>
      <c r="C551" s="1" t="s">
        <v>21</v>
      </c>
      <c r="D551" s="4" t="s">
        <v>1881</v>
      </c>
      <c r="E551" s="1" t="s">
        <v>1861</v>
      </c>
      <c r="F551" s="1" t="s">
        <v>71</v>
      </c>
      <c r="G551" s="1" t="s">
        <v>71</v>
      </c>
      <c r="H551" s="1" t="s">
        <v>1862</v>
      </c>
      <c r="I551" s="1" t="str">
        <f t="shared" si="1"/>
        <v>x</v>
      </c>
      <c r="J551" s="5"/>
      <c r="K551" s="1" t="str">
        <f t="shared" si="2"/>
        <v>x</v>
      </c>
      <c r="L551" s="5"/>
      <c r="M551" s="2" t="str">
        <f t="shared" si="3"/>
        <v>1392</v>
      </c>
      <c r="N551" s="1">
        <v>2.0</v>
      </c>
      <c r="O551" s="2">
        <v>4.0</v>
      </c>
      <c r="P551" s="5"/>
      <c r="Q551" s="5"/>
      <c r="R551" s="8" t="s">
        <v>1718</v>
      </c>
      <c r="S551" s="1" t="s">
        <v>1863</v>
      </c>
      <c r="T551" s="1" t="str">
        <f>IFERROR(__xludf.DUMMYFUNCTION("INDEX(SPLIT(A551, ""/""), 2)"),"تشکل‌های اسلامی و سیاسی")</f>
        <v>تشکل‌های اسلامی و سیاسی</v>
      </c>
      <c r="U551" s="1" t="str">
        <f>IFERROR(__xludf.DUMMYFUNCTION("INDEX(SPLIT(A551, ""/""), 3)"),"بسیج دانشجویی")</f>
        <v>بسیج دانشجویی</v>
      </c>
      <c r="V551" s="1" t="str">
        <f>IFERROR(__xludf.DUMMYFUNCTION("INDEX(SPLIT(A551, ""/""), 4)"),"شاخص")</f>
        <v>شاخص</v>
      </c>
    </row>
    <row r="552">
      <c r="A552" s="1" t="s">
        <v>1858</v>
      </c>
      <c r="B552" s="1" t="s">
        <v>1882</v>
      </c>
      <c r="C552" s="1" t="s">
        <v>21</v>
      </c>
      <c r="D552" s="4" t="s">
        <v>1883</v>
      </c>
      <c r="E552" s="1" t="s">
        <v>1861</v>
      </c>
      <c r="F552" s="1" t="s">
        <v>71</v>
      </c>
      <c r="G552" s="1" t="s">
        <v>71</v>
      </c>
      <c r="H552" s="1" t="s">
        <v>1862</v>
      </c>
      <c r="I552" s="1" t="str">
        <f t="shared" si="1"/>
        <v>x</v>
      </c>
      <c r="J552" s="5"/>
      <c r="K552" s="1" t="str">
        <f t="shared" si="2"/>
        <v>x</v>
      </c>
      <c r="L552" s="5"/>
      <c r="M552" s="2" t="str">
        <f t="shared" si="3"/>
        <v>1392</v>
      </c>
      <c r="N552" s="1">
        <v>2.0</v>
      </c>
      <c r="O552" s="2">
        <v>5.0</v>
      </c>
      <c r="P552" s="5"/>
      <c r="Q552" s="5"/>
      <c r="R552" s="8" t="s">
        <v>1718</v>
      </c>
      <c r="S552" s="1" t="s">
        <v>1863</v>
      </c>
      <c r="T552" s="1" t="str">
        <f>IFERROR(__xludf.DUMMYFUNCTION("INDEX(SPLIT(A552, ""/""), 2)"),"تشکل‌های اسلامی و سیاسی")</f>
        <v>تشکل‌های اسلامی و سیاسی</v>
      </c>
      <c r="U552" s="1" t="str">
        <f>IFERROR(__xludf.DUMMYFUNCTION("INDEX(SPLIT(A552, ""/""), 3)"),"بسیج دانشجویی")</f>
        <v>بسیج دانشجویی</v>
      </c>
      <c r="V552" s="1" t="str">
        <f>IFERROR(__xludf.DUMMYFUNCTION("INDEX(SPLIT(A552, ""/""), 4)"),"شاخص")</f>
        <v>شاخص</v>
      </c>
    </row>
    <row r="553">
      <c r="A553" s="1" t="s">
        <v>1858</v>
      </c>
      <c r="B553" s="1" t="s">
        <v>1884</v>
      </c>
      <c r="C553" s="1" t="s">
        <v>21</v>
      </c>
      <c r="D553" s="4" t="s">
        <v>1885</v>
      </c>
      <c r="E553" s="1" t="s">
        <v>1861</v>
      </c>
      <c r="F553" s="1" t="s">
        <v>71</v>
      </c>
      <c r="G553" s="1" t="s">
        <v>71</v>
      </c>
      <c r="H553" s="1" t="s">
        <v>1862</v>
      </c>
      <c r="I553" s="1" t="str">
        <f t="shared" si="1"/>
        <v>x</v>
      </c>
      <c r="J553" s="5"/>
      <c r="K553" s="1" t="str">
        <f t="shared" si="2"/>
        <v>x</v>
      </c>
      <c r="L553" s="5"/>
      <c r="M553" s="2" t="str">
        <f t="shared" si="3"/>
        <v>1392</v>
      </c>
      <c r="N553" s="1">
        <v>2.0</v>
      </c>
      <c r="O553" s="2">
        <v>6.0</v>
      </c>
      <c r="P553" s="5"/>
      <c r="Q553" s="5"/>
      <c r="R553" s="8" t="s">
        <v>1718</v>
      </c>
      <c r="S553" s="1" t="s">
        <v>1863</v>
      </c>
      <c r="T553" s="1" t="str">
        <f>IFERROR(__xludf.DUMMYFUNCTION("INDEX(SPLIT(A553, ""/""), 2)"),"تشکل‌های اسلامی و سیاسی")</f>
        <v>تشکل‌های اسلامی و سیاسی</v>
      </c>
      <c r="U553" s="1" t="str">
        <f>IFERROR(__xludf.DUMMYFUNCTION("INDEX(SPLIT(A553, ""/""), 3)"),"بسیج دانشجویی")</f>
        <v>بسیج دانشجویی</v>
      </c>
      <c r="V553" s="1" t="str">
        <f>IFERROR(__xludf.DUMMYFUNCTION("INDEX(SPLIT(A553, ""/""), 4)"),"شاخص")</f>
        <v>شاخص</v>
      </c>
    </row>
    <row r="554">
      <c r="A554" s="1" t="s">
        <v>1858</v>
      </c>
      <c r="B554" s="1" t="s">
        <v>1886</v>
      </c>
      <c r="C554" s="1" t="s">
        <v>21</v>
      </c>
      <c r="D554" s="4" t="s">
        <v>1887</v>
      </c>
      <c r="E554" s="1" t="s">
        <v>1861</v>
      </c>
      <c r="F554" s="1" t="s">
        <v>71</v>
      </c>
      <c r="G554" s="1" t="s">
        <v>71</v>
      </c>
      <c r="H554" s="1" t="s">
        <v>1862</v>
      </c>
      <c r="I554" s="1" t="str">
        <f t="shared" si="1"/>
        <v>x</v>
      </c>
      <c r="J554" s="5"/>
      <c r="K554" s="1" t="str">
        <f t="shared" si="2"/>
        <v>x</v>
      </c>
      <c r="L554" s="5"/>
      <c r="M554" s="2" t="str">
        <f t="shared" si="3"/>
        <v>1392</v>
      </c>
      <c r="N554" s="1">
        <v>2.0</v>
      </c>
      <c r="O554" s="2">
        <v>7.0</v>
      </c>
      <c r="P554" s="5"/>
      <c r="Q554" s="5"/>
      <c r="R554" s="8" t="s">
        <v>1718</v>
      </c>
      <c r="S554" s="1" t="s">
        <v>1863</v>
      </c>
      <c r="T554" s="1" t="str">
        <f>IFERROR(__xludf.DUMMYFUNCTION("INDEX(SPLIT(A554, ""/""), 2)"),"تشکل‌های اسلامی و سیاسی")</f>
        <v>تشکل‌های اسلامی و سیاسی</v>
      </c>
      <c r="U554" s="1" t="str">
        <f>IFERROR(__xludf.DUMMYFUNCTION("INDEX(SPLIT(A554, ""/""), 3)"),"بسیج دانشجویی")</f>
        <v>بسیج دانشجویی</v>
      </c>
      <c r="V554" s="1" t="str">
        <f>IFERROR(__xludf.DUMMYFUNCTION("INDEX(SPLIT(A554, ""/""), 4)"),"شاخص")</f>
        <v>شاخص</v>
      </c>
    </row>
    <row r="555">
      <c r="A555" s="1" t="s">
        <v>1858</v>
      </c>
      <c r="B555" s="1" t="s">
        <v>1888</v>
      </c>
      <c r="C555" s="1" t="s">
        <v>21</v>
      </c>
      <c r="D555" s="4" t="s">
        <v>1889</v>
      </c>
      <c r="E555" s="1" t="s">
        <v>1861</v>
      </c>
      <c r="F555" s="1" t="s">
        <v>71</v>
      </c>
      <c r="G555" s="1" t="s">
        <v>71</v>
      </c>
      <c r="H555" s="1" t="s">
        <v>1862</v>
      </c>
      <c r="I555" s="1" t="str">
        <f t="shared" si="1"/>
        <v>x</v>
      </c>
      <c r="J555" s="5"/>
      <c r="K555" s="1" t="str">
        <f t="shared" si="2"/>
        <v>x</v>
      </c>
      <c r="L555" s="5"/>
      <c r="M555" s="2" t="str">
        <f t="shared" si="3"/>
        <v>1392</v>
      </c>
      <c r="N555" s="1">
        <v>2.0</v>
      </c>
      <c r="O555" s="2">
        <v>8.0</v>
      </c>
      <c r="P555" s="5"/>
      <c r="Q555" s="5"/>
      <c r="R555" s="8" t="s">
        <v>1718</v>
      </c>
      <c r="S555" s="1" t="s">
        <v>1863</v>
      </c>
      <c r="T555" s="1" t="str">
        <f>IFERROR(__xludf.DUMMYFUNCTION("INDEX(SPLIT(A555, ""/""), 2)"),"تشکل‌های اسلامی و سیاسی")</f>
        <v>تشکل‌های اسلامی و سیاسی</v>
      </c>
      <c r="U555" s="1" t="str">
        <f>IFERROR(__xludf.DUMMYFUNCTION("INDEX(SPLIT(A555, ""/""), 3)"),"بسیج دانشجویی")</f>
        <v>بسیج دانشجویی</v>
      </c>
      <c r="V555" s="1" t="str">
        <f>IFERROR(__xludf.DUMMYFUNCTION("INDEX(SPLIT(A555, ""/""), 4)"),"شاخص")</f>
        <v>شاخص</v>
      </c>
    </row>
    <row r="556">
      <c r="A556" s="1" t="s">
        <v>1858</v>
      </c>
      <c r="B556" s="1" t="s">
        <v>1890</v>
      </c>
      <c r="C556" s="1" t="s">
        <v>21</v>
      </c>
      <c r="D556" s="4" t="s">
        <v>1891</v>
      </c>
      <c r="E556" s="1" t="s">
        <v>1861</v>
      </c>
      <c r="F556" s="1" t="s">
        <v>71</v>
      </c>
      <c r="G556" s="1" t="s">
        <v>71</v>
      </c>
      <c r="H556" s="1" t="s">
        <v>1862</v>
      </c>
      <c r="I556" s="1" t="str">
        <f t="shared" si="1"/>
        <v>x</v>
      </c>
      <c r="J556" s="5"/>
      <c r="K556" s="1" t="str">
        <f t="shared" si="2"/>
        <v>x</v>
      </c>
      <c r="L556" s="5"/>
      <c r="M556" s="2" t="str">
        <f t="shared" si="3"/>
        <v>1392</v>
      </c>
      <c r="N556" s="1">
        <v>2.0</v>
      </c>
      <c r="O556" s="2">
        <v>9.0</v>
      </c>
      <c r="P556" s="5"/>
      <c r="Q556" s="5"/>
      <c r="R556" s="8" t="s">
        <v>1718</v>
      </c>
      <c r="S556" s="1" t="s">
        <v>1863</v>
      </c>
      <c r="T556" s="1" t="str">
        <f>IFERROR(__xludf.DUMMYFUNCTION("INDEX(SPLIT(A556, ""/""), 2)"),"تشکل‌های اسلامی و سیاسی")</f>
        <v>تشکل‌های اسلامی و سیاسی</v>
      </c>
      <c r="U556" s="1" t="str">
        <f>IFERROR(__xludf.DUMMYFUNCTION("INDEX(SPLIT(A556, ""/""), 3)"),"بسیج دانشجویی")</f>
        <v>بسیج دانشجویی</v>
      </c>
      <c r="V556" s="1" t="str">
        <f>IFERROR(__xludf.DUMMYFUNCTION("INDEX(SPLIT(A556, ""/""), 4)"),"شاخص")</f>
        <v>شاخص</v>
      </c>
    </row>
    <row r="557">
      <c r="A557" s="1" t="s">
        <v>1892</v>
      </c>
      <c r="B557" s="1" t="s">
        <v>1893</v>
      </c>
      <c r="C557" s="1" t="s">
        <v>21</v>
      </c>
      <c r="D557" s="4" t="s">
        <v>1894</v>
      </c>
      <c r="E557" s="1" t="s">
        <v>1634</v>
      </c>
      <c r="F557" s="1" t="s">
        <v>1724</v>
      </c>
      <c r="G557" s="1" t="s">
        <v>1895</v>
      </c>
      <c r="H557" s="1" t="s">
        <v>1896</v>
      </c>
      <c r="I557" s="1" t="str">
        <f t="shared" si="1"/>
        <v>16</v>
      </c>
      <c r="J557" s="5"/>
      <c r="K557" s="1" t="str">
        <f t="shared" si="2"/>
        <v>7</v>
      </c>
      <c r="L557" s="5"/>
      <c r="M557" s="2" t="str">
        <f t="shared" si="3"/>
        <v>1394</v>
      </c>
      <c r="N557" s="5"/>
      <c r="O557" s="2">
        <v>1.0</v>
      </c>
      <c r="P557" s="5"/>
      <c r="Q557" s="5"/>
      <c r="R557" s="6" t="s">
        <v>1896</v>
      </c>
      <c r="S557" s="5"/>
      <c r="T557" s="1" t="str">
        <f>IFERROR(__xludf.DUMMYFUNCTION("INDEX(SPLIT(A557, ""/""), 2)"),"تشکل‌های اسلامی و سیاسی")</f>
        <v>تشکل‌های اسلامی و سیاسی</v>
      </c>
      <c r="U557" s="1" t="str">
        <f>IFERROR(__xludf.DUMMYFUNCTION("INDEX(SPLIT(A557, ""/""), 3)"),"بسیج دانشجویی")</f>
        <v>بسیج دانشجویی</v>
      </c>
      <c r="V557" s="1" t="str">
        <f>IFERROR(__xludf.DUMMYFUNCTION("INDEX(SPLIT(A557, ""/""), 4)"),"میدان انقلاب")</f>
        <v>میدان انقلاب</v>
      </c>
    </row>
    <row r="558">
      <c r="A558" s="1" t="s">
        <v>1892</v>
      </c>
      <c r="B558" s="1" t="s">
        <v>1897</v>
      </c>
      <c r="C558" s="1" t="s">
        <v>21</v>
      </c>
      <c r="D558" s="4" t="s">
        <v>1898</v>
      </c>
      <c r="E558" s="1" t="s">
        <v>1634</v>
      </c>
      <c r="F558" s="1" t="s">
        <v>1724</v>
      </c>
      <c r="G558" s="1" t="s">
        <v>1895</v>
      </c>
      <c r="H558" s="1" t="s">
        <v>1899</v>
      </c>
      <c r="I558" s="1" t="str">
        <f t="shared" si="1"/>
        <v>23</v>
      </c>
      <c r="J558" s="5"/>
      <c r="K558" s="1" t="str">
        <f t="shared" si="2"/>
        <v>7</v>
      </c>
      <c r="L558" s="5"/>
      <c r="M558" s="2" t="str">
        <f t="shared" si="3"/>
        <v>1394</v>
      </c>
      <c r="N558" s="5"/>
      <c r="O558" s="2">
        <v>2.0</v>
      </c>
      <c r="P558" s="5"/>
      <c r="Q558" s="5"/>
      <c r="R558" s="6" t="s">
        <v>1899</v>
      </c>
      <c r="S558" s="5"/>
      <c r="T558" s="1" t="str">
        <f>IFERROR(__xludf.DUMMYFUNCTION("INDEX(SPLIT(A558, ""/""), 2)"),"تشکل‌های اسلامی و سیاسی")</f>
        <v>تشکل‌های اسلامی و سیاسی</v>
      </c>
      <c r="U558" s="1" t="str">
        <f>IFERROR(__xludf.DUMMYFUNCTION("INDEX(SPLIT(A558, ""/""), 3)"),"بسیج دانشجویی")</f>
        <v>بسیج دانشجویی</v>
      </c>
      <c r="V558" s="1" t="str">
        <f>IFERROR(__xludf.DUMMYFUNCTION("INDEX(SPLIT(A558, ""/""), 4)"),"میدان انقلاب")</f>
        <v>میدان انقلاب</v>
      </c>
    </row>
    <row r="559">
      <c r="A559" s="1" t="s">
        <v>1892</v>
      </c>
      <c r="B559" s="1" t="s">
        <v>1900</v>
      </c>
      <c r="C559" s="1" t="s">
        <v>21</v>
      </c>
      <c r="D559" s="4" t="s">
        <v>1901</v>
      </c>
      <c r="E559" s="1" t="s">
        <v>1634</v>
      </c>
      <c r="F559" s="1" t="s">
        <v>1724</v>
      </c>
      <c r="G559" s="1" t="s">
        <v>1895</v>
      </c>
      <c r="H559" s="7" t="s">
        <v>1902</v>
      </c>
      <c r="I559" s="1" t="str">
        <f t="shared" si="1"/>
        <v>7</v>
      </c>
      <c r="J559" s="5"/>
      <c r="K559" s="1" t="str">
        <f t="shared" si="2"/>
        <v>8</v>
      </c>
      <c r="L559" s="5"/>
      <c r="M559" s="2" t="str">
        <f t="shared" si="3"/>
        <v>1394</v>
      </c>
      <c r="N559" s="5"/>
      <c r="O559" s="2">
        <v>3.0</v>
      </c>
      <c r="P559" s="5"/>
      <c r="Q559" s="5"/>
      <c r="R559" s="8" t="s">
        <v>1902</v>
      </c>
      <c r="S559" s="5"/>
      <c r="T559" s="1" t="str">
        <f>IFERROR(__xludf.DUMMYFUNCTION("INDEX(SPLIT(A559, ""/""), 2)"),"تشکل‌های اسلامی و سیاسی")</f>
        <v>تشکل‌های اسلامی و سیاسی</v>
      </c>
      <c r="U559" s="1" t="str">
        <f>IFERROR(__xludf.DUMMYFUNCTION("INDEX(SPLIT(A559, ""/""), 3)"),"بسیج دانشجویی")</f>
        <v>بسیج دانشجویی</v>
      </c>
      <c r="V559" s="1" t="str">
        <f>IFERROR(__xludf.DUMMYFUNCTION("INDEX(SPLIT(A559, ""/""), 4)"),"میدان انقلاب")</f>
        <v>میدان انقلاب</v>
      </c>
    </row>
    <row r="560">
      <c r="A560" s="1" t="s">
        <v>1892</v>
      </c>
      <c r="B560" s="1" t="s">
        <v>1903</v>
      </c>
      <c r="C560" s="1" t="s">
        <v>21</v>
      </c>
      <c r="D560" s="4" t="s">
        <v>1904</v>
      </c>
      <c r="E560" s="1" t="s">
        <v>1634</v>
      </c>
      <c r="F560" s="1" t="s">
        <v>1724</v>
      </c>
      <c r="G560" s="1" t="s">
        <v>1895</v>
      </c>
      <c r="H560" s="1" t="s">
        <v>1905</v>
      </c>
      <c r="I560" s="1" t="str">
        <f t="shared" si="1"/>
        <v>14</v>
      </c>
      <c r="J560" s="5"/>
      <c r="K560" s="1" t="str">
        <f t="shared" si="2"/>
        <v>8</v>
      </c>
      <c r="L560" s="5"/>
      <c r="M560" s="2" t="str">
        <f t="shared" si="3"/>
        <v>1394</v>
      </c>
      <c r="N560" s="5"/>
      <c r="O560" s="2">
        <v>4.1</v>
      </c>
      <c r="P560" s="5"/>
      <c r="Q560" s="5"/>
      <c r="R560" s="6" t="s">
        <v>1905</v>
      </c>
      <c r="S560" s="5"/>
      <c r="T560" s="1" t="str">
        <f>IFERROR(__xludf.DUMMYFUNCTION("INDEX(SPLIT(A560, ""/""), 2)"),"تشکل‌های اسلامی و سیاسی")</f>
        <v>تشکل‌های اسلامی و سیاسی</v>
      </c>
      <c r="U560" s="1" t="str">
        <f>IFERROR(__xludf.DUMMYFUNCTION("INDEX(SPLIT(A560, ""/""), 3)"),"بسیج دانشجویی")</f>
        <v>بسیج دانشجویی</v>
      </c>
      <c r="V560" s="1" t="str">
        <f>IFERROR(__xludf.DUMMYFUNCTION("INDEX(SPLIT(A560, ""/""), 4)"),"میدان انقلاب")</f>
        <v>میدان انقلاب</v>
      </c>
    </row>
    <row r="561">
      <c r="A561" s="1" t="s">
        <v>1892</v>
      </c>
      <c r="B561" s="1" t="s">
        <v>1906</v>
      </c>
      <c r="C561" s="1" t="s">
        <v>21</v>
      </c>
      <c r="D561" s="4" t="s">
        <v>1907</v>
      </c>
      <c r="E561" s="1" t="s">
        <v>1634</v>
      </c>
      <c r="F561" s="1" t="s">
        <v>1908</v>
      </c>
      <c r="G561" s="1" t="s">
        <v>1909</v>
      </c>
      <c r="H561" s="7" t="s">
        <v>1910</v>
      </c>
      <c r="I561" s="1" t="str">
        <f t="shared" si="1"/>
        <v>11</v>
      </c>
      <c r="J561" s="5"/>
      <c r="K561" s="1" t="str">
        <f t="shared" si="2"/>
        <v>8</v>
      </c>
      <c r="L561" s="5"/>
      <c r="M561" s="2" t="str">
        <f t="shared" si="3"/>
        <v>1394</v>
      </c>
      <c r="N561" s="5"/>
      <c r="O561" s="2">
        <v>5.0</v>
      </c>
      <c r="P561" s="5"/>
      <c r="Q561" s="5"/>
      <c r="R561" s="8" t="s">
        <v>1910</v>
      </c>
      <c r="S561" s="5"/>
      <c r="T561" s="1" t="str">
        <f>IFERROR(__xludf.DUMMYFUNCTION("INDEX(SPLIT(A561, ""/""), 2)"),"تشکل‌های اسلامی و سیاسی")</f>
        <v>تشکل‌های اسلامی و سیاسی</v>
      </c>
      <c r="U561" s="1" t="str">
        <f>IFERROR(__xludf.DUMMYFUNCTION("INDEX(SPLIT(A561, ""/""), 3)"),"بسیج دانشجویی")</f>
        <v>بسیج دانشجویی</v>
      </c>
      <c r="V561" s="1" t="str">
        <f>IFERROR(__xludf.DUMMYFUNCTION("INDEX(SPLIT(A561, ""/""), 4)"),"میدان انقلاب")</f>
        <v>میدان انقلاب</v>
      </c>
    </row>
    <row r="562">
      <c r="A562" s="1" t="s">
        <v>1892</v>
      </c>
      <c r="B562" s="1" t="s">
        <v>1911</v>
      </c>
      <c r="C562" s="1" t="s">
        <v>21</v>
      </c>
      <c r="D562" s="4" t="s">
        <v>1912</v>
      </c>
      <c r="E562" s="1" t="s">
        <v>1634</v>
      </c>
      <c r="F562" s="1" t="s">
        <v>1908</v>
      </c>
      <c r="G562" s="1" t="s">
        <v>1909</v>
      </c>
      <c r="H562" s="1" t="s">
        <v>1913</v>
      </c>
      <c r="I562" s="1" t="str">
        <f t="shared" si="1"/>
        <v>17</v>
      </c>
      <c r="J562" s="5"/>
      <c r="K562" s="1" t="str">
        <f t="shared" si="2"/>
        <v>8</v>
      </c>
      <c r="L562" s="5"/>
      <c r="M562" s="2" t="str">
        <f t="shared" si="3"/>
        <v>1394</v>
      </c>
      <c r="N562" s="5"/>
      <c r="O562" s="2">
        <v>6.0</v>
      </c>
      <c r="P562" s="5"/>
      <c r="Q562" s="5"/>
      <c r="R562" s="6" t="s">
        <v>1913</v>
      </c>
      <c r="S562" s="5"/>
      <c r="T562" s="1" t="str">
        <f>IFERROR(__xludf.DUMMYFUNCTION("INDEX(SPLIT(A562, ""/""), 2)"),"تشکل‌های اسلامی و سیاسی")</f>
        <v>تشکل‌های اسلامی و سیاسی</v>
      </c>
      <c r="U562" s="1" t="str">
        <f>IFERROR(__xludf.DUMMYFUNCTION("INDEX(SPLIT(A562, ""/""), 3)"),"بسیج دانشجویی")</f>
        <v>بسیج دانشجویی</v>
      </c>
      <c r="V562" s="1" t="str">
        <f>IFERROR(__xludf.DUMMYFUNCTION("INDEX(SPLIT(A562, ""/""), 4)"),"میدان انقلاب")</f>
        <v>میدان انقلاب</v>
      </c>
    </row>
    <row r="563">
      <c r="A563" s="1" t="s">
        <v>1892</v>
      </c>
      <c r="B563" s="1" t="s">
        <v>1914</v>
      </c>
      <c r="C563" s="1" t="s">
        <v>21</v>
      </c>
      <c r="D563" s="4" t="s">
        <v>1915</v>
      </c>
      <c r="E563" s="1" t="s">
        <v>1634</v>
      </c>
      <c r="F563" s="1" t="s">
        <v>1908</v>
      </c>
      <c r="G563" s="1" t="s">
        <v>1909</v>
      </c>
      <c r="H563" s="1" t="s">
        <v>1916</v>
      </c>
      <c r="I563" s="1" t="str">
        <f t="shared" si="1"/>
        <v>24</v>
      </c>
      <c r="J563" s="5"/>
      <c r="K563" s="1" t="str">
        <f t="shared" si="2"/>
        <v>8</v>
      </c>
      <c r="L563" s="5"/>
      <c r="M563" s="2" t="str">
        <f t="shared" si="3"/>
        <v>1394</v>
      </c>
      <c r="N563" s="5"/>
      <c r="O563" s="2">
        <v>7.0</v>
      </c>
      <c r="P563" s="5"/>
      <c r="Q563" s="5"/>
      <c r="R563" s="6" t="s">
        <v>1916</v>
      </c>
      <c r="S563" s="5"/>
      <c r="T563" s="1" t="str">
        <f>IFERROR(__xludf.DUMMYFUNCTION("INDEX(SPLIT(A563, ""/""), 2)"),"تشکل‌های اسلامی و سیاسی")</f>
        <v>تشکل‌های اسلامی و سیاسی</v>
      </c>
      <c r="U563" s="1" t="str">
        <f>IFERROR(__xludf.DUMMYFUNCTION("INDEX(SPLIT(A563, ""/""), 3)"),"بسیج دانشجویی")</f>
        <v>بسیج دانشجویی</v>
      </c>
      <c r="V563" s="1" t="str">
        <f>IFERROR(__xludf.DUMMYFUNCTION("INDEX(SPLIT(A563, ""/""), 4)"),"میدان انقلاب")</f>
        <v>میدان انقلاب</v>
      </c>
    </row>
    <row r="564">
      <c r="A564" s="1" t="s">
        <v>1892</v>
      </c>
      <c r="B564" s="1" t="s">
        <v>1917</v>
      </c>
      <c r="C564" s="1" t="s">
        <v>21</v>
      </c>
      <c r="D564" s="4" t="s">
        <v>1918</v>
      </c>
      <c r="E564" s="1" t="s">
        <v>1634</v>
      </c>
      <c r="F564" s="1" t="s">
        <v>1908</v>
      </c>
      <c r="G564" s="1" t="s">
        <v>1909</v>
      </c>
      <c r="H564" s="7" t="s">
        <v>1919</v>
      </c>
      <c r="I564" s="1" t="str">
        <f t="shared" si="1"/>
        <v>1</v>
      </c>
      <c r="J564" s="5"/>
      <c r="K564" s="1" t="str">
        <f t="shared" si="2"/>
        <v>9</v>
      </c>
      <c r="L564" s="5"/>
      <c r="M564" s="2" t="str">
        <f t="shared" si="3"/>
        <v>1394</v>
      </c>
      <c r="N564" s="5"/>
      <c r="O564" s="2">
        <v>8.0</v>
      </c>
      <c r="P564" s="5"/>
      <c r="Q564" s="5"/>
      <c r="R564" s="8" t="s">
        <v>1919</v>
      </c>
      <c r="S564" s="5"/>
      <c r="T564" s="1" t="str">
        <f>IFERROR(__xludf.DUMMYFUNCTION("INDEX(SPLIT(A564, ""/""), 2)"),"تشکل‌های اسلامی و سیاسی")</f>
        <v>تشکل‌های اسلامی و سیاسی</v>
      </c>
      <c r="U564" s="1" t="str">
        <f>IFERROR(__xludf.DUMMYFUNCTION("INDEX(SPLIT(A564, ""/""), 3)"),"بسیج دانشجویی")</f>
        <v>بسیج دانشجویی</v>
      </c>
      <c r="V564" s="1" t="str">
        <f>IFERROR(__xludf.DUMMYFUNCTION("INDEX(SPLIT(A564, ""/""), 4)"),"میدان انقلاب")</f>
        <v>میدان انقلاب</v>
      </c>
    </row>
    <row r="565">
      <c r="A565" s="1" t="s">
        <v>1892</v>
      </c>
      <c r="B565" s="1" t="s">
        <v>1920</v>
      </c>
      <c r="C565" s="1" t="s">
        <v>21</v>
      </c>
      <c r="D565" s="4" t="s">
        <v>1921</v>
      </c>
      <c r="E565" s="1" t="s">
        <v>1634</v>
      </c>
      <c r="F565" s="1" t="s">
        <v>1908</v>
      </c>
      <c r="G565" s="1" t="s">
        <v>1909</v>
      </c>
      <c r="H565" s="1" t="s">
        <v>1922</v>
      </c>
      <c r="I565" s="1" t="str">
        <f t="shared" si="1"/>
        <v>16</v>
      </c>
      <c r="J565" s="5"/>
      <c r="K565" s="1" t="str">
        <f t="shared" si="2"/>
        <v>9</v>
      </c>
      <c r="L565" s="5"/>
      <c r="M565" s="2" t="str">
        <f t="shared" si="3"/>
        <v>1394</v>
      </c>
      <c r="N565" s="5"/>
      <c r="O565" s="2">
        <v>9.0</v>
      </c>
      <c r="P565" s="5"/>
      <c r="Q565" s="5"/>
      <c r="R565" s="6" t="s">
        <v>1922</v>
      </c>
      <c r="S565" s="5"/>
      <c r="T565" s="1" t="str">
        <f>IFERROR(__xludf.DUMMYFUNCTION("INDEX(SPLIT(A565, ""/""), 2)"),"تشکل‌های اسلامی و سیاسی")</f>
        <v>تشکل‌های اسلامی و سیاسی</v>
      </c>
      <c r="U565" s="1" t="str">
        <f>IFERROR(__xludf.DUMMYFUNCTION("INDEX(SPLIT(A565, ""/""), 3)"),"بسیج دانشجویی")</f>
        <v>بسیج دانشجویی</v>
      </c>
      <c r="V565" s="1" t="str">
        <f>IFERROR(__xludf.DUMMYFUNCTION("INDEX(SPLIT(A565, ""/""), 4)"),"میدان انقلاب")</f>
        <v>میدان انقلاب</v>
      </c>
    </row>
    <row r="566">
      <c r="A566" s="1" t="s">
        <v>1892</v>
      </c>
      <c r="B566" s="1" t="s">
        <v>1923</v>
      </c>
      <c r="C566" s="1" t="s">
        <v>21</v>
      </c>
      <c r="D566" s="4" t="s">
        <v>1924</v>
      </c>
      <c r="E566" s="1" t="s">
        <v>1634</v>
      </c>
      <c r="F566" s="1" t="s">
        <v>1908</v>
      </c>
      <c r="G566" s="1" t="s">
        <v>1909</v>
      </c>
      <c r="H566" s="1" t="s">
        <v>1560</v>
      </c>
      <c r="I566" s="1" t="str">
        <f t="shared" si="1"/>
        <v>22</v>
      </c>
      <c r="J566" s="5"/>
      <c r="K566" s="1" t="str">
        <f t="shared" si="2"/>
        <v>9</v>
      </c>
      <c r="L566" s="5"/>
      <c r="M566" s="2" t="str">
        <f t="shared" si="3"/>
        <v>1394</v>
      </c>
      <c r="N566" s="5"/>
      <c r="O566" s="2">
        <v>10.0</v>
      </c>
      <c r="P566" s="5"/>
      <c r="Q566" s="5"/>
      <c r="R566" s="6" t="s">
        <v>1560</v>
      </c>
      <c r="S566" s="5"/>
      <c r="T566" s="1" t="str">
        <f>IFERROR(__xludf.DUMMYFUNCTION("INDEX(SPLIT(A566, ""/""), 2)"),"تشکل‌های اسلامی و سیاسی")</f>
        <v>تشکل‌های اسلامی و سیاسی</v>
      </c>
      <c r="U566" s="1" t="str">
        <f>IFERROR(__xludf.DUMMYFUNCTION("INDEX(SPLIT(A566, ""/""), 3)"),"بسیج دانشجویی")</f>
        <v>بسیج دانشجویی</v>
      </c>
      <c r="V566" s="1" t="str">
        <f>IFERROR(__xludf.DUMMYFUNCTION("INDEX(SPLIT(A566, ""/""), 4)"),"میدان انقلاب")</f>
        <v>میدان انقلاب</v>
      </c>
    </row>
    <row r="567">
      <c r="A567" s="1" t="s">
        <v>1892</v>
      </c>
      <c r="B567" s="1" t="s">
        <v>1925</v>
      </c>
      <c r="C567" s="1" t="s">
        <v>21</v>
      </c>
      <c r="D567" s="4" t="s">
        <v>1926</v>
      </c>
      <c r="E567" s="1" t="s">
        <v>1634</v>
      </c>
      <c r="F567" s="1" t="s">
        <v>1908</v>
      </c>
      <c r="G567" s="1" t="s">
        <v>1909</v>
      </c>
      <c r="H567" s="1" t="s">
        <v>1927</v>
      </c>
      <c r="I567" s="1" t="str">
        <f t="shared" si="1"/>
        <v>29</v>
      </c>
      <c r="J567" s="5"/>
      <c r="K567" s="1" t="str">
        <f t="shared" si="2"/>
        <v>9</v>
      </c>
      <c r="L567" s="5"/>
      <c r="M567" s="2" t="str">
        <f t="shared" si="3"/>
        <v>1394</v>
      </c>
      <c r="N567" s="5"/>
      <c r="O567" s="2">
        <v>11.0</v>
      </c>
      <c r="P567" s="5"/>
      <c r="Q567" s="5"/>
      <c r="R567" s="6" t="s">
        <v>1927</v>
      </c>
      <c r="S567" s="5"/>
      <c r="T567" s="1" t="str">
        <f>IFERROR(__xludf.DUMMYFUNCTION("INDEX(SPLIT(A567, ""/""), 2)"),"تشکل‌های اسلامی و سیاسی")</f>
        <v>تشکل‌های اسلامی و سیاسی</v>
      </c>
      <c r="U567" s="1" t="str">
        <f>IFERROR(__xludf.DUMMYFUNCTION("INDEX(SPLIT(A567, ""/""), 3)"),"بسیج دانشجویی")</f>
        <v>بسیج دانشجویی</v>
      </c>
      <c r="V567" s="1" t="str">
        <f>IFERROR(__xludf.DUMMYFUNCTION("INDEX(SPLIT(A567, ""/""), 4)"),"میدان انقلاب")</f>
        <v>میدان انقلاب</v>
      </c>
    </row>
    <row r="568">
      <c r="A568" s="1" t="s">
        <v>1892</v>
      </c>
      <c r="B568" s="1" t="s">
        <v>1928</v>
      </c>
      <c r="C568" s="1" t="s">
        <v>21</v>
      </c>
      <c r="D568" s="4" t="s">
        <v>1929</v>
      </c>
      <c r="E568" s="1" t="s">
        <v>1634</v>
      </c>
      <c r="F568" s="1" t="s">
        <v>1908</v>
      </c>
      <c r="G568" s="1" t="s">
        <v>1909</v>
      </c>
      <c r="H568" s="7" t="s">
        <v>1930</v>
      </c>
      <c r="I568" s="1" t="str">
        <f t="shared" si="1"/>
        <v>7</v>
      </c>
      <c r="J568" s="5"/>
      <c r="K568" s="1" t="str">
        <f t="shared" si="2"/>
        <v>10</v>
      </c>
      <c r="L568" s="5"/>
      <c r="M568" s="2" t="str">
        <f t="shared" si="3"/>
        <v>1394</v>
      </c>
      <c r="N568" s="5"/>
      <c r="O568" s="2">
        <v>12.0</v>
      </c>
      <c r="P568" s="5"/>
      <c r="Q568" s="5"/>
      <c r="R568" s="8" t="s">
        <v>1930</v>
      </c>
      <c r="S568" s="5"/>
      <c r="T568" s="1" t="str">
        <f>IFERROR(__xludf.DUMMYFUNCTION("INDEX(SPLIT(A568, ""/""), 2)"),"تشکل‌های اسلامی و سیاسی")</f>
        <v>تشکل‌های اسلامی و سیاسی</v>
      </c>
      <c r="U568" s="1" t="str">
        <f>IFERROR(__xludf.DUMMYFUNCTION("INDEX(SPLIT(A568, ""/""), 3)"),"بسیج دانشجویی")</f>
        <v>بسیج دانشجویی</v>
      </c>
      <c r="V568" s="1" t="str">
        <f>IFERROR(__xludf.DUMMYFUNCTION("INDEX(SPLIT(A568, ""/""), 4)"),"میدان انقلاب")</f>
        <v>میدان انقلاب</v>
      </c>
    </row>
    <row r="569">
      <c r="A569" s="1" t="s">
        <v>1892</v>
      </c>
      <c r="B569" s="1" t="s">
        <v>1931</v>
      </c>
      <c r="C569" s="1" t="s">
        <v>21</v>
      </c>
      <c r="D569" s="4" t="s">
        <v>1932</v>
      </c>
      <c r="E569" s="1" t="s">
        <v>1634</v>
      </c>
      <c r="F569" s="1" t="s">
        <v>1908</v>
      </c>
      <c r="G569" s="1" t="s">
        <v>1909</v>
      </c>
      <c r="H569" s="1" t="s">
        <v>1933</v>
      </c>
      <c r="I569" s="1" t="str">
        <f t="shared" si="1"/>
        <v>19</v>
      </c>
      <c r="J569" s="5"/>
      <c r="K569" s="1" t="str">
        <f t="shared" si="2"/>
        <v>11</v>
      </c>
      <c r="L569" s="5"/>
      <c r="M569" s="2" t="str">
        <f t="shared" si="3"/>
        <v>1394</v>
      </c>
      <c r="N569" s="5"/>
      <c r="O569" s="2">
        <v>13.0</v>
      </c>
      <c r="P569" s="5"/>
      <c r="Q569" s="5"/>
      <c r="R569" s="6" t="s">
        <v>1933</v>
      </c>
      <c r="S569" s="5"/>
      <c r="T569" s="1" t="str">
        <f>IFERROR(__xludf.DUMMYFUNCTION("INDEX(SPLIT(A569, ""/""), 2)"),"تشکل‌های اسلامی و سیاسی")</f>
        <v>تشکل‌های اسلامی و سیاسی</v>
      </c>
      <c r="U569" s="1" t="str">
        <f>IFERROR(__xludf.DUMMYFUNCTION("INDEX(SPLIT(A569, ""/""), 3)"),"بسیج دانشجویی")</f>
        <v>بسیج دانشجویی</v>
      </c>
      <c r="V569" s="1" t="str">
        <f>IFERROR(__xludf.DUMMYFUNCTION("INDEX(SPLIT(A569, ""/""), 4)"),"میدان انقلاب")</f>
        <v>میدان انقلاب</v>
      </c>
    </row>
    <row r="570">
      <c r="A570" s="1" t="s">
        <v>1892</v>
      </c>
      <c r="B570" s="1" t="s">
        <v>1934</v>
      </c>
      <c r="C570" s="1" t="s">
        <v>21</v>
      </c>
      <c r="D570" s="4" t="s">
        <v>1935</v>
      </c>
      <c r="E570" s="1" t="s">
        <v>1634</v>
      </c>
      <c r="F570" s="1" t="s">
        <v>1908</v>
      </c>
      <c r="G570" s="1" t="s">
        <v>1909</v>
      </c>
      <c r="H570" s="7" t="s">
        <v>1173</v>
      </c>
      <c r="I570" s="1" t="str">
        <f t="shared" si="1"/>
        <v>3</v>
      </c>
      <c r="J570" s="5"/>
      <c r="K570" s="1" t="str">
        <f t="shared" si="2"/>
        <v>12</v>
      </c>
      <c r="L570" s="5"/>
      <c r="M570" s="2" t="str">
        <f t="shared" si="3"/>
        <v>1394</v>
      </c>
      <c r="N570" s="5"/>
      <c r="O570" s="2">
        <v>15.0</v>
      </c>
      <c r="P570" s="5"/>
      <c r="Q570" s="5"/>
      <c r="R570" s="8" t="s">
        <v>1173</v>
      </c>
      <c r="S570" s="5"/>
      <c r="T570" s="1" t="str">
        <f>IFERROR(__xludf.DUMMYFUNCTION("INDEX(SPLIT(A570, ""/""), 2)"),"تشکل‌های اسلامی و سیاسی")</f>
        <v>تشکل‌های اسلامی و سیاسی</v>
      </c>
      <c r="U570" s="1" t="str">
        <f>IFERROR(__xludf.DUMMYFUNCTION("INDEX(SPLIT(A570, ""/""), 3)"),"بسیج دانشجویی")</f>
        <v>بسیج دانشجویی</v>
      </c>
      <c r="V570" s="1" t="str">
        <f>IFERROR(__xludf.DUMMYFUNCTION("INDEX(SPLIT(A570, ""/""), 4)"),"میدان انقلاب")</f>
        <v>میدان انقلاب</v>
      </c>
    </row>
    <row r="571">
      <c r="A571" s="1" t="s">
        <v>1892</v>
      </c>
      <c r="B571" s="1" t="s">
        <v>1936</v>
      </c>
      <c r="C571" s="1" t="s">
        <v>21</v>
      </c>
      <c r="D571" s="4" t="s">
        <v>1937</v>
      </c>
      <c r="E571" s="1" t="s">
        <v>1634</v>
      </c>
      <c r="F571" s="1" t="s">
        <v>1908</v>
      </c>
      <c r="G571" s="1" t="s">
        <v>1909</v>
      </c>
      <c r="H571" s="7" t="s">
        <v>1938</v>
      </c>
      <c r="I571" s="1" t="str">
        <f t="shared" si="1"/>
        <v>10</v>
      </c>
      <c r="J571" s="5"/>
      <c r="K571" s="1" t="str">
        <f t="shared" si="2"/>
        <v>12</v>
      </c>
      <c r="L571" s="5"/>
      <c r="M571" s="2" t="str">
        <f t="shared" si="3"/>
        <v>1394</v>
      </c>
      <c r="N571" s="5"/>
      <c r="O571" s="2">
        <v>16.0</v>
      </c>
      <c r="P571" s="5"/>
      <c r="Q571" s="5"/>
      <c r="R571" s="8" t="s">
        <v>1938</v>
      </c>
      <c r="S571" s="5"/>
      <c r="T571" s="1" t="str">
        <f>IFERROR(__xludf.DUMMYFUNCTION("INDEX(SPLIT(A571, ""/""), 2)"),"تشکل‌های اسلامی و سیاسی")</f>
        <v>تشکل‌های اسلامی و سیاسی</v>
      </c>
      <c r="U571" s="1" t="str">
        <f>IFERROR(__xludf.DUMMYFUNCTION("INDEX(SPLIT(A571, ""/""), 3)"),"بسیج دانشجویی")</f>
        <v>بسیج دانشجویی</v>
      </c>
      <c r="V571" s="1" t="str">
        <f>IFERROR(__xludf.DUMMYFUNCTION("INDEX(SPLIT(A571, ""/""), 4)"),"میدان انقلاب")</f>
        <v>میدان انقلاب</v>
      </c>
    </row>
    <row r="572">
      <c r="A572" s="1" t="s">
        <v>1892</v>
      </c>
      <c r="B572" s="1" t="s">
        <v>1939</v>
      </c>
      <c r="C572" s="1" t="s">
        <v>21</v>
      </c>
      <c r="D572" s="4" t="s">
        <v>1940</v>
      </c>
      <c r="E572" s="1" t="s">
        <v>1634</v>
      </c>
      <c r="F572" s="1" t="s">
        <v>1908</v>
      </c>
      <c r="G572" s="1" t="s">
        <v>1909</v>
      </c>
      <c r="H572" s="1" t="s">
        <v>1941</v>
      </c>
      <c r="I572" s="1" t="str">
        <f t="shared" si="1"/>
        <v>18</v>
      </c>
      <c r="J572" s="5"/>
      <c r="K572" s="1" t="str">
        <f t="shared" si="2"/>
        <v>12</v>
      </c>
      <c r="L572" s="5"/>
      <c r="M572" s="2" t="str">
        <f t="shared" si="3"/>
        <v>1394</v>
      </c>
      <c r="N572" s="5"/>
      <c r="O572" s="2">
        <v>17.0</v>
      </c>
      <c r="P572" s="5"/>
      <c r="Q572" s="5"/>
      <c r="R572" s="6" t="s">
        <v>1941</v>
      </c>
      <c r="S572" s="5"/>
      <c r="T572" s="1" t="str">
        <f>IFERROR(__xludf.DUMMYFUNCTION("INDEX(SPLIT(A572, ""/""), 2)"),"تشکل‌های اسلامی و سیاسی")</f>
        <v>تشکل‌های اسلامی و سیاسی</v>
      </c>
      <c r="U572" s="1" t="str">
        <f>IFERROR(__xludf.DUMMYFUNCTION("INDEX(SPLIT(A572, ""/""), 3)"),"بسیج دانشجویی")</f>
        <v>بسیج دانشجویی</v>
      </c>
      <c r="V572" s="1" t="str">
        <f>IFERROR(__xludf.DUMMYFUNCTION("INDEX(SPLIT(A572, ""/""), 4)"),"میدان انقلاب")</f>
        <v>میدان انقلاب</v>
      </c>
    </row>
    <row r="573">
      <c r="A573" s="1" t="s">
        <v>1892</v>
      </c>
      <c r="B573" s="1" t="s">
        <v>1942</v>
      </c>
      <c r="C573" s="1" t="s">
        <v>21</v>
      </c>
      <c r="D573" s="4" t="s">
        <v>1943</v>
      </c>
      <c r="E573" s="1" t="s">
        <v>1634</v>
      </c>
      <c r="F573" s="1" t="s">
        <v>1908</v>
      </c>
      <c r="G573" s="1" t="s">
        <v>1909</v>
      </c>
      <c r="H573" s="1" t="s">
        <v>1944</v>
      </c>
      <c r="I573" s="1" t="str">
        <f t="shared" si="1"/>
        <v>23</v>
      </c>
      <c r="J573" s="5"/>
      <c r="K573" s="1" t="str">
        <f t="shared" si="2"/>
        <v>1</v>
      </c>
      <c r="L573" s="5"/>
      <c r="M573" s="2" t="str">
        <f t="shared" si="3"/>
        <v>1395</v>
      </c>
      <c r="N573" s="5"/>
      <c r="O573" s="2">
        <v>18.0</v>
      </c>
      <c r="P573" s="5"/>
      <c r="Q573" s="5"/>
      <c r="R573" s="6" t="s">
        <v>1944</v>
      </c>
      <c r="S573" s="5"/>
      <c r="T573" s="1" t="str">
        <f>IFERROR(__xludf.DUMMYFUNCTION("INDEX(SPLIT(A573, ""/""), 2)"),"تشکل‌های اسلامی و سیاسی")</f>
        <v>تشکل‌های اسلامی و سیاسی</v>
      </c>
      <c r="U573" s="1" t="str">
        <f>IFERROR(__xludf.DUMMYFUNCTION("INDEX(SPLIT(A573, ""/""), 3)"),"بسیج دانشجویی")</f>
        <v>بسیج دانشجویی</v>
      </c>
      <c r="V573" s="1" t="str">
        <f>IFERROR(__xludf.DUMMYFUNCTION("INDEX(SPLIT(A573, ""/""), 4)"),"میدان انقلاب")</f>
        <v>میدان انقلاب</v>
      </c>
    </row>
    <row r="574">
      <c r="A574" s="1" t="s">
        <v>1892</v>
      </c>
      <c r="B574" s="1" t="s">
        <v>1945</v>
      </c>
      <c r="C574" s="1" t="s">
        <v>21</v>
      </c>
      <c r="D574" s="4" t="s">
        <v>1946</v>
      </c>
      <c r="E574" s="1" t="s">
        <v>1634</v>
      </c>
      <c r="F574" s="1" t="s">
        <v>1908</v>
      </c>
      <c r="G574" s="1" t="s">
        <v>1909</v>
      </c>
      <c r="H574" s="7" t="s">
        <v>1176</v>
      </c>
      <c r="I574" s="1" t="str">
        <f t="shared" si="1"/>
        <v>5</v>
      </c>
      <c r="J574" s="5"/>
      <c r="K574" s="1" t="str">
        <f t="shared" si="2"/>
        <v>2</v>
      </c>
      <c r="L574" s="5"/>
      <c r="M574" s="2" t="str">
        <f t="shared" si="3"/>
        <v>1395</v>
      </c>
      <c r="N574" s="5"/>
      <c r="O574" s="2">
        <v>19.0</v>
      </c>
      <c r="P574" s="5"/>
      <c r="Q574" s="5"/>
      <c r="R574" s="8" t="s">
        <v>1176</v>
      </c>
      <c r="S574" s="5"/>
      <c r="T574" s="1" t="str">
        <f>IFERROR(__xludf.DUMMYFUNCTION("INDEX(SPLIT(A574, ""/""), 2)"),"تشکل‌های اسلامی و سیاسی")</f>
        <v>تشکل‌های اسلامی و سیاسی</v>
      </c>
      <c r="U574" s="1" t="str">
        <f>IFERROR(__xludf.DUMMYFUNCTION("INDEX(SPLIT(A574, ""/""), 3)"),"بسیج دانشجویی")</f>
        <v>بسیج دانشجویی</v>
      </c>
      <c r="V574" s="1" t="str">
        <f>IFERROR(__xludf.DUMMYFUNCTION("INDEX(SPLIT(A574, ""/""), 4)"),"میدان انقلاب")</f>
        <v>میدان انقلاب</v>
      </c>
    </row>
    <row r="575">
      <c r="A575" s="1" t="s">
        <v>1892</v>
      </c>
      <c r="B575" s="1" t="s">
        <v>1947</v>
      </c>
      <c r="C575" s="1" t="s">
        <v>21</v>
      </c>
      <c r="D575" s="4" t="s">
        <v>1948</v>
      </c>
      <c r="E575" s="1" t="s">
        <v>1634</v>
      </c>
      <c r="F575" s="1" t="s">
        <v>1908</v>
      </c>
      <c r="G575" s="1" t="s">
        <v>1909</v>
      </c>
      <c r="H575" s="1" t="s">
        <v>1949</v>
      </c>
      <c r="I575" s="1" t="str">
        <f t="shared" si="1"/>
        <v>21</v>
      </c>
      <c r="J575" s="5"/>
      <c r="K575" s="1" t="str">
        <f t="shared" si="2"/>
        <v>2</v>
      </c>
      <c r="L575" s="5"/>
      <c r="M575" s="2" t="str">
        <f t="shared" si="3"/>
        <v>1395</v>
      </c>
      <c r="N575" s="5"/>
      <c r="O575" s="2">
        <v>20.0</v>
      </c>
      <c r="P575" s="5"/>
      <c r="Q575" s="5"/>
      <c r="R575" s="6" t="s">
        <v>1949</v>
      </c>
      <c r="S575" s="5"/>
      <c r="T575" s="1" t="str">
        <f>IFERROR(__xludf.DUMMYFUNCTION("INDEX(SPLIT(A575, ""/""), 2)"),"تشکل‌های اسلامی و سیاسی")</f>
        <v>تشکل‌های اسلامی و سیاسی</v>
      </c>
      <c r="U575" s="1" t="str">
        <f>IFERROR(__xludf.DUMMYFUNCTION("INDEX(SPLIT(A575, ""/""), 3)"),"بسیج دانشجویی")</f>
        <v>بسیج دانشجویی</v>
      </c>
      <c r="V575" s="1" t="str">
        <f>IFERROR(__xludf.DUMMYFUNCTION("INDEX(SPLIT(A575, ""/""), 4)"),"میدان انقلاب")</f>
        <v>میدان انقلاب</v>
      </c>
    </row>
    <row r="576">
      <c r="A576" s="1" t="s">
        <v>1892</v>
      </c>
      <c r="B576" s="1" t="s">
        <v>1950</v>
      </c>
      <c r="C576" s="1" t="s">
        <v>21</v>
      </c>
      <c r="D576" s="4" t="s">
        <v>1951</v>
      </c>
      <c r="E576" s="1" t="s">
        <v>1634</v>
      </c>
      <c r="F576" s="1" t="s">
        <v>1908</v>
      </c>
      <c r="G576" s="1" t="s">
        <v>1909</v>
      </c>
      <c r="H576" s="7" t="s">
        <v>1952</v>
      </c>
      <c r="I576" s="1" t="str">
        <f t="shared" si="1"/>
        <v>3</v>
      </c>
      <c r="J576" s="5"/>
      <c r="K576" s="1" t="str">
        <f t="shared" si="2"/>
        <v>7</v>
      </c>
      <c r="L576" s="5"/>
      <c r="M576" s="2" t="str">
        <f t="shared" si="3"/>
        <v>1395</v>
      </c>
      <c r="N576" s="5"/>
      <c r="O576" s="2">
        <v>22.0</v>
      </c>
      <c r="P576" s="5"/>
      <c r="Q576" s="5"/>
      <c r="R576" s="8" t="s">
        <v>1952</v>
      </c>
      <c r="S576" s="5"/>
      <c r="T576" s="1" t="str">
        <f>IFERROR(__xludf.DUMMYFUNCTION("INDEX(SPLIT(A576, ""/""), 2)"),"تشکل‌های اسلامی و سیاسی")</f>
        <v>تشکل‌های اسلامی و سیاسی</v>
      </c>
      <c r="U576" s="1" t="str">
        <f>IFERROR(__xludf.DUMMYFUNCTION("INDEX(SPLIT(A576, ""/""), 3)"),"بسیج دانشجویی")</f>
        <v>بسیج دانشجویی</v>
      </c>
      <c r="V576" s="1" t="str">
        <f>IFERROR(__xludf.DUMMYFUNCTION("INDEX(SPLIT(A576, ""/""), 4)"),"میدان انقلاب")</f>
        <v>میدان انقلاب</v>
      </c>
    </row>
    <row r="577">
      <c r="A577" s="1" t="s">
        <v>1892</v>
      </c>
      <c r="B577" s="1" t="s">
        <v>1953</v>
      </c>
      <c r="C577" s="1" t="s">
        <v>21</v>
      </c>
      <c r="D577" s="4" t="s">
        <v>1954</v>
      </c>
      <c r="E577" s="1" t="s">
        <v>1634</v>
      </c>
      <c r="F577" s="1" t="s">
        <v>1908</v>
      </c>
      <c r="G577" s="1" t="s">
        <v>1909</v>
      </c>
      <c r="H577" s="7" t="s">
        <v>1955</v>
      </c>
      <c r="I577" s="1" t="str">
        <f t="shared" si="1"/>
        <v>12</v>
      </c>
      <c r="J577" s="5"/>
      <c r="K577" s="1" t="str">
        <f t="shared" si="2"/>
        <v>7</v>
      </c>
      <c r="L577" s="5"/>
      <c r="M577" s="2" t="str">
        <f t="shared" si="3"/>
        <v>1395</v>
      </c>
      <c r="N577" s="5"/>
      <c r="O577" s="2">
        <v>23.0</v>
      </c>
      <c r="P577" s="5"/>
      <c r="Q577" s="5"/>
      <c r="R577" s="8" t="s">
        <v>1955</v>
      </c>
      <c r="S577" s="5"/>
      <c r="T577" s="1" t="str">
        <f>IFERROR(__xludf.DUMMYFUNCTION("INDEX(SPLIT(A577, ""/""), 2)"),"تشکل‌های اسلامی و سیاسی")</f>
        <v>تشکل‌های اسلامی و سیاسی</v>
      </c>
      <c r="U577" s="1" t="str">
        <f>IFERROR(__xludf.DUMMYFUNCTION("INDEX(SPLIT(A577, ""/""), 3)"),"بسیج دانشجویی")</f>
        <v>بسیج دانشجویی</v>
      </c>
      <c r="V577" s="1" t="str">
        <f>IFERROR(__xludf.DUMMYFUNCTION("INDEX(SPLIT(A577, ""/""), 4)"),"میدان انقلاب")</f>
        <v>میدان انقلاب</v>
      </c>
    </row>
    <row r="578">
      <c r="A578" s="1" t="s">
        <v>1892</v>
      </c>
      <c r="B578" s="1" t="s">
        <v>1956</v>
      </c>
      <c r="C578" s="1" t="s">
        <v>21</v>
      </c>
      <c r="D578" s="4" t="s">
        <v>1957</v>
      </c>
      <c r="E578" s="1" t="s">
        <v>1634</v>
      </c>
      <c r="F578" s="1" t="s">
        <v>1908</v>
      </c>
      <c r="G578" s="1" t="s">
        <v>1909</v>
      </c>
      <c r="H578" s="1" t="s">
        <v>1958</v>
      </c>
      <c r="I578" s="1" t="str">
        <f t="shared" si="1"/>
        <v>18</v>
      </c>
      <c r="J578" s="5"/>
      <c r="K578" s="1" t="str">
        <f t="shared" si="2"/>
        <v>7</v>
      </c>
      <c r="L578" s="5"/>
      <c r="M578" s="2" t="str">
        <f t="shared" si="3"/>
        <v>1395</v>
      </c>
      <c r="N578" s="5"/>
      <c r="O578" s="2">
        <v>24.0</v>
      </c>
      <c r="P578" s="5"/>
      <c r="Q578" s="5"/>
      <c r="R578" s="6" t="s">
        <v>1958</v>
      </c>
      <c r="S578" s="5"/>
      <c r="T578" s="1" t="str">
        <f>IFERROR(__xludf.DUMMYFUNCTION("INDEX(SPLIT(A578, ""/""), 2)"),"تشکل‌های اسلامی و سیاسی")</f>
        <v>تشکل‌های اسلامی و سیاسی</v>
      </c>
      <c r="U578" s="1" t="str">
        <f>IFERROR(__xludf.DUMMYFUNCTION("INDEX(SPLIT(A578, ""/""), 3)"),"بسیج دانشجویی")</f>
        <v>بسیج دانشجویی</v>
      </c>
      <c r="V578" s="1" t="str">
        <f>IFERROR(__xludf.DUMMYFUNCTION("INDEX(SPLIT(A578, ""/""), 4)"),"میدان انقلاب")</f>
        <v>میدان انقلاب</v>
      </c>
    </row>
    <row r="579">
      <c r="A579" s="1" t="s">
        <v>1892</v>
      </c>
      <c r="B579" s="1" t="s">
        <v>1959</v>
      </c>
      <c r="C579" s="1" t="s">
        <v>21</v>
      </c>
      <c r="D579" s="4" t="s">
        <v>1960</v>
      </c>
      <c r="E579" s="1" t="s">
        <v>1634</v>
      </c>
      <c r="F579" s="1" t="s">
        <v>1908</v>
      </c>
      <c r="G579" s="1" t="s">
        <v>1909</v>
      </c>
      <c r="H579" s="7" t="s">
        <v>1961</v>
      </c>
      <c r="I579" s="1" t="str">
        <f t="shared" si="1"/>
        <v>2</v>
      </c>
      <c r="J579" s="5"/>
      <c r="K579" s="1" t="str">
        <f t="shared" si="2"/>
        <v>8</v>
      </c>
      <c r="L579" s="5"/>
      <c r="M579" s="2" t="str">
        <f t="shared" si="3"/>
        <v>1395</v>
      </c>
      <c r="N579" s="5"/>
      <c r="O579" s="2">
        <v>25.0</v>
      </c>
      <c r="P579" s="5"/>
      <c r="Q579" s="5"/>
      <c r="R579" s="8" t="s">
        <v>1961</v>
      </c>
      <c r="S579" s="5"/>
      <c r="T579" s="1" t="str">
        <f>IFERROR(__xludf.DUMMYFUNCTION("INDEX(SPLIT(A579, ""/""), 2)"),"تشکل‌های اسلامی و سیاسی")</f>
        <v>تشکل‌های اسلامی و سیاسی</v>
      </c>
      <c r="U579" s="1" t="str">
        <f>IFERROR(__xludf.DUMMYFUNCTION("INDEX(SPLIT(A579, ""/""), 3)"),"بسیج دانشجویی")</f>
        <v>بسیج دانشجویی</v>
      </c>
      <c r="V579" s="1" t="str">
        <f>IFERROR(__xludf.DUMMYFUNCTION("INDEX(SPLIT(A579, ""/""), 4)"),"میدان انقلاب")</f>
        <v>میدان انقلاب</v>
      </c>
    </row>
    <row r="580">
      <c r="A580" s="1" t="s">
        <v>1892</v>
      </c>
      <c r="B580" s="1" t="s">
        <v>1962</v>
      </c>
      <c r="C580" s="1" t="s">
        <v>21</v>
      </c>
      <c r="D580" s="4" t="s">
        <v>1963</v>
      </c>
      <c r="E580" s="1" t="s">
        <v>1634</v>
      </c>
      <c r="F580" s="1" t="s">
        <v>1908</v>
      </c>
      <c r="G580" s="1" t="s">
        <v>1909</v>
      </c>
      <c r="H580" s="7" t="s">
        <v>1190</v>
      </c>
      <c r="I580" s="1" t="str">
        <f t="shared" si="1"/>
        <v>10</v>
      </c>
      <c r="J580" s="5"/>
      <c r="K580" s="1" t="str">
        <f t="shared" si="2"/>
        <v>8</v>
      </c>
      <c r="L580" s="5"/>
      <c r="M580" s="2" t="str">
        <f t="shared" si="3"/>
        <v>1395</v>
      </c>
      <c r="N580" s="5"/>
      <c r="O580" s="2">
        <v>26.0</v>
      </c>
      <c r="P580" s="5"/>
      <c r="Q580" s="5"/>
      <c r="R580" s="8" t="s">
        <v>1190</v>
      </c>
      <c r="S580" s="5"/>
      <c r="T580" s="1" t="str">
        <f>IFERROR(__xludf.DUMMYFUNCTION("INDEX(SPLIT(A580, ""/""), 2)"),"تشکل‌های اسلامی و سیاسی")</f>
        <v>تشکل‌های اسلامی و سیاسی</v>
      </c>
      <c r="U580" s="1" t="str">
        <f>IFERROR(__xludf.DUMMYFUNCTION("INDEX(SPLIT(A580, ""/""), 3)"),"بسیج دانشجویی")</f>
        <v>بسیج دانشجویی</v>
      </c>
      <c r="V580" s="1" t="str">
        <f>IFERROR(__xludf.DUMMYFUNCTION("INDEX(SPLIT(A580, ""/""), 4)"),"میدان انقلاب")</f>
        <v>میدان انقلاب</v>
      </c>
    </row>
    <row r="581">
      <c r="A581" s="1" t="s">
        <v>1892</v>
      </c>
      <c r="B581" s="1" t="s">
        <v>1964</v>
      </c>
      <c r="C581" s="1" t="s">
        <v>21</v>
      </c>
      <c r="D581" s="4" t="s">
        <v>1965</v>
      </c>
      <c r="E581" s="1" t="s">
        <v>1634</v>
      </c>
      <c r="F581" s="1" t="s">
        <v>1908</v>
      </c>
      <c r="G581" s="1" t="s">
        <v>1909</v>
      </c>
      <c r="H581" s="1" t="s">
        <v>1966</v>
      </c>
      <c r="I581" s="1" t="str">
        <f t="shared" si="1"/>
        <v>23</v>
      </c>
      <c r="J581" s="5"/>
      <c r="K581" s="1" t="str">
        <f t="shared" si="2"/>
        <v>8</v>
      </c>
      <c r="L581" s="5"/>
      <c r="M581" s="2" t="str">
        <f t="shared" si="3"/>
        <v>1395</v>
      </c>
      <c r="N581" s="5"/>
      <c r="O581" s="2">
        <v>27.0</v>
      </c>
      <c r="P581" s="5"/>
      <c r="Q581" s="5"/>
      <c r="R581" s="6" t="s">
        <v>1966</v>
      </c>
      <c r="S581" s="5"/>
      <c r="T581" s="1" t="str">
        <f>IFERROR(__xludf.DUMMYFUNCTION("INDEX(SPLIT(A581, ""/""), 2)"),"تشکل‌های اسلامی و سیاسی")</f>
        <v>تشکل‌های اسلامی و سیاسی</v>
      </c>
      <c r="U581" s="1" t="str">
        <f>IFERROR(__xludf.DUMMYFUNCTION("INDEX(SPLIT(A581, ""/""), 3)"),"بسیج دانشجویی")</f>
        <v>بسیج دانشجویی</v>
      </c>
      <c r="V581" s="1" t="str">
        <f>IFERROR(__xludf.DUMMYFUNCTION("INDEX(SPLIT(A581, ""/""), 4)"),"میدان انقلاب")</f>
        <v>میدان انقلاب</v>
      </c>
    </row>
    <row r="582">
      <c r="A582" s="1" t="s">
        <v>1892</v>
      </c>
      <c r="B582" s="1" t="s">
        <v>1967</v>
      </c>
      <c r="C582" s="1" t="s">
        <v>21</v>
      </c>
      <c r="D582" s="4" t="s">
        <v>1968</v>
      </c>
      <c r="E582" s="1" t="s">
        <v>1634</v>
      </c>
      <c r="F582" s="1" t="s">
        <v>1908</v>
      </c>
      <c r="G582" s="1" t="s">
        <v>1909</v>
      </c>
      <c r="H582" s="1" t="s">
        <v>1969</v>
      </c>
      <c r="I582" s="1" t="str">
        <f t="shared" si="1"/>
        <v>15</v>
      </c>
      <c r="J582" s="5"/>
      <c r="K582" s="1" t="str">
        <f t="shared" si="2"/>
        <v>9</v>
      </c>
      <c r="L582" s="5"/>
      <c r="M582" s="2" t="str">
        <f t="shared" si="3"/>
        <v>1395</v>
      </c>
      <c r="N582" s="5"/>
      <c r="O582" s="2">
        <v>28.0</v>
      </c>
      <c r="P582" s="5"/>
      <c r="Q582" s="5"/>
      <c r="R582" s="6" t="s">
        <v>1969</v>
      </c>
      <c r="S582" s="5"/>
      <c r="T582" s="1" t="str">
        <f>IFERROR(__xludf.DUMMYFUNCTION("INDEX(SPLIT(A582, ""/""), 2)"),"تشکل‌های اسلامی و سیاسی")</f>
        <v>تشکل‌های اسلامی و سیاسی</v>
      </c>
      <c r="U582" s="1" t="str">
        <f>IFERROR(__xludf.DUMMYFUNCTION("INDEX(SPLIT(A582, ""/""), 3)"),"بسیج دانشجویی")</f>
        <v>بسیج دانشجویی</v>
      </c>
      <c r="V582" s="1" t="str">
        <f>IFERROR(__xludf.DUMMYFUNCTION("INDEX(SPLIT(A582, ""/""), 4)"),"میدان انقلاب")</f>
        <v>میدان انقلاب</v>
      </c>
    </row>
    <row r="583">
      <c r="A583" s="1" t="s">
        <v>1892</v>
      </c>
      <c r="B583" s="1" t="s">
        <v>1970</v>
      </c>
      <c r="C583" s="1" t="s">
        <v>21</v>
      </c>
      <c r="D583" s="4" t="s">
        <v>1971</v>
      </c>
      <c r="E583" s="1" t="s">
        <v>1634</v>
      </c>
      <c r="F583" s="1" t="s">
        <v>1908</v>
      </c>
      <c r="G583" s="1" t="s">
        <v>1909</v>
      </c>
      <c r="H583" s="1" t="s">
        <v>1972</v>
      </c>
      <c r="I583" s="1" t="str">
        <f t="shared" si="1"/>
        <v>21</v>
      </c>
      <c r="J583" s="5"/>
      <c r="K583" s="1" t="str">
        <f t="shared" si="2"/>
        <v>9</v>
      </c>
      <c r="L583" s="5"/>
      <c r="M583" s="2" t="str">
        <f t="shared" si="3"/>
        <v>1395</v>
      </c>
      <c r="N583" s="5"/>
      <c r="O583" s="2">
        <v>29.0</v>
      </c>
      <c r="P583" s="5"/>
      <c r="Q583" s="5"/>
      <c r="R583" s="6" t="s">
        <v>1972</v>
      </c>
      <c r="S583" s="5"/>
      <c r="T583" s="1" t="str">
        <f>IFERROR(__xludf.DUMMYFUNCTION("INDEX(SPLIT(A583, ""/""), 2)"),"تشکل‌های اسلامی و سیاسی")</f>
        <v>تشکل‌های اسلامی و سیاسی</v>
      </c>
      <c r="U583" s="1" t="str">
        <f>IFERROR(__xludf.DUMMYFUNCTION("INDEX(SPLIT(A583, ""/""), 3)"),"بسیج دانشجویی")</f>
        <v>بسیج دانشجویی</v>
      </c>
      <c r="V583" s="1" t="str">
        <f>IFERROR(__xludf.DUMMYFUNCTION("INDEX(SPLIT(A583, ""/""), 4)"),"میدان انقلاب")</f>
        <v>میدان انقلاب</v>
      </c>
    </row>
    <row r="584">
      <c r="A584" s="1" t="s">
        <v>1892</v>
      </c>
      <c r="B584" s="1" t="s">
        <v>1973</v>
      </c>
      <c r="C584" s="1" t="s">
        <v>21</v>
      </c>
      <c r="D584" s="4" t="s">
        <v>1974</v>
      </c>
      <c r="E584" s="1" t="s">
        <v>1634</v>
      </c>
      <c r="F584" s="1" t="s">
        <v>1908</v>
      </c>
      <c r="G584" s="1" t="s">
        <v>1909</v>
      </c>
      <c r="H584" s="1" t="s">
        <v>1975</v>
      </c>
      <c r="I584" s="1" t="str">
        <f t="shared" si="1"/>
        <v>28</v>
      </c>
      <c r="J584" s="5"/>
      <c r="K584" s="1" t="str">
        <f t="shared" si="2"/>
        <v>1</v>
      </c>
      <c r="L584" s="5"/>
      <c r="M584" s="2" t="str">
        <f t="shared" si="3"/>
        <v>1396</v>
      </c>
      <c r="N584" s="5"/>
      <c r="O584" s="2">
        <v>30.0</v>
      </c>
      <c r="P584" s="5"/>
      <c r="Q584" s="5"/>
      <c r="R584" s="6" t="s">
        <v>1975</v>
      </c>
      <c r="S584" s="5"/>
      <c r="T584" s="1" t="str">
        <f>IFERROR(__xludf.DUMMYFUNCTION("INDEX(SPLIT(A584, ""/""), 2)"),"تشکل‌های اسلامی و سیاسی")</f>
        <v>تشکل‌های اسلامی و سیاسی</v>
      </c>
      <c r="U584" s="1" t="str">
        <f>IFERROR(__xludf.DUMMYFUNCTION("INDEX(SPLIT(A584, ""/""), 3)"),"بسیج دانشجویی")</f>
        <v>بسیج دانشجویی</v>
      </c>
      <c r="V584" s="1" t="str">
        <f>IFERROR(__xludf.DUMMYFUNCTION("INDEX(SPLIT(A584, ""/""), 4)"),"میدان انقلاب")</f>
        <v>میدان انقلاب</v>
      </c>
    </row>
    <row r="585">
      <c r="A585" s="1" t="s">
        <v>1892</v>
      </c>
      <c r="B585" s="1" t="s">
        <v>1976</v>
      </c>
      <c r="C585" s="1" t="s">
        <v>21</v>
      </c>
      <c r="D585" s="4" t="s">
        <v>1977</v>
      </c>
      <c r="E585" s="1" t="s">
        <v>1634</v>
      </c>
      <c r="F585" s="1" t="s">
        <v>1908</v>
      </c>
      <c r="G585" s="1" t="s">
        <v>1909</v>
      </c>
      <c r="H585" s="1" t="s">
        <v>1978</v>
      </c>
      <c r="I585" s="1" t="str">
        <f t="shared" si="1"/>
        <v>18</v>
      </c>
      <c r="J585" s="5"/>
      <c r="K585" s="1" t="str">
        <f t="shared" si="2"/>
        <v>2</v>
      </c>
      <c r="L585" s="5"/>
      <c r="M585" s="2" t="str">
        <f t="shared" si="3"/>
        <v>1396</v>
      </c>
      <c r="N585" s="5"/>
      <c r="O585" s="2">
        <v>31.0</v>
      </c>
      <c r="P585" s="5"/>
      <c r="Q585" s="5"/>
      <c r="R585" s="6" t="s">
        <v>1978</v>
      </c>
      <c r="S585" s="5"/>
      <c r="T585" s="1" t="str">
        <f>IFERROR(__xludf.DUMMYFUNCTION("INDEX(SPLIT(A585, ""/""), 2)"),"تشکل‌های اسلامی و سیاسی")</f>
        <v>تشکل‌های اسلامی و سیاسی</v>
      </c>
      <c r="U585" s="1" t="str">
        <f>IFERROR(__xludf.DUMMYFUNCTION("INDEX(SPLIT(A585, ""/""), 3)"),"بسیج دانشجویی")</f>
        <v>بسیج دانشجویی</v>
      </c>
      <c r="V585" s="1" t="str">
        <f>IFERROR(__xludf.DUMMYFUNCTION("INDEX(SPLIT(A585, ""/""), 4)"),"میدان انقلاب")</f>
        <v>میدان انقلاب</v>
      </c>
    </row>
    <row r="586">
      <c r="A586" s="1" t="s">
        <v>1892</v>
      </c>
      <c r="B586" s="1" t="s">
        <v>1979</v>
      </c>
      <c r="C586" s="1" t="s">
        <v>21</v>
      </c>
      <c r="D586" s="4" t="s">
        <v>1980</v>
      </c>
      <c r="E586" s="1" t="s">
        <v>1634</v>
      </c>
      <c r="F586" s="1" t="s">
        <v>1908</v>
      </c>
      <c r="G586" s="1" t="s">
        <v>1981</v>
      </c>
      <c r="H586" s="7" t="s">
        <v>1982</v>
      </c>
      <c r="I586" s="1" t="str">
        <f t="shared" si="1"/>
        <v>2</v>
      </c>
      <c r="J586" s="5"/>
      <c r="K586" s="1" t="str">
        <f t="shared" si="2"/>
        <v>7</v>
      </c>
      <c r="L586" s="5"/>
      <c r="M586" s="2" t="str">
        <f t="shared" si="3"/>
        <v>1396</v>
      </c>
      <c r="N586" s="5"/>
      <c r="O586" s="2">
        <v>32.0</v>
      </c>
      <c r="P586" s="5"/>
      <c r="Q586" s="5"/>
      <c r="R586" s="8" t="s">
        <v>1982</v>
      </c>
      <c r="S586" s="5"/>
      <c r="T586" s="1" t="str">
        <f>IFERROR(__xludf.DUMMYFUNCTION("INDEX(SPLIT(A586, ""/""), 2)"),"تشکل‌های اسلامی و سیاسی")</f>
        <v>تشکل‌های اسلامی و سیاسی</v>
      </c>
      <c r="U586" s="1" t="str">
        <f>IFERROR(__xludf.DUMMYFUNCTION("INDEX(SPLIT(A586, ""/""), 3)"),"بسیج دانشجویی")</f>
        <v>بسیج دانشجویی</v>
      </c>
      <c r="V586" s="1" t="str">
        <f>IFERROR(__xludf.DUMMYFUNCTION("INDEX(SPLIT(A586, ""/""), 4)"),"میدان انقلاب")</f>
        <v>میدان انقلاب</v>
      </c>
    </row>
    <row r="587">
      <c r="A587" s="1" t="s">
        <v>1892</v>
      </c>
      <c r="B587" s="1" t="s">
        <v>1983</v>
      </c>
      <c r="C587" s="1" t="s">
        <v>21</v>
      </c>
      <c r="D587" s="4" t="s">
        <v>1984</v>
      </c>
      <c r="E587" s="1" t="s">
        <v>1634</v>
      </c>
      <c r="F587" s="1" t="s">
        <v>1908</v>
      </c>
      <c r="G587" s="1" t="s">
        <v>1981</v>
      </c>
      <c r="H587" s="1" t="s">
        <v>1985</v>
      </c>
      <c r="I587" s="1" t="str">
        <f t="shared" si="1"/>
        <v>23</v>
      </c>
      <c r="J587" s="5"/>
      <c r="K587" s="1" t="str">
        <f t="shared" si="2"/>
        <v>7</v>
      </c>
      <c r="L587" s="5"/>
      <c r="M587" s="2" t="str">
        <f t="shared" si="3"/>
        <v>1396</v>
      </c>
      <c r="N587" s="5"/>
      <c r="O587" s="2">
        <v>34.0</v>
      </c>
      <c r="P587" s="5"/>
      <c r="Q587" s="5"/>
      <c r="R587" s="6" t="s">
        <v>1985</v>
      </c>
      <c r="S587" s="5"/>
      <c r="T587" s="1" t="str">
        <f>IFERROR(__xludf.DUMMYFUNCTION("INDEX(SPLIT(A587, ""/""), 2)"),"تشکل‌های اسلامی و سیاسی")</f>
        <v>تشکل‌های اسلامی و سیاسی</v>
      </c>
      <c r="U587" s="1" t="str">
        <f>IFERROR(__xludf.DUMMYFUNCTION("INDEX(SPLIT(A587, ""/""), 3)"),"بسیج دانشجویی")</f>
        <v>بسیج دانشجویی</v>
      </c>
      <c r="V587" s="1" t="str">
        <f>IFERROR(__xludf.DUMMYFUNCTION("INDEX(SPLIT(A587, ""/""), 4)"),"میدان انقلاب")</f>
        <v>میدان انقلاب</v>
      </c>
    </row>
    <row r="588">
      <c r="A588" s="1" t="s">
        <v>1892</v>
      </c>
      <c r="B588" s="1" t="s">
        <v>1986</v>
      </c>
      <c r="C588" s="1" t="s">
        <v>21</v>
      </c>
      <c r="D588" s="4" t="s">
        <v>1987</v>
      </c>
      <c r="E588" s="1" t="s">
        <v>1634</v>
      </c>
      <c r="F588" s="1" t="s">
        <v>1908</v>
      </c>
      <c r="G588" s="1" t="s">
        <v>1981</v>
      </c>
      <c r="H588" s="1" t="s">
        <v>1985</v>
      </c>
      <c r="I588" s="1" t="str">
        <f t="shared" si="1"/>
        <v>23</v>
      </c>
      <c r="J588" s="5"/>
      <c r="K588" s="1" t="str">
        <f t="shared" si="2"/>
        <v>7</v>
      </c>
      <c r="L588" s="5"/>
      <c r="M588" s="2" t="str">
        <f t="shared" si="3"/>
        <v>1396</v>
      </c>
      <c r="N588" s="5"/>
      <c r="O588" s="2" t="s">
        <v>1988</v>
      </c>
      <c r="P588" s="5"/>
      <c r="Q588" s="5"/>
      <c r="R588" s="6" t="s">
        <v>1985</v>
      </c>
      <c r="S588" s="5"/>
      <c r="T588" s="1" t="str">
        <f>IFERROR(__xludf.DUMMYFUNCTION("INDEX(SPLIT(A588, ""/""), 2)"),"تشکل‌های اسلامی و سیاسی")</f>
        <v>تشکل‌های اسلامی و سیاسی</v>
      </c>
      <c r="U588" s="1" t="str">
        <f>IFERROR(__xludf.DUMMYFUNCTION("INDEX(SPLIT(A588, ""/""), 3)"),"بسیج دانشجویی")</f>
        <v>بسیج دانشجویی</v>
      </c>
      <c r="V588" s="1" t="str">
        <f>IFERROR(__xludf.DUMMYFUNCTION("INDEX(SPLIT(A588, ""/""), 4)"),"میدان انقلاب")</f>
        <v>میدان انقلاب</v>
      </c>
    </row>
    <row r="589">
      <c r="A589" s="1" t="s">
        <v>1892</v>
      </c>
      <c r="B589" s="1" t="s">
        <v>1989</v>
      </c>
      <c r="C589" s="1" t="s">
        <v>21</v>
      </c>
      <c r="D589" s="4" t="s">
        <v>1990</v>
      </c>
      <c r="E589" s="1" t="s">
        <v>1634</v>
      </c>
      <c r="F589" s="1" t="s">
        <v>1909</v>
      </c>
      <c r="G589" s="1" t="s">
        <v>1991</v>
      </c>
      <c r="H589" s="1" t="s">
        <v>598</v>
      </c>
      <c r="I589" s="1" t="str">
        <f t="shared" si="1"/>
        <v>30</v>
      </c>
      <c r="J589" s="5"/>
      <c r="K589" s="1" t="str">
        <f t="shared" si="2"/>
        <v>7</v>
      </c>
      <c r="L589" s="5"/>
      <c r="M589" s="2" t="str">
        <f t="shared" si="3"/>
        <v>1396</v>
      </c>
      <c r="N589" s="5"/>
      <c r="O589" s="2">
        <v>35.0</v>
      </c>
      <c r="P589" s="5"/>
      <c r="Q589" s="5"/>
      <c r="R589" s="6" t="s">
        <v>598</v>
      </c>
      <c r="S589" s="5"/>
      <c r="T589" s="1" t="str">
        <f>IFERROR(__xludf.DUMMYFUNCTION("INDEX(SPLIT(A589, ""/""), 2)"),"تشکل‌های اسلامی و سیاسی")</f>
        <v>تشکل‌های اسلامی و سیاسی</v>
      </c>
      <c r="U589" s="1" t="str">
        <f>IFERROR(__xludf.DUMMYFUNCTION("INDEX(SPLIT(A589, ""/""), 3)"),"بسیج دانشجویی")</f>
        <v>بسیج دانشجویی</v>
      </c>
      <c r="V589" s="1" t="str">
        <f>IFERROR(__xludf.DUMMYFUNCTION("INDEX(SPLIT(A589, ""/""), 4)"),"میدان انقلاب")</f>
        <v>میدان انقلاب</v>
      </c>
    </row>
    <row r="590">
      <c r="A590" s="1" t="s">
        <v>1892</v>
      </c>
      <c r="B590" s="1" t="s">
        <v>1992</v>
      </c>
      <c r="C590" s="1" t="s">
        <v>21</v>
      </c>
      <c r="D590" s="4" t="s">
        <v>1993</v>
      </c>
      <c r="E590" s="1" t="s">
        <v>1634</v>
      </c>
      <c r="F590" s="1" t="s">
        <v>1909</v>
      </c>
      <c r="G590" s="1" t="s">
        <v>1991</v>
      </c>
      <c r="H590" s="7" t="s">
        <v>1994</v>
      </c>
      <c r="I590" s="1" t="str">
        <f t="shared" si="1"/>
        <v>7</v>
      </c>
      <c r="J590" s="5"/>
      <c r="K590" s="1" t="str">
        <f t="shared" si="2"/>
        <v>8</v>
      </c>
      <c r="L590" s="5"/>
      <c r="M590" s="2" t="str">
        <f t="shared" si="3"/>
        <v>1396</v>
      </c>
      <c r="N590" s="5"/>
      <c r="O590" s="2">
        <v>36.0</v>
      </c>
      <c r="P590" s="5"/>
      <c r="Q590" s="5"/>
      <c r="R590" s="8" t="s">
        <v>1994</v>
      </c>
      <c r="S590" s="5"/>
      <c r="T590" s="1" t="str">
        <f>IFERROR(__xludf.DUMMYFUNCTION("INDEX(SPLIT(A590, ""/""), 2)"),"تشکل‌های اسلامی و سیاسی")</f>
        <v>تشکل‌های اسلامی و سیاسی</v>
      </c>
      <c r="U590" s="1" t="str">
        <f>IFERROR(__xludf.DUMMYFUNCTION("INDEX(SPLIT(A590, ""/""), 3)"),"بسیج دانشجویی")</f>
        <v>بسیج دانشجویی</v>
      </c>
      <c r="V590" s="1" t="str">
        <f>IFERROR(__xludf.DUMMYFUNCTION("INDEX(SPLIT(A590, ""/""), 4)"),"میدان انقلاب")</f>
        <v>میدان انقلاب</v>
      </c>
    </row>
    <row r="591">
      <c r="A591" s="1" t="s">
        <v>1892</v>
      </c>
      <c r="B591" s="1" t="s">
        <v>1995</v>
      </c>
      <c r="C591" s="1" t="s">
        <v>21</v>
      </c>
      <c r="D591" s="4" t="s">
        <v>1996</v>
      </c>
      <c r="E591" s="1" t="s">
        <v>1634</v>
      </c>
      <c r="F591" s="1" t="s">
        <v>1909</v>
      </c>
      <c r="G591" s="1" t="s">
        <v>1991</v>
      </c>
      <c r="H591" s="1" t="s">
        <v>1238</v>
      </c>
      <c r="I591" s="1" t="str">
        <f t="shared" si="1"/>
        <v>29</v>
      </c>
      <c r="J591" s="5"/>
      <c r="K591" s="1" t="str">
        <f t="shared" si="2"/>
        <v>8</v>
      </c>
      <c r="L591" s="5"/>
      <c r="M591" s="2" t="str">
        <f t="shared" si="3"/>
        <v>1396</v>
      </c>
      <c r="N591" s="5"/>
      <c r="O591" s="2">
        <v>37.0</v>
      </c>
      <c r="P591" s="5"/>
      <c r="Q591" s="5"/>
      <c r="R591" s="6" t="s">
        <v>1238</v>
      </c>
      <c r="S591" s="5"/>
      <c r="T591" s="1" t="str">
        <f>IFERROR(__xludf.DUMMYFUNCTION("INDEX(SPLIT(A591, ""/""), 2)"),"تشکل‌های اسلامی و سیاسی")</f>
        <v>تشکل‌های اسلامی و سیاسی</v>
      </c>
      <c r="U591" s="1" t="str">
        <f>IFERROR(__xludf.DUMMYFUNCTION("INDEX(SPLIT(A591, ""/""), 3)"),"بسیج دانشجویی")</f>
        <v>بسیج دانشجویی</v>
      </c>
      <c r="V591" s="1" t="str">
        <f>IFERROR(__xludf.DUMMYFUNCTION("INDEX(SPLIT(A591, ""/""), 4)"),"میدان انقلاب")</f>
        <v>میدان انقلاب</v>
      </c>
    </row>
    <row r="592">
      <c r="A592" s="1" t="s">
        <v>1892</v>
      </c>
      <c r="B592" s="1" t="s">
        <v>1997</v>
      </c>
      <c r="C592" s="1" t="s">
        <v>21</v>
      </c>
      <c r="D592" s="4" t="s">
        <v>1998</v>
      </c>
      <c r="E592" s="1" t="s">
        <v>1634</v>
      </c>
      <c r="F592" s="1" t="s">
        <v>1909</v>
      </c>
      <c r="G592" s="1" t="s">
        <v>752</v>
      </c>
      <c r="H592" s="7" t="s">
        <v>1999</v>
      </c>
      <c r="I592" s="1" t="str">
        <f t="shared" si="1"/>
        <v>5</v>
      </c>
      <c r="J592" s="5"/>
      <c r="K592" s="1" t="str">
        <f t="shared" si="2"/>
        <v>9</v>
      </c>
      <c r="L592" s="5"/>
      <c r="M592" s="2" t="str">
        <f t="shared" si="3"/>
        <v>1396</v>
      </c>
      <c r="N592" s="5"/>
      <c r="O592" s="2">
        <v>38.0</v>
      </c>
      <c r="P592" s="5"/>
      <c r="Q592" s="5"/>
      <c r="R592" s="8" t="s">
        <v>1999</v>
      </c>
      <c r="S592" s="5"/>
      <c r="T592" s="1" t="str">
        <f>IFERROR(__xludf.DUMMYFUNCTION("INDEX(SPLIT(A592, ""/""), 2)"),"تشکل‌های اسلامی و سیاسی")</f>
        <v>تشکل‌های اسلامی و سیاسی</v>
      </c>
      <c r="U592" s="1" t="str">
        <f>IFERROR(__xludf.DUMMYFUNCTION("INDEX(SPLIT(A592, ""/""), 3)"),"بسیج دانشجویی")</f>
        <v>بسیج دانشجویی</v>
      </c>
      <c r="V592" s="1" t="str">
        <f>IFERROR(__xludf.DUMMYFUNCTION("INDEX(SPLIT(A592, ""/""), 4)"),"میدان انقلاب")</f>
        <v>میدان انقلاب</v>
      </c>
    </row>
    <row r="593">
      <c r="A593" s="1" t="s">
        <v>1892</v>
      </c>
      <c r="B593" s="1" t="s">
        <v>2000</v>
      </c>
      <c r="C593" s="1" t="s">
        <v>21</v>
      </c>
      <c r="D593" s="4" t="s">
        <v>2001</v>
      </c>
      <c r="E593" s="1" t="s">
        <v>1634</v>
      </c>
      <c r="F593" s="1" t="s">
        <v>1909</v>
      </c>
      <c r="G593" s="1" t="s">
        <v>752</v>
      </c>
      <c r="H593" s="1" t="s">
        <v>2002</v>
      </c>
      <c r="I593" s="1" t="str">
        <f t="shared" si="1"/>
        <v>13</v>
      </c>
      <c r="J593" s="5"/>
      <c r="K593" s="1" t="str">
        <f t="shared" si="2"/>
        <v>9</v>
      </c>
      <c r="L593" s="5"/>
      <c r="M593" s="2" t="str">
        <f t="shared" si="3"/>
        <v>1396</v>
      </c>
      <c r="N593" s="5"/>
      <c r="O593" s="2">
        <v>39.0</v>
      </c>
      <c r="P593" s="5"/>
      <c r="Q593" s="5"/>
      <c r="R593" s="6" t="s">
        <v>2002</v>
      </c>
      <c r="S593" s="5"/>
      <c r="T593" s="1" t="str">
        <f>IFERROR(__xludf.DUMMYFUNCTION("INDEX(SPLIT(A593, ""/""), 2)"),"تشکل‌های اسلامی و سیاسی")</f>
        <v>تشکل‌های اسلامی و سیاسی</v>
      </c>
      <c r="U593" s="1" t="str">
        <f>IFERROR(__xludf.DUMMYFUNCTION("INDEX(SPLIT(A593, ""/""), 3)"),"بسیج دانشجویی")</f>
        <v>بسیج دانشجویی</v>
      </c>
      <c r="V593" s="1" t="str">
        <f>IFERROR(__xludf.DUMMYFUNCTION("INDEX(SPLIT(A593, ""/""), 4)"),"میدان انقلاب")</f>
        <v>میدان انقلاب</v>
      </c>
    </row>
    <row r="594">
      <c r="A594" s="1" t="s">
        <v>1892</v>
      </c>
      <c r="B594" s="1" t="s">
        <v>2003</v>
      </c>
      <c r="C594" s="1" t="s">
        <v>21</v>
      </c>
      <c r="D594" s="4" t="s">
        <v>2004</v>
      </c>
      <c r="E594" s="1" t="s">
        <v>1634</v>
      </c>
      <c r="F594" s="1" t="s">
        <v>1909</v>
      </c>
      <c r="G594" s="1" t="s">
        <v>752</v>
      </c>
      <c r="H594" s="1" t="s">
        <v>2005</v>
      </c>
      <c r="I594" s="1" t="str">
        <f t="shared" si="1"/>
        <v>19</v>
      </c>
      <c r="J594" s="5"/>
      <c r="K594" s="1" t="str">
        <f t="shared" si="2"/>
        <v>9</v>
      </c>
      <c r="L594" s="5"/>
      <c r="M594" s="2" t="str">
        <f t="shared" si="3"/>
        <v>1396</v>
      </c>
      <c r="N594" s="5"/>
      <c r="O594" s="2">
        <v>40.0</v>
      </c>
      <c r="P594" s="5"/>
      <c r="Q594" s="5"/>
      <c r="R594" s="6" t="s">
        <v>2005</v>
      </c>
      <c r="S594" s="5"/>
      <c r="T594" s="1" t="str">
        <f>IFERROR(__xludf.DUMMYFUNCTION("INDEX(SPLIT(A594, ""/""), 2)"),"تشکل‌های اسلامی و سیاسی")</f>
        <v>تشکل‌های اسلامی و سیاسی</v>
      </c>
      <c r="U594" s="1" t="str">
        <f>IFERROR(__xludf.DUMMYFUNCTION("INDEX(SPLIT(A594, ""/""), 3)"),"بسیج دانشجویی")</f>
        <v>بسیج دانشجویی</v>
      </c>
      <c r="V594" s="1" t="str">
        <f>IFERROR(__xludf.DUMMYFUNCTION("INDEX(SPLIT(A594, ""/""), 4)"),"میدان انقلاب")</f>
        <v>میدان انقلاب</v>
      </c>
    </row>
    <row r="595">
      <c r="A595" s="1" t="s">
        <v>1892</v>
      </c>
      <c r="B595" s="1" t="s">
        <v>2006</v>
      </c>
      <c r="C595" s="1" t="s">
        <v>21</v>
      </c>
      <c r="D595" s="4" t="s">
        <v>2007</v>
      </c>
      <c r="E595" s="1" t="s">
        <v>1634</v>
      </c>
      <c r="F595" s="1" t="s">
        <v>1909</v>
      </c>
      <c r="G595" s="1" t="s">
        <v>752</v>
      </c>
      <c r="H595" s="1" t="s">
        <v>1244</v>
      </c>
      <c r="I595" s="1" t="str">
        <f t="shared" si="1"/>
        <v>26</v>
      </c>
      <c r="J595" s="5"/>
      <c r="K595" s="1" t="str">
        <f t="shared" si="2"/>
        <v>9</v>
      </c>
      <c r="L595" s="5"/>
      <c r="M595" s="2" t="str">
        <f t="shared" si="3"/>
        <v>1396</v>
      </c>
      <c r="N595" s="5"/>
      <c r="O595" s="2">
        <v>41.0</v>
      </c>
      <c r="P595" s="5"/>
      <c r="Q595" s="5"/>
      <c r="R595" s="6" t="s">
        <v>1244</v>
      </c>
      <c r="S595" s="5"/>
      <c r="T595" s="1" t="str">
        <f>IFERROR(__xludf.DUMMYFUNCTION("INDEX(SPLIT(A595, ""/""), 2)"),"تشکل‌های اسلامی و سیاسی")</f>
        <v>تشکل‌های اسلامی و سیاسی</v>
      </c>
      <c r="U595" s="1" t="str">
        <f>IFERROR(__xludf.DUMMYFUNCTION("INDEX(SPLIT(A595, ""/""), 3)"),"بسیج دانشجویی")</f>
        <v>بسیج دانشجویی</v>
      </c>
      <c r="V595" s="1" t="str">
        <f>IFERROR(__xludf.DUMMYFUNCTION("INDEX(SPLIT(A595, ""/""), 4)"),"میدان انقلاب")</f>
        <v>میدان انقلاب</v>
      </c>
    </row>
    <row r="596">
      <c r="A596" s="1" t="s">
        <v>1892</v>
      </c>
      <c r="B596" s="1" t="s">
        <v>2008</v>
      </c>
      <c r="C596" s="1" t="s">
        <v>21</v>
      </c>
      <c r="D596" s="4" t="s">
        <v>2009</v>
      </c>
      <c r="E596" s="1" t="s">
        <v>1634</v>
      </c>
      <c r="F596" s="1" t="s">
        <v>1909</v>
      </c>
      <c r="G596" s="1" t="s">
        <v>752</v>
      </c>
      <c r="H596" s="1" t="s">
        <v>1254</v>
      </c>
      <c r="I596" s="1" t="str">
        <f t="shared" si="1"/>
        <v>30</v>
      </c>
      <c r="J596" s="5"/>
      <c r="K596" s="1" t="str">
        <f t="shared" si="2"/>
        <v>11</v>
      </c>
      <c r="L596" s="5"/>
      <c r="M596" s="2" t="str">
        <f t="shared" si="3"/>
        <v>1396</v>
      </c>
      <c r="N596" s="5"/>
      <c r="O596" s="2">
        <v>42.0</v>
      </c>
      <c r="P596" s="5"/>
      <c r="Q596" s="5"/>
      <c r="R596" s="6" t="s">
        <v>1254</v>
      </c>
      <c r="S596" s="5"/>
      <c r="T596" s="1" t="str">
        <f>IFERROR(__xludf.DUMMYFUNCTION("INDEX(SPLIT(A596, ""/""), 2)"),"تشکل‌های اسلامی و سیاسی")</f>
        <v>تشکل‌های اسلامی و سیاسی</v>
      </c>
      <c r="U596" s="1" t="str">
        <f>IFERROR(__xludf.DUMMYFUNCTION("INDEX(SPLIT(A596, ""/""), 3)"),"بسیج دانشجویی")</f>
        <v>بسیج دانشجویی</v>
      </c>
      <c r="V596" s="1" t="str">
        <f>IFERROR(__xludf.DUMMYFUNCTION("INDEX(SPLIT(A596, ""/""), 4)"),"میدان انقلاب")</f>
        <v>میدان انقلاب</v>
      </c>
    </row>
    <row r="597">
      <c r="A597" s="1" t="s">
        <v>1892</v>
      </c>
      <c r="B597" s="1" t="s">
        <v>2010</v>
      </c>
      <c r="C597" s="1" t="s">
        <v>21</v>
      </c>
      <c r="D597" s="4" t="s">
        <v>2011</v>
      </c>
      <c r="E597" s="1" t="s">
        <v>1634</v>
      </c>
      <c r="F597" s="1" t="s">
        <v>1909</v>
      </c>
      <c r="G597" s="1" t="s">
        <v>752</v>
      </c>
      <c r="H597" s="1" t="s">
        <v>2012</v>
      </c>
      <c r="I597" s="1" t="str">
        <f t="shared" si="1"/>
        <v>x</v>
      </c>
      <c r="J597" s="5"/>
      <c r="K597" s="1" t="str">
        <f t="shared" si="2"/>
        <v>1</v>
      </c>
      <c r="L597" s="5"/>
      <c r="M597" s="2" t="str">
        <f t="shared" si="3"/>
        <v>1397</v>
      </c>
      <c r="N597" s="5"/>
      <c r="O597" s="2">
        <v>44.0</v>
      </c>
      <c r="P597" s="5"/>
      <c r="Q597" s="5"/>
      <c r="R597" s="6" t="s">
        <v>2013</v>
      </c>
      <c r="S597" s="1" t="s">
        <v>2014</v>
      </c>
      <c r="T597" s="1" t="str">
        <f>IFERROR(__xludf.DUMMYFUNCTION("INDEX(SPLIT(A597, ""/""), 2)"),"تشکل‌های اسلامی و سیاسی")</f>
        <v>تشکل‌های اسلامی و سیاسی</v>
      </c>
      <c r="U597" s="1" t="str">
        <f>IFERROR(__xludf.DUMMYFUNCTION("INDEX(SPLIT(A597, ""/""), 3)"),"بسیج دانشجویی")</f>
        <v>بسیج دانشجویی</v>
      </c>
      <c r="V597" s="1" t="str">
        <f>IFERROR(__xludf.DUMMYFUNCTION("INDEX(SPLIT(A597, ""/""), 4)"),"میدان انقلاب")</f>
        <v>میدان انقلاب</v>
      </c>
    </row>
    <row r="598">
      <c r="A598" s="1" t="s">
        <v>1892</v>
      </c>
      <c r="B598" s="1" t="s">
        <v>2015</v>
      </c>
      <c r="C598" s="1" t="s">
        <v>21</v>
      </c>
      <c r="D598" s="4" t="s">
        <v>2016</v>
      </c>
      <c r="E598" s="1" t="s">
        <v>1634</v>
      </c>
      <c r="F598" s="1" t="s">
        <v>1909</v>
      </c>
      <c r="G598" s="1" t="s">
        <v>752</v>
      </c>
      <c r="H598" s="1" t="s">
        <v>2017</v>
      </c>
      <c r="I598" s="1" t="str">
        <f t="shared" si="1"/>
        <v>27</v>
      </c>
      <c r="J598" s="5"/>
      <c r="K598" s="1" t="str">
        <f t="shared" si="2"/>
        <v>1</v>
      </c>
      <c r="L598" s="5"/>
      <c r="M598" s="2" t="str">
        <f t="shared" si="3"/>
        <v>1397</v>
      </c>
      <c r="N598" s="5"/>
      <c r="O598" s="2">
        <v>45.0</v>
      </c>
      <c r="P598" s="5"/>
      <c r="Q598" s="5"/>
      <c r="R598" s="6" t="s">
        <v>2017</v>
      </c>
      <c r="S598" s="5"/>
      <c r="T598" s="1" t="str">
        <f>IFERROR(__xludf.DUMMYFUNCTION("INDEX(SPLIT(A598, ""/""), 2)"),"تشکل‌های اسلامی و سیاسی")</f>
        <v>تشکل‌های اسلامی و سیاسی</v>
      </c>
      <c r="U598" s="1" t="str">
        <f>IFERROR(__xludf.DUMMYFUNCTION("INDEX(SPLIT(A598, ""/""), 3)"),"بسیج دانشجویی")</f>
        <v>بسیج دانشجویی</v>
      </c>
      <c r="V598" s="1" t="str">
        <f>IFERROR(__xludf.DUMMYFUNCTION("INDEX(SPLIT(A598, ""/""), 4)"),"میدان انقلاب")</f>
        <v>میدان انقلاب</v>
      </c>
    </row>
    <row r="599">
      <c r="A599" s="1" t="s">
        <v>1892</v>
      </c>
      <c r="B599" s="1" t="s">
        <v>2018</v>
      </c>
      <c r="C599" s="1" t="s">
        <v>21</v>
      </c>
      <c r="D599" s="4" t="s">
        <v>2019</v>
      </c>
      <c r="E599" s="1" t="s">
        <v>1634</v>
      </c>
      <c r="F599" s="1" t="s">
        <v>1909</v>
      </c>
      <c r="G599" s="1" t="s">
        <v>752</v>
      </c>
      <c r="H599" s="7" t="s">
        <v>2020</v>
      </c>
      <c r="I599" s="1" t="str">
        <f t="shared" si="1"/>
        <v>2</v>
      </c>
      <c r="J599" s="5"/>
      <c r="K599" s="1" t="str">
        <f t="shared" si="2"/>
        <v>2</v>
      </c>
      <c r="L599" s="5"/>
      <c r="M599" s="2" t="str">
        <f t="shared" si="3"/>
        <v>1397</v>
      </c>
      <c r="N599" s="5"/>
      <c r="O599" s="2">
        <v>46.0</v>
      </c>
      <c r="P599" s="5"/>
      <c r="Q599" s="5"/>
      <c r="R599" s="8" t="s">
        <v>2020</v>
      </c>
      <c r="S599" s="5"/>
      <c r="T599" s="1" t="str">
        <f>IFERROR(__xludf.DUMMYFUNCTION("INDEX(SPLIT(A599, ""/""), 2)"),"تشکل‌های اسلامی و سیاسی")</f>
        <v>تشکل‌های اسلامی و سیاسی</v>
      </c>
      <c r="U599" s="1" t="str">
        <f>IFERROR(__xludf.DUMMYFUNCTION("INDEX(SPLIT(A599, ""/""), 3)"),"بسیج دانشجویی")</f>
        <v>بسیج دانشجویی</v>
      </c>
      <c r="V599" s="1" t="str">
        <f>IFERROR(__xludf.DUMMYFUNCTION("INDEX(SPLIT(A599, ""/""), 4)"),"میدان انقلاب")</f>
        <v>میدان انقلاب</v>
      </c>
    </row>
    <row r="600">
      <c r="A600" s="1" t="s">
        <v>1892</v>
      </c>
      <c r="B600" s="1" t="s">
        <v>2021</v>
      </c>
      <c r="C600" s="1" t="s">
        <v>21</v>
      </c>
      <c r="D600" s="4" t="s">
        <v>2022</v>
      </c>
      <c r="E600" s="1" t="s">
        <v>1634</v>
      </c>
      <c r="F600" s="1" t="s">
        <v>1772</v>
      </c>
      <c r="G600" s="1" t="s">
        <v>752</v>
      </c>
      <c r="H600" s="7" t="s">
        <v>2023</v>
      </c>
      <c r="I600" s="1" t="str">
        <f t="shared" si="1"/>
        <v>1</v>
      </c>
      <c r="J600" s="5"/>
      <c r="K600" s="1" t="str">
        <f t="shared" si="2"/>
        <v>7</v>
      </c>
      <c r="L600" s="5"/>
      <c r="M600" s="2" t="str">
        <f t="shared" si="3"/>
        <v>1397</v>
      </c>
      <c r="N600" s="5"/>
      <c r="O600" s="2">
        <v>47.0</v>
      </c>
      <c r="P600" s="5"/>
      <c r="Q600" s="5"/>
      <c r="R600" s="8" t="s">
        <v>2023</v>
      </c>
      <c r="S600" s="5"/>
      <c r="T600" s="1" t="str">
        <f>IFERROR(__xludf.DUMMYFUNCTION("INDEX(SPLIT(A600, ""/""), 2)"),"تشکل‌های اسلامی و سیاسی")</f>
        <v>تشکل‌های اسلامی و سیاسی</v>
      </c>
      <c r="U600" s="1" t="str">
        <f>IFERROR(__xludf.DUMMYFUNCTION("INDEX(SPLIT(A600, ""/""), 3)"),"بسیج دانشجویی")</f>
        <v>بسیج دانشجویی</v>
      </c>
      <c r="V600" s="1" t="str">
        <f>IFERROR(__xludf.DUMMYFUNCTION("INDEX(SPLIT(A600, ""/""), 4)"),"میدان انقلاب")</f>
        <v>میدان انقلاب</v>
      </c>
    </row>
    <row r="601">
      <c r="A601" s="1" t="s">
        <v>1892</v>
      </c>
      <c r="B601" s="1" t="s">
        <v>2024</v>
      </c>
      <c r="C601" s="1" t="s">
        <v>21</v>
      </c>
      <c r="D601" s="4" t="s">
        <v>2025</v>
      </c>
      <c r="E601" s="1" t="s">
        <v>1634</v>
      </c>
      <c r="F601" s="1" t="s">
        <v>1772</v>
      </c>
      <c r="G601" s="1" t="s">
        <v>752</v>
      </c>
      <c r="H601" s="7" t="s">
        <v>2026</v>
      </c>
      <c r="I601" s="1" t="str">
        <f t="shared" si="1"/>
        <v>9</v>
      </c>
      <c r="J601" s="5"/>
      <c r="K601" s="1" t="str">
        <f t="shared" si="2"/>
        <v>7</v>
      </c>
      <c r="L601" s="5"/>
      <c r="M601" s="2" t="str">
        <f t="shared" si="3"/>
        <v>1397</v>
      </c>
      <c r="N601" s="5"/>
      <c r="O601" s="2">
        <v>48.0</v>
      </c>
      <c r="P601" s="5"/>
      <c r="Q601" s="5"/>
      <c r="R601" s="8" t="s">
        <v>2026</v>
      </c>
      <c r="S601" s="5"/>
      <c r="T601" s="1" t="str">
        <f>IFERROR(__xludf.DUMMYFUNCTION("INDEX(SPLIT(A601, ""/""), 2)"),"تشکل‌های اسلامی و سیاسی")</f>
        <v>تشکل‌های اسلامی و سیاسی</v>
      </c>
      <c r="U601" s="1" t="str">
        <f>IFERROR(__xludf.DUMMYFUNCTION("INDEX(SPLIT(A601, ""/""), 3)"),"بسیج دانشجویی")</f>
        <v>بسیج دانشجویی</v>
      </c>
      <c r="V601" s="1" t="str">
        <f>IFERROR(__xludf.DUMMYFUNCTION("INDEX(SPLIT(A601, ""/""), 4)"),"میدان انقلاب")</f>
        <v>میدان انقلاب</v>
      </c>
    </row>
    <row r="602">
      <c r="A602" s="1" t="s">
        <v>1892</v>
      </c>
      <c r="B602" s="1" t="s">
        <v>2027</v>
      </c>
      <c r="C602" s="1" t="s">
        <v>21</v>
      </c>
      <c r="D602" s="4" t="s">
        <v>2028</v>
      </c>
      <c r="E602" s="1" t="s">
        <v>1634</v>
      </c>
      <c r="F602" s="1" t="s">
        <v>1772</v>
      </c>
      <c r="G602" s="1" t="s">
        <v>752</v>
      </c>
      <c r="H602" s="1" t="s">
        <v>2029</v>
      </c>
      <c r="I602" s="1" t="str">
        <f t="shared" si="1"/>
        <v>16</v>
      </c>
      <c r="J602" s="5"/>
      <c r="K602" s="1" t="str">
        <f t="shared" si="2"/>
        <v>7</v>
      </c>
      <c r="L602" s="5"/>
      <c r="M602" s="2" t="str">
        <f t="shared" si="3"/>
        <v>1397</v>
      </c>
      <c r="N602" s="5"/>
      <c r="O602" s="2">
        <v>49.0</v>
      </c>
      <c r="P602" s="5"/>
      <c r="Q602" s="5"/>
      <c r="R602" s="6" t="s">
        <v>2029</v>
      </c>
      <c r="S602" s="5"/>
      <c r="T602" s="1" t="str">
        <f>IFERROR(__xludf.DUMMYFUNCTION("INDEX(SPLIT(A602, ""/""), 2)"),"تشکل‌های اسلامی و سیاسی")</f>
        <v>تشکل‌های اسلامی و سیاسی</v>
      </c>
      <c r="U602" s="1" t="str">
        <f>IFERROR(__xludf.DUMMYFUNCTION("INDEX(SPLIT(A602, ""/""), 3)"),"بسیج دانشجویی")</f>
        <v>بسیج دانشجویی</v>
      </c>
      <c r="V602" s="1" t="str">
        <f>IFERROR(__xludf.DUMMYFUNCTION("INDEX(SPLIT(A602, ""/""), 4)"),"میدان انقلاب")</f>
        <v>میدان انقلاب</v>
      </c>
    </row>
    <row r="603">
      <c r="A603" s="1" t="s">
        <v>1892</v>
      </c>
      <c r="B603" s="1" t="s">
        <v>2030</v>
      </c>
      <c r="C603" s="1" t="s">
        <v>21</v>
      </c>
      <c r="D603" s="4" t="s">
        <v>2031</v>
      </c>
      <c r="E603" s="1" t="s">
        <v>1634</v>
      </c>
      <c r="F603" s="1" t="s">
        <v>1772</v>
      </c>
      <c r="G603" s="1" t="s">
        <v>752</v>
      </c>
      <c r="H603" s="1" t="s">
        <v>2032</v>
      </c>
      <c r="I603" s="1" t="str">
        <f t="shared" si="1"/>
        <v>30</v>
      </c>
      <c r="J603" s="5"/>
      <c r="K603" s="1" t="str">
        <f t="shared" si="2"/>
        <v>7</v>
      </c>
      <c r="L603" s="5"/>
      <c r="M603" s="2" t="str">
        <f t="shared" si="3"/>
        <v>1397</v>
      </c>
      <c r="N603" s="5"/>
      <c r="O603" s="2">
        <v>50.0</v>
      </c>
      <c r="P603" s="5"/>
      <c r="Q603" s="5"/>
      <c r="R603" s="6" t="s">
        <v>2032</v>
      </c>
      <c r="S603" s="5"/>
      <c r="T603" s="1" t="str">
        <f>IFERROR(__xludf.DUMMYFUNCTION("INDEX(SPLIT(A603, ""/""), 2)"),"تشکل‌های اسلامی و سیاسی")</f>
        <v>تشکل‌های اسلامی و سیاسی</v>
      </c>
      <c r="U603" s="1" t="str">
        <f>IFERROR(__xludf.DUMMYFUNCTION("INDEX(SPLIT(A603, ""/""), 3)"),"بسیج دانشجویی")</f>
        <v>بسیج دانشجویی</v>
      </c>
      <c r="V603" s="1" t="str">
        <f>IFERROR(__xludf.DUMMYFUNCTION("INDEX(SPLIT(A603, ""/""), 4)"),"میدان انقلاب")</f>
        <v>میدان انقلاب</v>
      </c>
    </row>
    <row r="604">
      <c r="A604" s="1" t="s">
        <v>1892</v>
      </c>
      <c r="B604" s="1" t="s">
        <v>2033</v>
      </c>
      <c r="C604" s="1" t="s">
        <v>21</v>
      </c>
      <c r="D604" s="4" t="s">
        <v>2034</v>
      </c>
      <c r="E604" s="1" t="s">
        <v>1634</v>
      </c>
      <c r="F604" s="1" t="s">
        <v>1772</v>
      </c>
      <c r="G604" s="1" t="s">
        <v>752</v>
      </c>
      <c r="H604" s="7" t="s">
        <v>1276</v>
      </c>
      <c r="I604" s="1" t="str">
        <f t="shared" si="1"/>
        <v>6</v>
      </c>
      <c r="J604" s="5"/>
      <c r="K604" s="1" t="str">
        <f t="shared" si="2"/>
        <v>8</v>
      </c>
      <c r="L604" s="5"/>
      <c r="M604" s="2" t="str">
        <f t="shared" si="3"/>
        <v>1397</v>
      </c>
      <c r="N604" s="5"/>
      <c r="O604" s="2">
        <v>51.0</v>
      </c>
      <c r="P604" s="5"/>
      <c r="Q604" s="5"/>
      <c r="R604" s="8" t="s">
        <v>1276</v>
      </c>
      <c r="S604" s="5"/>
      <c r="T604" s="1" t="str">
        <f>IFERROR(__xludf.DUMMYFUNCTION("INDEX(SPLIT(A604, ""/""), 2)"),"تشکل‌های اسلامی و سیاسی")</f>
        <v>تشکل‌های اسلامی و سیاسی</v>
      </c>
      <c r="U604" s="1" t="str">
        <f>IFERROR(__xludf.DUMMYFUNCTION("INDEX(SPLIT(A604, ""/""), 3)"),"بسیج دانشجویی")</f>
        <v>بسیج دانشجویی</v>
      </c>
      <c r="V604" s="1" t="str">
        <f>IFERROR(__xludf.DUMMYFUNCTION("INDEX(SPLIT(A604, ""/""), 4)"),"میدان انقلاب")</f>
        <v>میدان انقلاب</v>
      </c>
    </row>
    <row r="605">
      <c r="A605" s="1" t="s">
        <v>1892</v>
      </c>
      <c r="B605" s="1" t="s">
        <v>2035</v>
      </c>
      <c r="C605" s="1" t="s">
        <v>21</v>
      </c>
      <c r="D605" s="4" t="s">
        <v>2036</v>
      </c>
      <c r="E605" s="1" t="s">
        <v>1634</v>
      </c>
      <c r="F605" s="1" t="s">
        <v>1772</v>
      </c>
      <c r="G605" s="1" t="s">
        <v>752</v>
      </c>
      <c r="H605" s="1" t="s">
        <v>2037</v>
      </c>
      <c r="I605" s="1" t="str">
        <f t="shared" si="1"/>
        <v>14</v>
      </c>
      <c r="J605" s="5"/>
      <c r="K605" s="1" t="str">
        <f t="shared" si="2"/>
        <v>8</v>
      </c>
      <c r="L605" s="5"/>
      <c r="M605" s="2" t="str">
        <f t="shared" si="3"/>
        <v>1397</v>
      </c>
      <c r="N605" s="5"/>
      <c r="O605" s="2">
        <v>52.0</v>
      </c>
      <c r="P605" s="5"/>
      <c r="Q605" s="5"/>
      <c r="R605" s="6" t="s">
        <v>2037</v>
      </c>
      <c r="S605" s="5"/>
      <c r="T605" s="1" t="str">
        <f>IFERROR(__xludf.DUMMYFUNCTION("INDEX(SPLIT(A605, ""/""), 2)"),"تشکل‌های اسلامی و سیاسی")</f>
        <v>تشکل‌های اسلامی و سیاسی</v>
      </c>
      <c r="U605" s="1" t="str">
        <f>IFERROR(__xludf.DUMMYFUNCTION("INDEX(SPLIT(A605, ""/""), 3)"),"بسیج دانشجویی")</f>
        <v>بسیج دانشجویی</v>
      </c>
      <c r="V605" s="1" t="str">
        <f>IFERROR(__xludf.DUMMYFUNCTION("INDEX(SPLIT(A605, ""/""), 4)"),"میدان انقلاب")</f>
        <v>میدان انقلاب</v>
      </c>
    </row>
    <row r="606">
      <c r="A606" s="1" t="s">
        <v>1892</v>
      </c>
      <c r="B606" s="1" t="s">
        <v>2038</v>
      </c>
      <c r="C606" s="1" t="s">
        <v>21</v>
      </c>
      <c r="D606" s="4" t="s">
        <v>2039</v>
      </c>
      <c r="E606" s="1" t="s">
        <v>1634</v>
      </c>
      <c r="F606" s="1" t="s">
        <v>1772</v>
      </c>
      <c r="G606" s="1" t="s">
        <v>752</v>
      </c>
      <c r="H606" s="7" t="s">
        <v>1786</v>
      </c>
      <c r="I606" s="1" t="str">
        <f t="shared" si="1"/>
        <v>5</v>
      </c>
      <c r="J606" s="5"/>
      <c r="K606" s="1" t="str">
        <f t="shared" si="2"/>
        <v>9</v>
      </c>
      <c r="L606" s="5"/>
      <c r="M606" s="2" t="str">
        <f t="shared" si="3"/>
        <v>1397</v>
      </c>
      <c r="N606" s="5"/>
      <c r="O606" s="2">
        <v>53.0</v>
      </c>
      <c r="P606" s="5"/>
      <c r="Q606" s="5"/>
      <c r="R606" s="8" t="s">
        <v>1786</v>
      </c>
      <c r="S606" s="5"/>
      <c r="T606" s="1" t="str">
        <f>IFERROR(__xludf.DUMMYFUNCTION("INDEX(SPLIT(A606, ""/""), 2)"),"تشکل‌های اسلامی و سیاسی")</f>
        <v>تشکل‌های اسلامی و سیاسی</v>
      </c>
      <c r="U606" s="1" t="str">
        <f>IFERROR(__xludf.DUMMYFUNCTION("INDEX(SPLIT(A606, ""/""), 3)"),"بسیج دانشجویی")</f>
        <v>بسیج دانشجویی</v>
      </c>
      <c r="V606" s="1" t="str">
        <f>IFERROR(__xludf.DUMMYFUNCTION("INDEX(SPLIT(A606, ""/""), 4)"),"میدان انقلاب")</f>
        <v>میدان انقلاب</v>
      </c>
    </row>
    <row r="607">
      <c r="A607" s="1" t="s">
        <v>1892</v>
      </c>
      <c r="B607" s="1" t="s">
        <v>2040</v>
      </c>
      <c r="C607" s="1" t="s">
        <v>21</v>
      </c>
      <c r="D607" s="4" t="s">
        <v>2041</v>
      </c>
      <c r="E607" s="1" t="s">
        <v>1634</v>
      </c>
      <c r="F607" s="1" t="s">
        <v>1772</v>
      </c>
      <c r="G607" s="1" t="s">
        <v>752</v>
      </c>
      <c r="H607" s="1" t="s">
        <v>1805</v>
      </c>
      <c r="I607" s="1" t="str">
        <f t="shared" si="1"/>
        <v>19</v>
      </c>
      <c r="J607" s="5"/>
      <c r="K607" s="1" t="str">
        <f t="shared" si="2"/>
        <v>9</v>
      </c>
      <c r="L607" s="5"/>
      <c r="M607" s="2" t="str">
        <f t="shared" si="3"/>
        <v>1397</v>
      </c>
      <c r="N607" s="5"/>
      <c r="O607" s="2">
        <v>55.0</v>
      </c>
      <c r="P607" s="5"/>
      <c r="Q607" s="5"/>
      <c r="R607" s="6" t="s">
        <v>1805</v>
      </c>
      <c r="S607" s="5"/>
      <c r="T607" s="1" t="str">
        <f>IFERROR(__xludf.DUMMYFUNCTION("INDEX(SPLIT(A607, ""/""), 2)"),"تشکل‌های اسلامی و سیاسی")</f>
        <v>تشکل‌های اسلامی و سیاسی</v>
      </c>
      <c r="U607" s="1" t="str">
        <f>IFERROR(__xludf.DUMMYFUNCTION("INDEX(SPLIT(A607, ""/""), 3)"),"بسیج دانشجویی")</f>
        <v>بسیج دانشجویی</v>
      </c>
      <c r="V607" s="1" t="str">
        <f>IFERROR(__xludf.DUMMYFUNCTION("INDEX(SPLIT(A607, ""/""), 4)"),"میدان انقلاب")</f>
        <v>میدان انقلاب</v>
      </c>
    </row>
    <row r="608">
      <c r="A608" s="1" t="s">
        <v>1892</v>
      </c>
      <c r="B608" s="1" t="s">
        <v>2042</v>
      </c>
      <c r="C608" s="1" t="s">
        <v>21</v>
      </c>
      <c r="D608" s="4" t="s">
        <v>2043</v>
      </c>
      <c r="E608" s="1" t="s">
        <v>1634</v>
      </c>
      <c r="F608" s="1" t="s">
        <v>1772</v>
      </c>
      <c r="G608" s="1" t="s">
        <v>752</v>
      </c>
      <c r="H608" s="1" t="s">
        <v>1290</v>
      </c>
      <c r="I608" s="1" t="str">
        <f t="shared" si="1"/>
        <v>26</v>
      </c>
      <c r="J608" s="5"/>
      <c r="K608" s="1" t="str">
        <f t="shared" si="2"/>
        <v>9</v>
      </c>
      <c r="L608" s="5"/>
      <c r="M608" s="2" t="str">
        <f t="shared" si="3"/>
        <v>1397</v>
      </c>
      <c r="N608" s="5"/>
      <c r="O608" s="2">
        <v>56.0</v>
      </c>
      <c r="P608" s="5"/>
      <c r="Q608" s="5"/>
      <c r="R608" s="6" t="s">
        <v>1290</v>
      </c>
      <c r="S608" s="5"/>
      <c r="T608" s="1" t="str">
        <f>IFERROR(__xludf.DUMMYFUNCTION("INDEX(SPLIT(A608, ""/""), 2)"),"تشکل‌های اسلامی و سیاسی")</f>
        <v>تشکل‌های اسلامی و سیاسی</v>
      </c>
      <c r="U608" s="1" t="str">
        <f>IFERROR(__xludf.DUMMYFUNCTION("INDEX(SPLIT(A608, ""/""), 3)"),"بسیج دانشجویی")</f>
        <v>بسیج دانشجویی</v>
      </c>
      <c r="V608" s="1" t="str">
        <f>IFERROR(__xludf.DUMMYFUNCTION("INDEX(SPLIT(A608, ""/""), 4)"),"میدان انقلاب")</f>
        <v>میدان انقلاب</v>
      </c>
    </row>
    <row r="609">
      <c r="A609" s="1" t="s">
        <v>1892</v>
      </c>
      <c r="B609" s="1" t="s">
        <v>2044</v>
      </c>
      <c r="C609" s="1" t="s">
        <v>21</v>
      </c>
      <c r="D609" s="4" t="s">
        <v>2045</v>
      </c>
      <c r="E609" s="1" t="s">
        <v>1634</v>
      </c>
      <c r="F609" s="1" t="s">
        <v>1772</v>
      </c>
      <c r="G609" s="1" t="s">
        <v>752</v>
      </c>
      <c r="H609" s="7" t="s">
        <v>2046</v>
      </c>
      <c r="I609" s="1" t="str">
        <f t="shared" si="1"/>
        <v>3</v>
      </c>
      <c r="J609" s="5"/>
      <c r="K609" s="1" t="str">
        <f t="shared" si="2"/>
        <v>10</v>
      </c>
      <c r="L609" s="5"/>
      <c r="M609" s="2" t="str">
        <f t="shared" si="3"/>
        <v>1397</v>
      </c>
      <c r="N609" s="5"/>
      <c r="O609" s="2">
        <v>57.0</v>
      </c>
      <c r="P609" s="5"/>
      <c r="Q609" s="5"/>
      <c r="R609" s="8" t="s">
        <v>2046</v>
      </c>
      <c r="S609" s="5"/>
      <c r="T609" s="1" t="str">
        <f>IFERROR(__xludf.DUMMYFUNCTION("INDEX(SPLIT(A609, ""/""), 2)"),"تشکل‌های اسلامی و سیاسی")</f>
        <v>تشکل‌های اسلامی و سیاسی</v>
      </c>
      <c r="U609" s="1" t="str">
        <f>IFERROR(__xludf.DUMMYFUNCTION("INDEX(SPLIT(A609, ""/""), 3)"),"بسیج دانشجویی")</f>
        <v>بسیج دانشجویی</v>
      </c>
      <c r="V609" s="1" t="str">
        <f>IFERROR(__xludf.DUMMYFUNCTION("INDEX(SPLIT(A609, ""/""), 4)"),"میدان انقلاب")</f>
        <v>میدان انقلاب</v>
      </c>
    </row>
    <row r="610">
      <c r="A610" s="1" t="s">
        <v>1892</v>
      </c>
      <c r="B610" s="1" t="s">
        <v>2047</v>
      </c>
      <c r="C610" s="1" t="s">
        <v>21</v>
      </c>
      <c r="D610" s="4" t="s">
        <v>2048</v>
      </c>
      <c r="E610" s="1" t="s">
        <v>1634</v>
      </c>
      <c r="F610" s="1" t="s">
        <v>1772</v>
      </c>
      <c r="G610" s="1" t="s">
        <v>752</v>
      </c>
      <c r="H610" s="1" t="s">
        <v>2049</v>
      </c>
      <c r="I610" s="1" t="str">
        <f t="shared" si="1"/>
        <v>28</v>
      </c>
      <c r="J610" s="5"/>
      <c r="K610" s="1" t="str">
        <f t="shared" si="2"/>
        <v>11</v>
      </c>
      <c r="L610" s="5"/>
      <c r="M610" s="2" t="str">
        <f t="shared" si="3"/>
        <v>1397</v>
      </c>
      <c r="N610" s="5"/>
      <c r="O610" s="2">
        <v>58.0</v>
      </c>
      <c r="P610" s="5"/>
      <c r="Q610" s="5"/>
      <c r="R610" s="6" t="s">
        <v>2049</v>
      </c>
      <c r="S610" s="5"/>
      <c r="T610" s="1" t="str">
        <f>IFERROR(__xludf.DUMMYFUNCTION("INDEX(SPLIT(A610, ""/""), 2)"),"تشکل‌های اسلامی و سیاسی")</f>
        <v>تشکل‌های اسلامی و سیاسی</v>
      </c>
      <c r="U610" s="1" t="str">
        <f>IFERROR(__xludf.DUMMYFUNCTION("INDEX(SPLIT(A610, ""/""), 3)"),"بسیج دانشجویی")</f>
        <v>بسیج دانشجویی</v>
      </c>
      <c r="V610" s="1" t="str">
        <f>IFERROR(__xludf.DUMMYFUNCTION("INDEX(SPLIT(A610, ""/""), 4)"),"میدان انقلاب")</f>
        <v>میدان انقلاب</v>
      </c>
    </row>
    <row r="611">
      <c r="A611" s="1" t="s">
        <v>1892</v>
      </c>
      <c r="B611" s="1" t="s">
        <v>2050</v>
      </c>
      <c r="C611" s="1" t="s">
        <v>21</v>
      </c>
      <c r="D611" s="4" t="s">
        <v>2051</v>
      </c>
      <c r="E611" s="1" t="s">
        <v>1634</v>
      </c>
      <c r="F611" s="1" t="s">
        <v>1772</v>
      </c>
      <c r="G611" s="1" t="s">
        <v>752</v>
      </c>
      <c r="H611" s="7" t="s">
        <v>2052</v>
      </c>
      <c r="I611" s="1" t="str">
        <f t="shared" si="1"/>
        <v>6</v>
      </c>
      <c r="J611" s="5"/>
      <c r="K611" s="1" t="str">
        <f t="shared" si="2"/>
        <v>12</v>
      </c>
      <c r="L611" s="5"/>
      <c r="M611" s="2" t="str">
        <f t="shared" si="3"/>
        <v>1397</v>
      </c>
      <c r="N611" s="5"/>
      <c r="O611" s="2">
        <v>59.0</v>
      </c>
      <c r="P611" s="5"/>
      <c r="Q611" s="5"/>
      <c r="R611" s="8" t="s">
        <v>2052</v>
      </c>
      <c r="S611" s="5"/>
      <c r="T611" s="1" t="str">
        <f>IFERROR(__xludf.DUMMYFUNCTION("INDEX(SPLIT(A611, ""/""), 2)"),"تشکل‌های اسلامی و سیاسی")</f>
        <v>تشکل‌های اسلامی و سیاسی</v>
      </c>
      <c r="U611" s="1" t="str">
        <f>IFERROR(__xludf.DUMMYFUNCTION("INDEX(SPLIT(A611, ""/""), 3)"),"بسیج دانشجویی")</f>
        <v>بسیج دانشجویی</v>
      </c>
      <c r="V611" s="1" t="str">
        <f>IFERROR(__xludf.DUMMYFUNCTION("INDEX(SPLIT(A611, ""/""), 4)"),"میدان انقلاب")</f>
        <v>میدان انقلاب</v>
      </c>
    </row>
    <row r="612">
      <c r="A612" s="1" t="s">
        <v>1892</v>
      </c>
      <c r="B612" s="1" t="s">
        <v>2053</v>
      </c>
      <c r="C612" s="1" t="s">
        <v>21</v>
      </c>
      <c r="D612" s="4" t="s">
        <v>2054</v>
      </c>
      <c r="E612" s="1" t="s">
        <v>1634</v>
      </c>
      <c r="F612" s="1" t="s">
        <v>1772</v>
      </c>
      <c r="G612" s="1" t="s">
        <v>752</v>
      </c>
      <c r="H612" s="1" t="s">
        <v>2055</v>
      </c>
      <c r="I612" s="1" t="str">
        <f t="shared" si="1"/>
        <v>13</v>
      </c>
      <c r="J612" s="5"/>
      <c r="K612" s="1" t="str">
        <f t="shared" si="2"/>
        <v>12</v>
      </c>
      <c r="L612" s="5"/>
      <c r="M612" s="2" t="str">
        <f t="shared" si="3"/>
        <v>1397</v>
      </c>
      <c r="N612" s="5"/>
      <c r="O612" s="2">
        <v>60.0</v>
      </c>
      <c r="P612" s="5"/>
      <c r="Q612" s="5"/>
      <c r="R612" s="6" t="s">
        <v>2055</v>
      </c>
      <c r="S612" s="5"/>
      <c r="T612" s="1" t="str">
        <f>IFERROR(__xludf.DUMMYFUNCTION("INDEX(SPLIT(A612, ""/""), 2)"),"تشکل‌های اسلامی و سیاسی")</f>
        <v>تشکل‌های اسلامی و سیاسی</v>
      </c>
      <c r="U612" s="1" t="str">
        <f>IFERROR(__xludf.DUMMYFUNCTION("INDEX(SPLIT(A612, ""/""), 3)"),"بسیج دانشجویی")</f>
        <v>بسیج دانشجویی</v>
      </c>
      <c r="V612" s="1" t="str">
        <f>IFERROR(__xludf.DUMMYFUNCTION("INDEX(SPLIT(A612, ""/""), 4)"),"میدان انقلاب")</f>
        <v>میدان انقلاب</v>
      </c>
    </row>
    <row r="613">
      <c r="A613" s="1" t="s">
        <v>1892</v>
      </c>
      <c r="B613" s="1" t="s">
        <v>2056</v>
      </c>
      <c r="C613" s="1" t="s">
        <v>21</v>
      </c>
      <c r="D613" s="4" t="s">
        <v>2057</v>
      </c>
      <c r="E613" s="1" t="s">
        <v>1634</v>
      </c>
      <c r="F613" s="1" t="s">
        <v>1772</v>
      </c>
      <c r="G613" s="1" t="s">
        <v>752</v>
      </c>
      <c r="H613" s="1" t="s">
        <v>1303</v>
      </c>
      <c r="I613" s="1" t="str">
        <f t="shared" si="1"/>
        <v>26</v>
      </c>
      <c r="J613" s="5"/>
      <c r="K613" s="1" t="str">
        <f t="shared" si="2"/>
        <v>1</v>
      </c>
      <c r="L613" s="5"/>
      <c r="M613" s="2" t="str">
        <f t="shared" si="3"/>
        <v>1398</v>
      </c>
      <c r="N613" s="5"/>
      <c r="O613" s="2">
        <v>61.0</v>
      </c>
      <c r="P613" s="5"/>
      <c r="Q613" s="5"/>
      <c r="R613" s="6" t="s">
        <v>1303</v>
      </c>
      <c r="S613" s="5"/>
      <c r="T613" s="1" t="str">
        <f>IFERROR(__xludf.DUMMYFUNCTION("INDEX(SPLIT(A613, ""/""), 2)"),"تشکل‌های اسلامی و سیاسی")</f>
        <v>تشکل‌های اسلامی و سیاسی</v>
      </c>
      <c r="U613" s="1" t="str">
        <f>IFERROR(__xludf.DUMMYFUNCTION("INDEX(SPLIT(A613, ""/""), 3)"),"بسیج دانشجویی")</f>
        <v>بسیج دانشجویی</v>
      </c>
      <c r="V613" s="1" t="str">
        <f>IFERROR(__xludf.DUMMYFUNCTION("INDEX(SPLIT(A613, ""/""), 4)"),"میدان انقلاب")</f>
        <v>میدان انقلاب</v>
      </c>
    </row>
    <row r="614">
      <c r="A614" s="1" t="s">
        <v>1892</v>
      </c>
      <c r="B614" s="1" t="s">
        <v>2058</v>
      </c>
      <c r="C614" s="1" t="s">
        <v>21</v>
      </c>
      <c r="D614" s="4" t="s">
        <v>2059</v>
      </c>
      <c r="E614" s="1" t="s">
        <v>1634</v>
      </c>
      <c r="F614" s="1" t="s">
        <v>1772</v>
      </c>
      <c r="G614" s="1" t="s">
        <v>752</v>
      </c>
      <c r="H614" s="7" t="s">
        <v>2060</v>
      </c>
      <c r="I614" s="1" t="str">
        <f t="shared" si="1"/>
        <v>10</v>
      </c>
      <c r="J614" s="5"/>
      <c r="K614" s="1" t="str">
        <f t="shared" si="2"/>
        <v>2</v>
      </c>
      <c r="L614" s="5"/>
      <c r="M614" s="2" t="str">
        <f t="shared" si="3"/>
        <v>1398</v>
      </c>
      <c r="N614" s="5"/>
      <c r="O614" s="2">
        <v>62.0</v>
      </c>
      <c r="P614" s="5"/>
      <c r="Q614" s="5"/>
      <c r="R614" s="8" t="s">
        <v>2060</v>
      </c>
      <c r="S614" s="5"/>
      <c r="T614" s="1" t="str">
        <f>IFERROR(__xludf.DUMMYFUNCTION("INDEX(SPLIT(A614, ""/""), 2)"),"تشکل‌های اسلامی و سیاسی")</f>
        <v>تشکل‌های اسلامی و سیاسی</v>
      </c>
      <c r="U614" s="1" t="str">
        <f>IFERROR(__xludf.DUMMYFUNCTION("INDEX(SPLIT(A614, ""/""), 3)"),"بسیج دانشجویی")</f>
        <v>بسیج دانشجویی</v>
      </c>
      <c r="V614" s="1" t="str">
        <f>IFERROR(__xludf.DUMMYFUNCTION("INDEX(SPLIT(A614, ""/""), 4)"),"میدان انقلاب")</f>
        <v>میدان انقلاب</v>
      </c>
    </row>
    <row r="615">
      <c r="A615" s="1" t="s">
        <v>1892</v>
      </c>
      <c r="B615" s="1" t="s">
        <v>2061</v>
      </c>
      <c r="C615" s="1" t="s">
        <v>21</v>
      </c>
      <c r="D615" s="4" t="s">
        <v>2062</v>
      </c>
      <c r="E615" s="1" t="s">
        <v>1634</v>
      </c>
      <c r="F615" s="1" t="s">
        <v>1772</v>
      </c>
      <c r="G615" s="1" t="s">
        <v>752</v>
      </c>
      <c r="H615" s="7" t="s">
        <v>782</v>
      </c>
      <c r="I615" s="1" t="str">
        <f t="shared" si="1"/>
        <v>7</v>
      </c>
      <c r="J615" s="5"/>
      <c r="K615" s="1" t="str">
        <f t="shared" si="2"/>
        <v>3</v>
      </c>
      <c r="L615" s="5"/>
      <c r="M615" s="2" t="str">
        <f t="shared" si="3"/>
        <v>1398</v>
      </c>
      <c r="N615" s="5"/>
      <c r="O615" s="2">
        <v>63.0</v>
      </c>
      <c r="P615" s="5"/>
      <c r="Q615" s="5"/>
      <c r="R615" s="8" t="s">
        <v>782</v>
      </c>
      <c r="S615" s="5"/>
      <c r="T615" s="1" t="str">
        <f>IFERROR(__xludf.DUMMYFUNCTION("INDEX(SPLIT(A615, ""/""), 2)"),"تشکل‌های اسلامی و سیاسی")</f>
        <v>تشکل‌های اسلامی و سیاسی</v>
      </c>
      <c r="U615" s="1" t="str">
        <f>IFERROR(__xludf.DUMMYFUNCTION("INDEX(SPLIT(A615, ""/""), 3)"),"بسیج دانشجویی")</f>
        <v>بسیج دانشجویی</v>
      </c>
      <c r="V615" s="1" t="str">
        <f>IFERROR(__xludf.DUMMYFUNCTION("INDEX(SPLIT(A615, ""/""), 4)"),"میدان انقلاب")</f>
        <v>میدان انقلاب</v>
      </c>
    </row>
    <row r="616">
      <c r="A616" s="1" t="s">
        <v>1892</v>
      </c>
      <c r="B616" s="1" t="s">
        <v>2063</v>
      </c>
      <c r="C616" s="1" t="s">
        <v>21</v>
      </c>
      <c r="D616" s="4" t="s">
        <v>2064</v>
      </c>
      <c r="E616" s="1" t="s">
        <v>1634</v>
      </c>
      <c r="F616" s="1" t="s">
        <v>1789</v>
      </c>
      <c r="G616" s="1" t="s">
        <v>752</v>
      </c>
      <c r="H616" s="7" t="s">
        <v>1312</v>
      </c>
      <c r="I616" s="1" t="str">
        <f t="shared" si="1"/>
        <v>8</v>
      </c>
      <c r="J616" s="5"/>
      <c r="K616" s="1" t="str">
        <f t="shared" si="2"/>
        <v>7</v>
      </c>
      <c r="L616" s="5"/>
      <c r="M616" s="2" t="str">
        <f t="shared" si="3"/>
        <v>1398</v>
      </c>
      <c r="N616" s="5"/>
      <c r="O616" s="2">
        <v>64.0</v>
      </c>
      <c r="P616" s="5"/>
      <c r="Q616" s="5"/>
      <c r="R616" s="8" t="s">
        <v>1312</v>
      </c>
      <c r="S616" s="5"/>
      <c r="T616" s="1" t="str">
        <f>IFERROR(__xludf.DUMMYFUNCTION("INDEX(SPLIT(A616, ""/""), 2)"),"تشکل‌های اسلامی و سیاسی")</f>
        <v>تشکل‌های اسلامی و سیاسی</v>
      </c>
      <c r="U616" s="1" t="str">
        <f>IFERROR(__xludf.DUMMYFUNCTION("INDEX(SPLIT(A616, ""/""), 3)"),"بسیج دانشجویی")</f>
        <v>بسیج دانشجویی</v>
      </c>
      <c r="V616" s="1" t="str">
        <f>IFERROR(__xludf.DUMMYFUNCTION("INDEX(SPLIT(A616, ""/""), 4)"),"میدان انقلاب")</f>
        <v>میدان انقلاب</v>
      </c>
    </row>
    <row r="617">
      <c r="A617" s="1" t="s">
        <v>1892</v>
      </c>
      <c r="B617" s="1" t="s">
        <v>2065</v>
      </c>
      <c r="C617" s="1" t="s">
        <v>21</v>
      </c>
      <c r="D617" s="4" t="s">
        <v>2066</v>
      </c>
      <c r="E617" s="1" t="s">
        <v>1634</v>
      </c>
      <c r="F617" s="1" t="s">
        <v>1789</v>
      </c>
      <c r="G617" s="1" t="s">
        <v>752</v>
      </c>
      <c r="H617" s="1" t="s">
        <v>1502</v>
      </c>
      <c r="I617" s="1" t="str">
        <f t="shared" si="1"/>
        <v>21</v>
      </c>
      <c r="J617" s="5"/>
      <c r="K617" s="1" t="str">
        <f t="shared" si="2"/>
        <v>7</v>
      </c>
      <c r="L617" s="5"/>
      <c r="M617" s="2" t="str">
        <f t="shared" si="3"/>
        <v>1398</v>
      </c>
      <c r="N617" s="5"/>
      <c r="O617" s="2">
        <v>65.0</v>
      </c>
      <c r="P617" s="5"/>
      <c r="Q617" s="5"/>
      <c r="R617" s="6" t="s">
        <v>1502</v>
      </c>
      <c r="S617" s="5"/>
      <c r="T617" s="1" t="str">
        <f>IFERROR(__xludf.DUMMYFUNCTION("INDEX(SPLIT(A617, ""/""), 2)"),"تشکل‌های اسلامی و سیاسی")</f>
        <v>تشکل‌های اسلامی و سیاسی</v>
      </c>
      <c r="U617" s="1" t="str">
        <f>IFERROR(__xludf.DUMMYFUNCTION("INDEX(SPLIT(A617, ""/""), 3)"),"بسیج دانشجویی")</f>
        <v>بسیج دانشجویی</v>
      </c>
      <c r="V617" s="1" t="str">
        <f>IFERROR(__xludf.DUMMYFUNCTION("INDEX(SPLIT(A617, ""/""), 4)"),"میدان انقلاب")</f>
        <v>میدان انقلاب</v>
      </c>
    </row>
    <row r="618">
      <c r="A618" s="1" t="s">
        <v>1892</v>
      </c>
      <c r="B618" s="1" t="s">
        <v>2067</v>
      </c>
      <c r="C618" s="1" t="s">
        <v>21</v>
      </c>
      <c r="D618" s="4" t="s">
        <v>2068</v>
      </c>
      <c r="E618" s="1" t="s">
        <v>1634</v>
      </c>
      <c r="F618" s="1" t="s">
        <v>1789</v>
      </c>
      <c r="G618" s="1" t="s">
        <v>752</v>
      </c>
      <c r="H618" s="7" t="s">
        <v>2069</v>
      </c>
      <c r="I618" s="1" t="str">
        <f t="shared" si="1"/>
        <v>12</v>
      </c>
      <c r="J618" s="5"/>
      <c r="K618" s="1" t="str">
        <f t="shared" si="2"/>
        <v>8</v>
      </c>
      <c r="L618" s="5"/>
      <c r="M618" s="2" t="str">
        <f t="shared" si="3"/>
        <v>1398</v>
      </c>
      <c r="N618" s="5"/>
      <c r="O618" s="2">
        <v>66.0</v>
      </c>
      <c r="P618" s="5"/>
      <c r="Q618" s="5"/>
      <c r="R618" s="8" t="s">
        <v>2069</v>
      </c>
      <c r="S618" s="5"/>
      <c r="T618" s="1" t="str">
        <f>IFERROR(__xludf.DUMMYFUNCTION("INDEX(SPLIT(A618, ""/""), 2)"),"تشکل‌های اسلامی و سیاسی")</f>
        <v>تشکل‌های اسلامی و سیاسی</v>
      </c>
      <c r="U618" s="1" t="str">
        <f>IFERROR(__xludf.DUMMYFUNCTION("INDEX(SPLIT(A618, ""/""), 3)"),"بسیج دانشجویی")</f>
        <v>بسیج دانشجویی</v>
      </c>
      <c r="V618" s="1" t="str">
        <f>IFERROR(__xludf.DUMMYFUNCTION("INDEX(SPLIT(A618, ""/""), 4)"),"میدان انقلاب")</f>
        <v>میدان انقلاب</v>
      </c>
    </row>
    <row r="619">
      <c r="A619" s="1" t="s">
        <v>1892</v>
      </c>
      <c r="B619" s="1" t="s">
        <v>2070</v>
      </c>
      <c r="C619" s="1" t="s">
        <v>21</v>
      </c>
      <c r="D619" s="4" t="s">
        <v>2071</v>
      </c>
      <c r="E619" s="1" t="s">
        <v>1634</v>
      </c>
      <c r="F619" s="1" t="s">
        <v>1789</v>
      </c>
      <c r="G619" s="1" t="s">
        <v>752</v>
      </c>
      <c r="H619" s="1" t="s">
        <v>2072</v>
      </c>
      <c r="I619" s="1" t="str">
        <f t="shared" si="1"/>
        <v>26</v>
      </c>
      <c r="J619" s="5"/>
      <c r="K619" s="1" t="str">
        <f t="shared" si="2"/>
        <v>8</v>
      </c>
      <c r="L619" s="5"/>
      <c r="M619" s="2" t="str">
        <f t="shared" si="3"/>
        <v>1398</v>
      </c>
      <c r="N619" s="5"/>
      <c r="O619" s="2">
        <v>67.0</v>
      </c>
      <c r="P619" s="5"/>
      <c r="Q619" s="5"/>
      <c r="R619" s="6" t="s">
        <v>2072</v>
      </c>
      <c r="S619" s="5"/>
      <c r="T619" s="1" t="str">
        <f>IFERROR(__xludf.DUMMYFUNCTION("INDEX(SPLIT(A619, ""/""), 2)"),"تشکل‌های اسلامی و سیاسی")</f>
        <v>تشکل‌های اسلامی و سیاسی</v>
      </c>
      <c r="U619" s="1" t="str">
        <f>IFERROR(__xludf.DUMMYFUNCTION("INDEX(SPLIT(A619, ""/""), 3)"),"بسیج دانشجویی")</f>
        <v>بسیج دانشجویی</v>
      </c>
      <c r="V619" s="1" t="str">
        <f>IFERROR(__xludf.DUMMYFUNCTION("INDEX(SPLIT(A619, ""/""), 4)"),"میدان انقلاب")</f>
        <v>میدان انقلاب</v>
      </c>
    </row>
    <row r="620">
      <c r="A620" s="1" t="s">
        <v>1892</v>
      </c>
      <c r="B620" s="1" t="s">
        <v>2073</v>
      </c>
      <c r="C620" s="1" t="s">
        <v>21</v>
      </c>
      <c r="D620" s="4" t="s">
        <v>2074</v>
      </c>
      <c r="E620" s="1" t="s">
        <v>1634</v>
      </c>
      <c r="F620" s="1" t="s">
        <v>1789</v>
      </c>
      <c r="G620" s="1" t="s">
        <v>752</v>
      </c>
      <c r="H620" s="7" t="s">
        <v>2075</v>
      </c>
      <c r="I620" s="1" t="str">
        <f t="shared" si="1"/>
        <v>11</v>
      </c>
      <c r="J620" s="5"/>
      <c r="K620" s="1" t="str">
        <f t="shared" si="2"/>
        <v>9</v>
      </c>
      <c r="L620" s="5"/>
      <c r="M620" s="2" t="str">
        <f t="shared" si="3"/>
        <v>1398</v>
      </c>
      <c r="N620" s="5"/>
      <c r="O620" s="2">
        <v>68.0</v>
      </c>
      <c r="P620" s="5"/>
      <c r="Q620" s="5"/>
      <c r="R620" s="8" t="s">
        <v>2075</v>
      </c>
      <c r="S620" s="5"/>
      <c r="T620" s="1" t="str">
        <f>IFERROR(__xludf.DUMMYFUNCTION("INDEX(SPLIT(A620, ""/""), 2)"),"تشکل‌های اسلامی و سیاسی")</f>
        <v>تشکل‌های اسلامی و سیاسی</v>
      </c>
      <c r="U620" s="1" t="str">
        <f>IFERROR(__xludf.DUMMYFUNCTION("INDEX(SPLIT(A620, ""/""), 3)"),"بسیج دانشجویی")</f>
        <v>بسیج دانشجویی</v>
      </c>
      <c r="V620" s="1" t="str">
        <f>IFERROR(__xludf.DUMMYFUNCTION("INDEX(SPLIT(A620, ""/""), 4)"),"میدان انقلاب")</f>
        <v>میدان انقلاب</v>
      </c>
    </row>
    <row r="621">
      <c r="A621" s="1" t="s">
        <v>1892</v>
      </c>
      <c r="B621" s="1" t="s">
        <v>2076</v>
      </c>
      <c r="C621" s="1" t="s">
        <v>21</v>
      </c>
      <c r="D621" s="4" t="s">
        <v>2077</v>
      </c>
      <c r="E621" s="1" t="s">
        <v>1634</v>
      </c>
      <c r="F621" s="1" t="s">
        <v>1789</v>
      </c>
      <c r="G621" s="1" t="s">
        <v>752</v>
      </c>
      <c r="H621" s="1" t="s">
        <v>2078</v>
      </c>
      <c r="I621" s="1" t="str">
        <f t="shared" si="1"/>
        <v>19</v>
      </c>
      <c r="J621" s="5"/>
      <c r="K621" s="1" t="str">
        <f t="shared" si="2"/>
        <v>9</v>
      </c>
      <c r="L621" s="5"/>
      <c r="M621" s="2" t="str">
        <f t="shared" si="3"/>
        <v>1398</v>
      </c>
      <c r="N621" s="5"/>
      <c r="O621" s="2" t="s">
        <v>2079</v>
      </c>
      <c r="P621" s="5"/>
      <c r="Q621" s="5"/>
      <c r="R621" s="6" t="s">
        <v>2078</v>
      </c>
      <c r="S621" s="5"/>
      <c r="T621" s="1" t="str">
        <f>IFERROR(__xludf.DUMMYFUNCTION("INDEX(SPLIT(A621, ""/""), 2)"),"تشکل‌های اسلامی و سیاسی")</f>
        <v>تشکل‌های اسلامی و سیاسی</v>
      </c>
      <c r="U621" s="1" t="str">
        <f>IFERROR(__xludf.DUMMYFUNCTION("INDEX(SPLIT(A621, ""/""), 3)"),"بسیج دانشجویی")</f>
        <v>بسیج دانشجویی</v>
      </c>
      <c r="V621" s="1" t="str">
        <f>IFERROR(__xludf.DUMMYFUNCTION("INDEX(SPLIT(A621, ""/""), 4)"),"میدان انقلاب")</f>
        <v>میدان انقلاب</v>
      </c>
    </row>
    <row r="622">
      <c r="A622" s="1" t="s">
        <v>1892</v>
      </c>
      <c r="B622" s="1" t="s">
        <v>2080</v>
      </c>
      <c r="C622" s="1" t="s">
        <v>21</v>
      </c>
      <c r="D622" s="4" t="s">
        <v>2081</v>
      </c>
      <c r="E622" s="1" t="s">
        <v>1634</v>
      </c>
      <c r="F622" s="1" t="s">
        <v>1789</v>
      </c>
      <c r="G622" s="1" t="s">
        <v>752</v>
      </c>
      <c r="H622" s="7" t="s">
        <v>2082</v>
      </c>
      <c r="I622" s="1" t="str">
        <f t="shared" si="1"/>
        <v>1</v>
      </c>
      <c r="J622" s="5"/>
      <c r="K622" s="1" t="str">
        <f t="shared" si="2"/>
        <v>10</v>
      </c>
      <c r="L622" s="5"/>
      <c r="M622" s="2" t="str">
        <f t="shared" si="3"/>
        <v>1398</v>
      </c>
      <c r="N622" s="5"/>
      <c r="O622" s="2">
        <v>69.0</v>
      </c>
      <c r="P622" s="5"/>
      <c r="Q622" s="5"/>
      <c r="R622" s="8" t="s">
        <v>2082</v>
      </c>
      <c r="S622" s="5"/>
      <c r="T622" s="1" t="str">
        <f>IFERROR(__xludf.DUMMYFUNCTION("INDEX(SPLIT(A622, ""/""), 2)"),"تشکل‌های اسلامی و سیاسی")</f>
        <v>تشکل‌های اسلامی و سیاسی</v>
      </c>
      <c r="U622" s="1" t="str">
        <f>IFERROR(__xludf.DUMMYFUNCTION("INDEX(SPLIT(A622, ""/""), 3)"),"بسیج دانشجویی")</f>
        <v>بسیج دانشجویی</v>
      </c>
      <c r="V622" s="1" t="str">
        <f>IFERROR(__xludf.DUMMYFUNCTION("INDEX(SPLIT(A622, ""/""), 4)"),"میدان انقلاب")</f>
        <v>میدان انقلاب</v>
      </c>
    </row>
    <row r="623">
      <c r="A623" s="1" t="s">
        <v>1892</v>
      </c>
      <c r="B623" s="1" t="s">
        <v>2083</v>
      </c>
      <c r="C623" s="1" t="s">
        <v>21</v>
      </c>
      <c r="D623" s="4" t="s">
        <v>2084</v>
      </c>
      <c r="E623" s="1" t="s">
        <v>1634</v>
      </c>
      <c r="F623" s="1" t="s">
        <v>1789</v>
      </c>
      <c r="G623" s="1" t="s">
        <v>752</v>
      </c>
      <c r="H623" s="1" t="s">
        <v>2085</v>
      </c>
      <c r="I623" s="1" t="str">
        <f t="shared" si="1"/>
        <v>20</v>
      </c>
      <c r="J623" s="5"/>
      <c r="K623" s="1" t="str">
        <f t="shared" si="2"/>
        <v>11</v>
      </c>
      <c r="L623" s="5"/>
      <c r="M623" s="2" t="str">
        <f t="shared" si="3"/>
        <v>1398</v>
      </c>
      <c r="N623" s="5"/>
      <c r="O623" s="2">
        <v>70.0</v>
      </c>
      <c r="P623" s="5"/>
      <c r="Q623" s="5"/>
      <c r="R623" s="6" t="s">
        <v>2085</v>
      </c>
      <c r="S623" s="5"/>
      <c r="T623" s="1" t="str">
        <f>IFERROR(__xludf.DUMMYFUNCTION("INDEX(SPLIT(A623, ""/""), 2)"),"تشکل‌های اسلامی و سیاسی")</f>
        <v>تشکل‌های اسلامی و سیاسی</v>
      </c>
      <c r="U623" s="1" t="str">
        <f>IFERROR(__xludf.DUMMYFUNCTION("INDEX(SPLIT(A623, ""/""), 3)"),"بسیج دانشجویی")</f>
        <v>بسیج دانشجویی</v>
      </c>
      <c r="V623" s="1" t="str">
        <f>IFERROR(__xludf.DUMMYFUNCTION("INDEX(SPLIT(A623, ""/""), 4)"),"میدان انقلاب")</f>
        <v>میدان انقلاب</v>
      </c>
    </row>
    <row r="624">
      <c r="A624" s="1" t="s">
        <v>1892</v>
      </c>
      <c r="B624" s="1" t="s">
        <v>2086</v>
      </c>
      <c r="C624" s="1" t="s">
        <v>21</v>
      </c>
      <c r="D624" s="4" t="s">
        <v>2087</v>
      </c>
      <c r="E624" s="1" t="s">
        <v>1634</v>
      </c>
      <c r="F624" s="1" t="s">
        <v>1789</v>
      </c>
      <c r="G624" s="1" t="s">
        <v>752</v>
      </c>
      <c r="H624" s="1" t="s">
        <v>2088</v>
      </c>
      <c r="I624" s="1" t="str">
        <f t="shared" si="1"/>
        <v>29</v>
      </c>
      <c r="J624" s="5"/>
      <c r="K624" s="1" t="str">
        <f t="shared" si="2"/>
        <v>11</v>
      </c>
      <c r="L624" s="5"/>
      <c r="M624" s="2" t="str">
        <f t="shared" si="3"/>
        <v>1398</v>
      </c>
      <c r="N624" s="5"/>
      <c r="O624" s="2">
        <v>71.0</v>
      </c>
      <c r="P624" s="5"/>
      <c r="Q624" s="5"/>
      <c r="R624" s="6" t="s">
        <v>2088</v>
      </c>
      <c r="S624" s="5"/>
      <c r="T624" s="1" t="str">
        <f>IFERROR(__xludf.DUMMYFUNCTION("INDEX(SPLIT(A624, ""/""), 2)"),"تشکل‌های اسلامی و سیاسی")</f>
        <v>تشکل‌های اسلامی و سیاسی</v>
      </c>
      <c r="U624" s="1" t="str">
        <f>IFERROR(__xludf.DUMMYFUNCTION("INDEX(SPLIT(A624, ""/""), 3)"),"بسیج دانشجویی")</f>
        <v>بسیج دانشجویی</v>
      </c>
      <c r="V624" s="1" t="str">
        <f>IFERROR(__xludf.DUMMYFUNCTION("INDEX(SPLIT(A624, ""/""), 4)"),"میدان انقلاب")</f>
        <v>میدان انقلاب</v>
      </c>
    </row>
    <row r="625">
      <c r="A625" s="1" t="s">
        <v>1892</v>
      </c>
      <c r="B625" s="1" t="s">
        <v>2089</v>
      </c>
      <c r="C625" s="1" t="s">
        <v>21</v>
      </c>
      <c r="D625" s="4" t="s">
        <v>2090</v>
      </c>
      <c r="E625" s="1" t="s">
        <v>1634</v>
      </c>
      <c r="F625" s="1" t="s">
        <v>1789</v>
      </c>
      <c r="G625" s="1" t="s">
        <v>752</v>
      </c>
      <c r="H625" s="1" t="s">
        <v>2091</v>
      </c>
      <c r="I625" s="1" t="str">
        <f t="shared" si="1"/>
        <v>27</v>
      </c>
      <c r="J625" s="5"/>
      <c r="K625" s="1" t="str">
        <f t="shared" si="2"/>
        <v>12</v>
      </c>
      <c r="L625" s="5"/>
      <c r="M625" s="2" t="str">
        <f t="shared" si="3"/>
        <v>1398</v>
      </c>
      <c r="N625" s="5"/>
      <c r="O625" s="2">
        <v>72.0</v>
      </c>
      <c r="P625" s="5"/>
      <c r="Q625" s="5"/>
      <c r="R625" s="6" t="s">
        <v>2091</v>
      </c>
      <c r="S625" s="5"/>
      <c r="T625" s="1" t="str">
        <f>IFERROR(__xludf.DUMMYFUNCTION("INDEX(SPLIT(A625, ""/""), 2)"),"تشکل‌های اسلامی و سیاسی")</f>
        <v>تشکل‌های اسلامی و سیاسی</v>
      </c>
      <c r="U625" s="1" t="str">
        <f>IFERROR(__xludf.DUMMYFUNCTION("INDEX(SPLIT(A625, ""/""), 3)"),"بسیج دانشجویی")</f>
        <v>بسیج دانشجویی</v>
      </c>
      <c r="V625" s="1" t="str">
        <f>IFERROR(__xludf.DUMMYFUNCTION("INDEX(SPLIT(A625, ""/""), 4)"),"میدان انقلاب")</f>
        <v>میدان انقلاب</v>
      </c>
    </row>
    <row r="626">
      <c r="A626" s="1" t="s">
        <v>1892</v>
      </c>
      <c r="B626" s="1" t="s">
        <v>2092</v>
      </c>
      <c r="C626" s="1" t="s">
        <v>21</v>
      </c>
      <c r="D626" s="4" t="s">
        <v>2093</v>
      </c>
      <c r="E626" s="1" t="s">
        <v>1634</v>
      </c>
      <c r="F626" s="1" t="s">
        <v>1789</v>
      </c>
      <c r="G626" s="1" t="s">
        <v>752</v>
      </c>
      <c r="H626" s="1" t="s">
        <v>2094</v>
      </c>
      <c r="I626" s="1" t="str">
        <f t="shared" si="1"/>
        <v>19</v>
      </c>
      <c r="J626" s="5"/>
      <c r="K626" s="1" t="str">
        <f t="shared" si="2"/>
        <v>1</v>
      </c>
      <c r="L626" s="5"/>
      <c r="M626" s="2" t="str">
        <f t="shared" si="3"/>
        <v>1399</v>
      </c>
      <c r="N626" s="5"/>
      <c r="O626" s="2">
        <v>73.0</v>
      </c>
      <c r="P626" s="5"/>
      <c r="Q626" s="5"/>
      <c r="R626" s="6" t="s">
        <v>2094</v>
      </c>
      <c r="S626" s="5"/>
      <c r="T626" s="1" t="str">
        <f>IFERROR(__xludf.DUMMYFUNCTION("INDEX(SPLIT(A626, ""/""), 2)"),"تشکل‌های اسلامی و سیاسی")</f>
        <v>تشکل‌های اسلامی و سیاسی</v>
      </c>
      <c r="U626" s="1" t="str">
        <f>IFERROR(__xludf.DUMMYFUNCTION("INDEX(SPLIT(A626, ""/""), 3)"),"بسیج دانشجویی")</f>
        <v>بسیج دانشجویی</v>
      </c>
      <c r="V626" s="1" t="str">
        <f>IFERROR(__xludf.DUMMYFUNCTION("INDEX(SPLIT(A626, ""/""), 4)"),"میدان انقلاب")</f>
        <v>میدان انقلاب</v>
      </c>
    </row>
    <row r="627">
      <c r="A627" s="1" t="s">
        <v>1892</v>
      </c>
      <c r="B627" s="1" t="s">
        <v>2095</v>
      </c>
      <c r="C627" s="1" t="s">
        <v>21</v>
      </c>
      <c r="D627" s="4" t="s">
        <v>2096</v>
      </c>
      <c r="E627" s="1" t="s">
        <v>1634</v>
      </c>
      <c r="F627" s="1" t="s">
        <v>1789</v>
      </c>
      <c r="G627" s="1" t="s">
        <v>752</v>
      </c>
      <c r="H627" s="7" t="s">
        <v>2097</v>
      </c>
      <c r="I627" s="1" t="str">
        <f t="shared" si="1"/>
        <v>6</v>
      </c>
      <c r="J627" s="5"/>
      <c r="K627" s="1" t="str">
        <f t="shared" si="2"/>
        <v>2</v>
      </c>
      <c r="L627" s="5"/>
      <c r="M627" s="2" t="str">
        <f t="shared" si="3"/>
        <v>1399</v>
      </c>
      <c r="N627" s="5"/>
      <c r="O627" s="2">
        <v>74.0</v>
      </c>
      <c r="P627" s="5"/>
      <c r="Q627" s="5"/>
      <c r="R627" s="8" t="s">
        <v>2097</v>
      </c>
      <c r="S627" s="5"/>
      <c r="T627" s="1" t="str">
        <f>IFERROR(__xludf.DUMMYFUNCTION("INDEX(SPLIT(A627, ""/""), 2)"),"تشکل‌های اسلامی و سیاسی")</f>
        <v>تشکل‌های اسلامی و سیاسی</v>
      </c>
      <c r="U627" s="1" t="str">
        <f>IFERROR(__xludf.DUMMYFUNCTION("INDEX(SPLIT(A627, ""/""), 3)"),"بسیج دانشجویی")</f>
        <v>بسیج دانشجویی</v>
      </c>
      <c r="V627" s="1" t="str">
        <f>IFERROR(__xludf.DUMMYFUNCTION("INDEX(SPLIT(A627, ""/""), 4)"),"میدان انقلاب")</f>
        <v>میدان انقلاب</v>
      </c>
    </row>
    <row r="628">
      <c r="A628" s="1" t="s">
        <v>1892</v>
      </c>
      <c r="B628" s="1" t="s">
        <v>2098</v>
      </c>
      <c r="C628" s="1" t="s">
        <v>21</v>
      </c>
      <c r="D628" s="4" t="s">
        <v>2099</v>
      </c>
      <c r="E628" s="1" t="s">
        <v>1634</v>
      </c>
      <c r="F628" s="1" t="s">
        <v>1789</v>
      </c>
      <c r="G628" s="1" t="s">
        <v>752</v>
      </c>
      <c r="H628" s="7" t="s">
        <v>2100</v>
      </c>
      <c r="I628" s="1" t="str">
        <f t="shared" si="1"/>
        <v>10</v>
      </c>
      <c r="J628" s="5"/>
      <c r="K628" s="1" t="str">
        <f t="shared" si="2"/>
        <v>3</v>
      </c>
      <c r="L628" s="5"/>
      <c r="M628" s="2" t="str">
        <f t="shared" si="3"/>
        <v>1399</v>
      </c>
      <c r="N628" s="5"/>
      <c r="O628" s="2">
        <v>75.0</v>
      </c>
      <c r="P628" s="5"/>
      <c r="Q628" s="5"/>
      <c r="R628" s="8" t="s">
        <v>2100</v>
      </c>
      <c r="S628" s="5"/>
      <c r="T628" s="1" t="str">
        <f>IFERROR(__xludf.DUMMYFUNCTION("INDEX(SPLIT(A628, ""/""), 2)"),"تشکل‌های اسلامی و سیاسی")</f>
        <v>تشکل‌های اسلامی و سیاسی</v>
      </c>
      <c r="U628" s="1" t="str">
        <f>IFERROR(__xludf.DUMMYFUNCTION("INDEX(SPLIT(A628, ""/""), 3)"),"بسیج دانشجویی")</f>
        <v>بسیج دانشجویی</v>
      </c>
      <c r="V628" s="1" t="str">
        <f>IFERROR(__xludf.DUMMYFUNCTION("INDEX(SPLIT(A628, ""/""), 4)"),"میدان انقلاب")</f>
        <v>میدان انقلاب</v>
      </c>
    </row>
    <row r="629">
      <c r="A629" s="1" t="s">
        <v>1892</v>
      </c>
      <c r="B629" s="1" t="s">
        <v>2101</v>
      </c>
      <c r="C629" s="1" t="s">
        <v>21</v>
      </c>
      <c r="D629" s="4" t="s">
        <v>2102</v>
      </c>
      <c r="E629" s="1" t="s">
        <v>1634</v>
      </c>
      <c r="F629" s="1" t="s">
        <v>1789</v>
      </c>
      <c r="G629" s="1" t="s">
        <v>752</v>
      </c>
      <c r="H629" s="1" t="s">
        <v>2103</v>
      </c>
      <c r="I629" s="1" t="str">
        <f t="shared" si="1"/>
        <v>20</v>
      </c>
      <c r="J629" s="5"/>
      <c r="K629" s="1" t="str">
        <f t="shared" si="2"/>
        <v>4</v>
      </c>
      <c r="L629" s="5"/>
      <c r="M629" s="2" t="str">
        <f t="shared" si="3"/>
        <v>1399</v>
      </c>
      <c r="N629" s="5"/>
      <c r="O629" s="2">
        <v>76.0</v>
      </c>
      <c r="P629" s="5"/>
      <c r="Q629" s="5"/>
      <c r="R629" s="6" t="s">
        <v>2103</v>
      </c>
      <c r="S629" s="5"/>
      <c r="T629" s="1" t="str">
        <f>IFERROR(__xludf.DUMMYFUNCTION("INDEX(SPLIT(A629, ""/""), 2)"),"تشکل‌های اسلامی و سیاسی")</f>
        <v>تشکل‌های اسلامی و سیاسی</v>
      </c>
      <c r="U629" s="1" t="str">
        <f>IFERROR(__xludf.DUMMYFUNCTION("INDEX(SPLIT(A629, ""/""), 3)"),"بسیج دانشجویی")</f>
        <v>بسیج دانشجویی</v>
      </c>
      <c r="V629" s="1" t="str">
        <f>IFERROR(__xludf.DUMMYFUNCTION("INDEX(SPLIT(A629, ""/""), 4)"),"میدان انقلاب")</f>
        <v>میدان انقلاب</v>
      </c>
    </row>
    <row r="630">
      <c r="A630" s="1" t="s">
        <v>1892</v>
      </c>
      <c r="B630" s="1" t="s">
        <v>2104</v>
      </c>
      <c r="C630" s="1" t="s">
        <v>21</v>
      </c>
      <c r="D630" s="4" t="s">
        <v>2105</v>
      </c>
      <c r="E630" s="1" t="s">
        <v>1634</v>
      </c>
      <c r="F630" s="1" t="s">
        <v>1789</v>
      </c>
      <c r="G630" s="1" t="s">
        <v>752</v>
      </c>
      <c r="H630" s="1" t="s">
        <v>2106</v>
      </c>
      <c r="I630" s="1" t="str">
        <f t="shared" si="1"/>
        <v>20</v>
      </c>
      <c r="J630" s="5"/>
      <c r="K630" s="1" t="str">
        <f t="shared" si="2"/>
        <v>5</v>
      </c>
      <c r="L630" s="5"/>
      <c r="M630" s="2" t="str">
        <f t="shared" si="3"/>
        <v>1399</v>
      </c>
      <c r="N630" s="5"/>
      <c r="O630" s="2">
        <v>77.0</v>
      </c>
      <c r="P630" s="5"/>
      <c r="Q630" s="5"/>
      <c r="R630" s="6" t="s">
        <v>2106</v>
      </c>
      <c r="S630" s="5"/>
      <c r="T630" s="1" t="str">
        <f>IFERROR(__xludf.DUMMYFUNCTION("INDEX(SPLIT(A630, ""/""), 2)"),"تشکل‌های اسلامی و سیاسی")</f>
        <v>تشکل‌های اسلامی و سیاسی</v>
      </c>
      <c r="U630" s="1" t="str">
        <f>IFERROR(__xludf.DUMMYFUNCTION("INDEX(SPLIT(A630, ""/""), 3)"),"بسیج دانشجویی")</f>
        <v>بسیج دانشجویی</v>
      </c>
      <c r="V630" s="1" t="str">
        <f>IFERROR(__xludf.DUMMYFUNCTION("INDEX(SPLIT(A630, ""/""), 4)"),"میدان انقلاب")</f>
        <v>میدان انقلاب</v>
      </c>
    </row>
    <row r="631">
      <c r="A631" s="1" t="s">
        <v>1892</v>
      </c>
      <c r="B631" s="1" t="s">
        <v>2107</v>
      </c>
      <c r="C631" s="1" t="s">
        <v>21</v>
      </c>
      <c r="D631" s="4" t="s">
        <v>2108</v>
      </c>
      <c r="E631" s="1" t="s">
        <v>1634</v>
      </c>
      <c r="F631" s="1" t="s">
        <v>2109</v>
      </c>
      <c r="G631" s="1" t="s">
        <v>752</v>
      </c>
      <c r="H631" s="1" t="s">
        <v>2110</v>
      </c>
      <c r="I631" s="1" t="str">
        <f t="shared" si="1"/>
        <v>27</v>
      </c>
      <c r="J631" s="5"/>
      <c r="K631" s="1" t="str">
        <f t="shared" si="2"/>
        <v>7</v>
      </c>
      <c r="L631" s="5"/>
      <c r="M631" s="2" t="str">
        <f t="shared" si="3"/>
        <v>1399</v>
      </c>
      <c r="N631" s="5"/>
      <c r="O631" s="2">
        <v>78.0</v>
      </c>
      <c r="P631" s="5"/>
      <c r="Q631" s="5"/>
      <c r="R631" s="6" t="s">
        <v>2110</v>
      </c>
      <c r="S631" s="5"/>
      <c r="T631" s="1" t="str">
        <f>IFERROR(__xludf.DUMMYFUNCTION("INDEX(SPLIT(A631, ""/""), 2)"),"تشکل‌های اسلامی و سیاسی")</f>
        <v>تشکل‌های اسلامی و سیاسی</v>
      </c>
      <c r="U631" s="1" t="str">
        <f>IFERROR(__xludf.DUMMYFUNCTION("INDEX(SPLIT(A631, ""/""), 3)"),"بسیج دانشجویی")</f>
        <v>بسیج دانشجویی</v>
      </c>
      <c r="V631" s="1" t="str">
        <f>IFERROR(__xludf.DUMMYFUNCTION("INDEX(SPLIT(A631, ""/""), 4)"),"میدان انقلاب")</f>
        <v>میدان انقلاب</v>
      </c>
    </row>
    <row r="632">
      <c r="A632" s="1" t="s">
        <v>1892</v>
      </c>
      <c r="B632" s="1" t="s">
        <v>2111</v>
      </c>
      <c r="C632" s="1" t="s">
        <v>21</v>
      </c>
      <c r="D632" s="4" t="s">
        <v>2112</v>
      </c>
      <c r="E632" s="1" t="s">
        <v>1634</v>
      </c>
      <c r="F632" s="1" t="s">
        <v>2109</v>
      </c>
      <c r="G632" s="1" t="s">
        <v>752</v>
      </c>
      <c r="H632" s="1" t="s">
        <v>32</v>
      </c>
      <c r="I632" s="1" t="str">
        <f t="shared" si="1"/>
        <v>x</v>
      </c>
      <c r="J632" s="1">
        <v>2.0</v>
      </c>
      <c r="K632" s="1" t="str">
        <f t="shared" si="2"/>
        <v>8</v>
      </c>
      <c r="L632" s="5"/>
      <c r="M632" s="2" t="str">
        <f t="shared" si="3"/>
        <v>1399</v>
      </c>
      <c r="N632" s="5"/>
      <c r="O632" s="2" t="s">
        <v>2113</v>
      </c>
      <c r="P632" s="5"/>
      <c r="Q632" s="5"/>
      <c r="R632" s="6" t="s">
        <v>33</v>
      </c>
      <c r="S632" s="1"/>
      <c r="T632" s="1" t="str">
        <f>IFERROR(__xludf.DUMMYFUNCTION("INDEX(SPLIT(A632, ""/""), 2)"),"تشکل‌های اسلامی و سیاسی")</f>
        <v>تشکل‌های اسلامی و سیاسی</v>
      </c>
      <c r="U632" s="1" t="str">
        <f>IFERROR(__xludf.DUMMYFUNCTION("INDEX(SPLIT(A632, ""/""), 3)"),"بسیج دانشجویی")</f>
        <v>بسیج دانشجویی</v>
      </c>
      <c r="V632" s="1" t="str">
        <f>IFERROR(__xludf.DUMMYFUNCTION("INDEX(SPLIT(A632, ""/""), 4)"),"میدان انقلاب")</f>
        <v>میدان انقلاب</v>
      </c>
    </row>
    <row r="633">
      <c r="A633" s="1" t="s">
        <v>1892</v>
      </c>
      <c r="B633" s="1" t="s">
        <v>2114</v>
      </c>
      <c r="C633" s="1" t="s">
        <v>21</v>
      </c>
      <c r="D633" s="4" t="s">
        <v>2115</v>
      </c>
      <c r="E633" s="1" t="s">
        <v>1634</v>
      </c>
      <c r="F633" s="1" t="s">
        <v>2109</v>
      </c>
      <c r="G633" s="1" t="s">
        <v>752</v>
      </c>
      <c r="H633" s="1" t="s">
        <v>2116</v>
      </c>
      <c r="I633" s="1" t="str">
        <f t="shared" si="1"/>
        <v>22</v>
      </c>
      <c r="J633" s="5"/>
      <c r="K633" s="1" t="str">
        <f t="shared" si="2"/>
        <v>8</v>
      </c>
      <c r="L633" s="5"/>
      <c r="M633" s="2" t="str">
        <f t="shared" si="3"/>
        <v>1399</v>
      </c>
      <c r="N633" s="5"/>
      <c r="O633" s="2">
        <v>79.0</v>
      </c>
      <c r="P633" s="5"/>
      <c r="Q633" s="5"/>
      <c r="R633" s="6" t="s">
        <v>2116</v>
      </c>
      <c r="S633" s="5"/>
      <c r="T633" s="1" t="str">
        <f>IFERROR(__xludf.DUMMYFUNCTION("INDEX(SPLIT(A633, ""/""), 2)"),"تشکل‌های اسلامی و سیاسی")</f>
        <v>تشکل‌های اسلامی و سیاسی</v>
      </c>
      <c r="U633" s="1" t="str">
        <f>IFERROR(__xludf.DUMMYFUNCTION("INDEX(SPLIT(A633, ""/""), 3)"),"بسیج دانشجویی")</f>
        <v>بسیج دانشجویی</v>
      </c>
      <c r="V633" s="1" t="str">
        <f>IFERROR(__xludf.DUMMYFUNCTION("INDEX(SPLIT(A633, ""/""), 4)"),"میدان انقلاب")</f>
        <v>میدان انقلاب</v>
      </c>
    </row>
    <row r="634">
      <c r="A634" s="1" t="s">
        <v>1892</v>
      </c>
      <c r="B634" s="1" t="s">
        <v>2117</v>
      </c>
      <c r="C634" s="1" t="s">
        <v>21</v>
      </c>
      <c r="D634" s="4" t="s">
        <v>2118</v>
      </c>
      <c r="E634" s="1" t="s">
        <v>1634</v>
      </c>
      <c r="F634" s="1" t="s">
        <v>2109</v>
      </c>
      <c r="G634" s="1" t="s">
        <v>752</v>
      </c>
      <c r="H634" s="1" t="s">
        <v>2119</v>
      </c>
      <c r="I634" s="1" t="str">
        <f t="shared" si="1"/>
        <v>30</v>
      </c>
      <c r="J634" s="5"/>
      <c r="K634" s="1" t="str">
        <f t="shared" si="2"/>
        <v>8</v>
      </c>
      <c r="L634" s="5"/>
      <c r="M634" s="2" t="str">
        <f t="shared" si="3"/>
        <v>1399</v>
      </c>
      <c r="N634" s="5"/>
      <c r="O634" s="2">
        <v>80.0</v>
      </c>
      <c r="P634" s="5"/>
      <c r="Q634" s="5"/>
      <c r="R634" s="6" t="s">
        <v>2119</v>
      </c>
      <c r="S634" s="5"/>
      <c r="T634" s="1" t="str">
        <f>IFERROR(__xludf.DUMMYFUNCTION("INDEX(SPLIT(A634, ""/""), 2)"),"تشکل‌های اسلامی و سیاسی")</f>
        <v>تشکل‌های اسلامی و سیاسی</v>
      </c>
      <c r="U634" s="1" t="str">
        <f>IFERROR(__xludf.DUMMYFUNCTION("INDEX(SPLIT(A634, ""/""), 3)"),"بسیج دانشجویی")</f>
        <v>بسیج دانشجویی</v>
      </c>
      <c r="V634" s="1" t="str">
        <f>IFERROR(__xludf.DUMMYFUNCTION("INDEX(SPLIT(A634, ""/""), 4)"),"میدان انقلاب")</f>
        <v>میدان انقلاب</v>
      </c>
    </row>
    <row r="635">
      <c r="A635" s="1" t="s">
        <v>1892</v>
      </c>
      <c r="B635" s="1" t="s">
        <v>2120</v>
      </c>
      <c r="C635" s="1" t="s">
        <v>21</v>
      </c>
      <c r="D635" s="4" t="s">
        <v>2121</v>
      </c>
      <c r="E635" s="1" t="s">
        <v>1634</v>
      </c>
      <c r="F635" s="1" t="s">
        <v>2109</v>
      </c>
      <c r="G635" s="1" t="s">
        <v>752</v>
      </c>
      <c r="H635" s="7" t="s">
        <v>2122</v>
      </c>
      <c r="I635" s="1" t="str">
        <f t="shared" si="1"/>
        <v>5</v>
      </c>
      <c r="J635" s="5"/>
      <c r="K635" s="1" t="str">
        <f t="shared" si="2"/>
        <v>10</v>
      </c>
      <c r="L635" s="5"/>
      <c r="M635" s="2" t="str">
        <f t="shared" si="3"/>
        <v>1399</v>
      </c>
      <c r="N635" s="5"/>
      <c r="O635" s="2">
        <v>81.0</v>
      </c>
      <c r="P635" s="5"/>
      <c r="Q635" s="5"/>
      <c r="R635" s="8" t="s">
        <v>2122</v>
      </c>
      <c r="S635" s="5"/>
      <c r="T635" s="1" t="str">
        <f>IFERROR(__xludf.DUMMYFUNCTION("INDEX(SPLIT(A635, ""/""), 2)"),"تشکل‌های اسلامی و سیاسی")</f>
        <v>تشکل‌های اسلامی و سیاسی</v>
      </c>
      <c r="U635" s="1" t="str">
        <f>IFERROR(__xludf.DUMMYFUNCTION("INDEX(SPLIT(A635, ""/""), 3)"),"بسیج دانشجویی")</f>
        <v>بسیج دانشجویی</v>
      </c>
      <c r="V635" s="1" t="str">
        <f>IFERROR(__xludf.DUMMYFUNCTION("INDEX(SPLIT(A635, ""/""), 4)"),"میدان انقلاب")</f>
        <v>میدان انقلاب</v>
      </c>
    </row>
    <row r="636">
      <c r="A636" s="1" t="s">
        <v>1892</v>
      </c>
      <c r="B636" s="1" t="s">
        <v>2123</v>
      </c>
      <c r="C636" s="1" t="s">
        <v>21</v>
      </c>
      <c r="D636" s="4" t="s">
        <v>2124</v>
      </c>
      <c r="E636" s="1" t="s">
        <v>1634</v>
      </c>
      <c r="F636" s="1" t="s">
        <v>2109</v>
      </c>
      <c r="G636" s="1" t="s">
        <v>752</v>
      </c>
      <c r="H636" s="1" t="s">
        <v>2125</v>
      </c>
      <c r="I636" s="1" t="str">
        <f t="shared" si="1"/>
        <v>14</v>
      </c>
      <c r="J636" s="5"/>
      <c r="K636" s="1" t="str">
        <f t="shared" si="2"/>
        <v>10</v>
      </c>
      <c r="L636" s="5"/>
      <c r="M636" s="2" t="str">
        <f t="shared" si="3"/>
        <v>1399</v>
      </c>
      <c r="N636" s="5"/>
      <c r="O636" s="2" t="s">
        <v>2126</v>
      </c>
      <c r="P636" s="5"/>
      <c r="Q636" s="5"/>
      <c r="R636" s="6" t="s">
        <v>2125</v>
      </c>
      <c r="S636" s="5"/>
      <c r="T636" s="1" t="str">
        <f>IFERROR(__xludf.DUMMYFUNCTION("INDEX(SPLIT(A636, ""/""), 2)"),"تشکل‌های اسلامی و سیاسی")</f>
        <v>تشکل‌های اسلامی و سیاسی</v>
      </c>
      <c r="U636" s="1" t="str">
        <f>IFERROR(__xludf.DUMMYFUNCTION("INDEX(SPLIT(A636, ""/""), 3)"),"بسیج دانشجویی")</f>
        <v>بسیج دانشجویی</v>
      </c>
      <c r="V636" s="1" t="str">
        <f>IFERROR(__xludf.DUMMYFUNCTION("INDEX(SPLIT(A636, ""/""), 4)"),"میدان انقلاب")</f>
        <v>میدان انقلاب</v>
      </c>
    </row>
    <row r="637">
      <c r="A637" s="1" t="s">
        <v>1892</v>
      </c>
      <c r="B637" s="1" t="s">
        <v>2127</v>
      </c>
      <c r="C637" s="1" t="s">
        <v>21</v>
      </c>
      <c r="D637" s="4" t="s">
        <v>2128</v>
      </c>
      <c r="E637" s="1" t="s">
        <v>1634</v>
      </c>
      <c r="F637" s="1" t="s">
        <v>2109</v>
      </c>
      <c r="G637" s="1" t="s">
        <v>752</v>
      </c>
      <c r="H637" s="7" t="s">
        <v>2129</v>
      </c>
      <c r="I637" s="1" t="str">
        <f t="shared" si="1"/>
        <v>2</v>
      </c>
      <c r="J637" s="5"/>
      <c r="K637" s="1" t="str">
        <f t="shared" si="2"/>
        <v>12</v>
      </c>
      <c r="L637" s="5"/>
      <c r="M637" s="2" t="str">
        <f t="shared" si="3"/>
        <v>1399</v>
      </c>
      <c r="N637" s="5"/>
      <c r="O637" s="2">
        <v>82.0</v>
      </c>
      <c r="P637" s="5"/>
      <c r="Q637" s="5"/>
      <c r="R637" s="8" t="s">
        <v>2129</v>
      </c>
      <c r="S637" s="5"/>
      <c r="T637" s="1" t="str">
        <f>IFERROR(__xludf.DUMMYFUNCTION("INDEX(SPLIT(A637, ""/""), 2)"),"تشکل‌های اسلامی و سیاسی")</f>
        <v>تشکل‌های اسلامی و سیاسی</v>
      </c>
      <c r="U637" s="1" t="str">
        <f>IFERROR(__xludf.DUMMYFUNCTION("INDEX(SPLIT(A637, ""/""), 3)"),"بسیج دانشجویی")</f>
        <v>بسیج دانشجویی</v>
      </c>
      <c r="V637" s="1" t="str">
        <f>IFERROR(__xludf.DUMMYFUNCTION("INDEX(SPLIT(A637, ""/""), 4)"),"میدان انقلاب")</f>
        <v>میدان انقلاب</v>
      </c>
    </row>
    <row r="638">
      <c r="A638" s="1" t="s">
        <v>1892</v>
      </c>
      <c r="B638" s="1" t="s">
        <v>2130</v>
      </c>
      <c r="C638" s="1" t="s">
        <v>21</v>
      </c>
      <c r="D638" s="4" t="s">
        <v>2131</v>
      </c>
      <c r="E638" s="1" t="s">
        <v>1634</v>
      </c>
      <c r="F638" s="1" t="s">
        <v>2109</v>
      </c>
      <c r="G638" s="1" t="s">
        <v>752</v>
      </c>
      <c r="H638" s="7" t="s">
        <v>2132</v>
      </c>
      <c r="I638" s="1" t="str">
        <f t="shared" si="1"/>
        <v>5</v>
      </c>
      <c r="J638" s="5"/>
      <c r="K638" s="1" t="str">
        <f t="shared" si="2"/>
        <v>1</v>
      </c>
      <c r="L638" s="5"/>
      <c r="M638" s="2" t="str">
        <f t="shared" si="3"/>
        <v>1400</v>
      </c>
      <c r="N638" s="5"/>
      <c r="O638" s="2">
        <v>83.0</v>
      </c>
      <c r="P638" s="5"/>
      <c r="Q638" s="5"/>
      <c r="R638" s="8" t="s">
        <v>2132</v>
      </c>
      <c r="S638" s="5"/>
      <c r="T638" s="1" t="str">
        <f>IFERROR(__xludf.DUMMYFUNCTION("INDEX(SPLIT(A638, ""/""), 2)"),"تشکل‌های اسلامی و سیاسی")</f>
        <v>تشکل‌های اسلامی و سیاسی</v>
      </c>
      <c r="U638" s="1" t="str">
        <f>IFERROR(__xludf.DUMMYFUNCTION("INDEX(SPLIT(A638, ""/""), 3)"),"بسیج دانشجویی")</f>
        <v>بسیج دانشجویی</v>
      </c>
      <c r="V638" s="1" t="str">
        <f>IFERROR(__xludf.DUMMYFUNCTION("INDEX(SPLIT(A638, ""/""), 4)"),"میدان انقلاب")</f>
        <v>میدان انقلاب</v>
      </c>
    </row>
    <row r="639">
      <c r="A639" s="1" t="s">
        <v>1892</v>
      </c>
      <c r="B639" s="1" t="s">
        <v>2133</v>
      </c>
      <c r="C639" s="1" t="s">
        <v>21</v>
      </c>
      <c r="D639" s="4" t="s">
        <v>2134</v>
      </c>
      <c r="E639" s="1" t="s">
        <v>1634</v>
      </c>
      <c r="F639" s="1" t="s">
        <v>2109</v>
      </c>
      <c r="G639" s="1" t="s">
        <v>752</v>
      </c>
      <c r="H639" s="1" t="s">
        <v>2135</v>
      </c>
      <c r="I639" s="1" t="str">
        <f t="shared" si="1"/>
        <v>14</v>
      </c>
      <c r="J639" s="5"/>
      <c r="K639" s="1" t="str">
        <f t="shared" si="2"/>
        <v>2</v>
      </c>
      <c r="L639" s="5"/>
      <c r="M639" s="2" t="str">
        <f t="shared" si="3"/>
        <v>1400</v>
      </c>
      <c r="N639" s="5"/>
      <c r="O639" s="2" t="s">
        <v>2136</v>
      </c>
      <c r="P639" s="5"/>
      <c r="Q639" s="5"/>
      <c r="R639" s="6" t="s">
        <v>2135</v>
      </c>
      <c r="S639" s="5"/>
      <c r="T639" s="1" t="str">
        <f>IFERROR(__xludf.DUMMYFUNCTION("INDEX(SPLIT(A639, ""/""), 2)"),"تشکل‌های اسلامی و سیاسی")</f>
        <v>تشکل‌های اسلامی و سیاسی</v>
      </c>
      <c r="U639" s="1" t="str">
        <f>IFERROR(__xludf.DUMMYFUNCTION("INDEX(SPLIT(A639, ""/""), 3)"),"بسیج دانشجویی")</f>
        <v>بسیج دانشجویی</v>
      </c>
      <c r="V639" s="1" t="str">
        <f>IFERROR(__xludf.DUMMYFUNCTION("INDEX(SPLIT(A639, ""/""), 4)"),"میدان انقلاب")</f>
        <v>میدان انقلاب</v>
      </c>
    </row>
    <row r="640">
      <c r="A640" s="1" t="s">
        <v>1892</v>
      </c>
      <c r="B640" s="1" t="s">
        <v>2137</v>
      </c>
      <c r="C640" s="1" t="s">
        <v>21</v>
      </c>
      <c r="D640" s="4" t="s">
        <v>2138</v>
      </c>
      <c r="E640" s="1" t="s">
        <v>1634</v>
      </c>
      <c r="F640" s="1" t="s">
        <v>2109</v>
      </c>
      <c r="G640" s="1" t="s">
        <v>752</v>
      </c>
      <c r="H640" s="1" t="s">
        <v>2139</v>
      </c>
      <c r="I640" s="1" t="str">
        <f t="shared" si="1"/>
        <v>17</v>
      </c>
      <c r="J640" s="5"/>
      <c r="K640" s="1" t="str">
        <f t="shared" si="2"/>
        <v>2</v>
      </c>
      <c r="L640" s="5"/>
      <c r="M640" s="2" t="str">
        <f t="shared" si="3"/>
        <v>1400</v>
      </c>
      <c r="N640" s="5"/>
      <c r="O640" s="2" t="s">
        <v>2140</v>
      </c>
      <c r="P640" s="5"/>
      <c r="Q640" s="5"/>
      <c r="R640" s="6" t="s">
        <v>2139</v>
      </c>
      <c r="S640" s="5"/>
      <c r="T640" s="1" t="str">
        <f>IFERROR(__xludf.DUMMYFUNCTION("INDEX(SPLIT(A640, ""/""), 2)"),"تشکل‌های اسلامی و سیاسی")</f>
        <v>تشکل‌های اسلامی و سیاسی</v>
      </c>
      <c r="U640" s="1" t="str">
        <f>IFERROR(__xludf.DUMMYFUNCTION("INDEX(SPLIT(A640, ""/""), 3)"),"بسیج دانشجویی")</f>
        <v>بسیج دانشجویی</v>
      </c>
      <c r="V640" s="1" t="str">
        <f>IFERROR(__xludf.DUMMYFUNCTION("INDEX(SPLIT(A640, ""/""), 4)"),"میدان انقلاب")</f>
        <v>میدان انقلاب</v>
      </c>
    </row>
    <row r="641">
      <c r="A641" s="1" t="s">
        <v>1892</v>
      </c>
      <c r="B641" s="1" t="s">
        <v>2141</v>
      </c>
      <c r="C641" s="1" t="s">
        <v>21</v>
      </c>
      <c r="D641" s="4" t="s">
        <v>2142</v>
      </c>
      <c r="E641" s="1" t="s">
        <v>1634</v>
      </c>
      <c r="F641" s="1" t="s">
        <v>2109</v>
      </c>
      <c r="G641" s="1" t="s">
        <v>752</v>
      </c>
      <c r="H641" s="1" t="s">
        <v>2143</v>
      </c>
      <c r="I641" s="1" t="str">
        <f t="shared" si="1"/>
        <v>22</v>
      </c>
      <c r="J641" s="5"/>
      <c r="K641" s="1" t="str">
        <f t="shared" si="2"/>
        <v>3</v>
      </c>
      <c r="L641" s="5"/>
      <c r="M641" s="2" t="str">
        <f t="shared" si="3"/>
        <v>1400</v>
      </c>
      <c r="N641" s="5"/>
      <c r="O641" s="2">
        <v>85.0</v>
      </c>
      <c r="P641" s="5"/>
      <c r="Q641" s="5"/>
      <c r="R641" s="6" t="s">
        <v>2143</v>
      </c>
      <c r="S641" s="5"/>
      <c r="T641" s="1" t="str">
        <f>IFERROR(__xludf.DUMMYFUNCTION("INDEX(SPLIT(A641, ""/""), 2)"),"تشکل‌های اسلامی و سیاسی")</f>
        <v>تشکل‌های اسلامی و سیاسی</v>
      </c>
      <c r="U641" s="1" t="str">
        <f>IFERROR(__xludf.DUMMYFUNCTION("INDEX(SPLIT(A641, ""/""), 3)"),"بسیج دانشجویی")</f>
        <v>بسیج دانشجویی</v>
      </c>
      <c r="V641" s="1" t="str">
        <f>IFERROR(__xludf.DUMMYFUNCTION("INDEX(SPLIT(A641, ""/""), 4)"),"میدان انقلاب")</f>
        <v>میدان انقلاب</v>
      </c>
    </row>
    <row r="642">
      <c r="A642" s="1" t="s">
        <v>1892</v>
      </c>
      <c r="B642" s="1" t="s">
        <v>2144</v>
      </c>
      <c r="C642" s="1" t="s">
        <v>21</v>
      </c>
      <c r="D642" s="4" t="s">
        <v>2145</v>
      </c>
      <c r="E642" s="1" t="s">
        <v>1634</v>
      </c>
      <c r="F642" s="1" t="s">
        <v>2146</v>
      </c>
      <c r="G642" s="1" t="s">
        <v>2147</v>
      </c>
      <c r="H642" s="1" t="s">
        <v>2148</v>
      </c>
      <c r="I642" s="1" t="str">
        <f t="shared" si="1"/>
        <v>26</v>
      </c>
      <c r="J642" s="5"/>
      <c r="K642" s="1" t="str">
        <f t="shared" si="2"/>
        <v>7</v>
      </c>
      <c r="L642" s="5"/>
      <c r="M642" s="2" t="str">
        <f t="shared" si="3"/>
        <v>1400</v>
      </c>
      <c r="N642" s="5"/>
      <c r="O642" s="2">
        <v>86.0</v>
      </c>
      <c r="P642" s="5"/>
      <c r="Q642" s="5"/>
      <c r="R642" s="6" t="s">
        <v>2148</v>
      </c>
      <c r="S642" s="5"/>
      <c r="T642" s="1" t="str">
        <f>IFERROR(__xludf.DUMMYFUNCTION("INDEX(SPLIT(A642, ""/""), 2)"),"تشکل‌های اسلامی و سیاسی")</f>
        <v>تشکل‌های اسلامی و سیاسی</v>
      </c>
      <c r="U642" s="1" t="str">
        <f>IFERROR(__xludf.DUMMYFUNCTION("INDEX(SPLIT(A642, ""/""), 3)"),"بسیج دانشجویی")</f>
        <v>بسیج دانشجویی</v>
      </c>
      <c r="V642" s="1" t="str">
        <f>IFERROR(__xludf.DUMMYFUNCTION("INDEX(SPLIT(A642, ""/""), 4)"),"میدان انقلاب")</f>
        <v>میدان انقلاب</v>
      </c>
    </row>
    <row r="643">
      <c r="A643" s="1" t="s">
        <v>1892</v>
      </c>
      <c r="B643" s="1" t="s">
        <v>2149</v>
      </c>
      <c r="C643" s="1" t="s">
        <v>21</v>
      </c>
      <c r="D643" s="4" t="s">
        <v>2150</v>
      </c>
      <c r="E643" s="1" t="s">
        <v>1634</v>
      </c>
      <c r="F643" s="1" t="s">
        <v>2146</v>
      </c>
      <c r="G643" s="1" t="s">
        <v>2147</v>
      </c>
      <c r="H643" s="1" t="s">
        <v>2151</v>
      </c>
      <c r="I643" s="1" t="str">
        <f t="shared" si="1"/>
        <v>19</v>
      </c>
      <c r="J643" s="5"/>
      <c r="K643" s="1" t="str">
        <f t="shared" si="2"/>
        <v>8</v>
      </c>
      <c r="L643" s="5"/>
      <c r="M643" s="2" t="str">
        <f t="shared" si="3"/>
        <v>1400</v>
      </c>
      <c r="N643" s="5"/>
      <c r="O643" s="2">
        <v>87.0</v>
      </c>
      <c r="P643" s="5"/>
      <c r="Q643" s="5"/>
      <c r="R643" s="6" t="s">
        <v>2151</v>
      </c>
      <c r="S643" s="5"/>
      <c r="T643" s="1" t="str">
        <f>IFERROR(__xludf.DUMMYFUNCTION("INDEX(SPLIT(A643, ""/""), 2)"),"تشکل‌های اسلامی و سیاسی")</f>
        <v>تشکل‌های اسلامی و سیاسی</v>
      </c>
      <c r="U643" s="1" t="str">
        <f>IFERROR(__xludf.DUMMYFUNCTION("INDEX(SPLIT(A643, ""/""), 3)"),"بسیج دانشجویی")</f>
        <v>بسیج دانشجویی</v>
      </c>
      <c r="V643" s="1" t="str">
        <f>IFERROR(__xludf.DUMMYFUNCTION("INDEX(SPLIT(A643, ""/""), 4)"),"میدان انقلاب")</f>
        <v>میدان انقلاب</v>
      </c>
    </row>
    <row r="644">
      <c r="A644" s="1" t="s">
        <v>1892</v>
      </c>
      <c r="B644" s="1" t="s">
        <v>2152</v>
      </c>
      <c r="C644" s="1" t="s">
        <v>21</v>
      </c>
      <c r="D644" s="4" t="s">
        <v>2153</v>
      </c>
      <c r="E644" s="1" t="s">
        <v>1634</v>
      </c>
      <c r="F644" s="1" t="s">
        <v>2146</v>
      </c>
      <c r="G644" s="1" t="s">
        <v>2147</v>
      </c>
      <c r="H644" s="1" t="s">
        <v>2154</v>
      </c>
      <c r="I644" s="1" t="str">
        <f t="shared" si="1"/>
        <v>16</v>
      </c>
      <c r="J644" s="5"/>
      <c r="K644" s="1" t="str">
        <f t="shared" si="2"/>
        <v>9</v>
      </c>
      <c r="L644" s="5"/>
      <c r="M644" s="2" t="str">
        <f t="shared" si="3"/>
        <v>1400</v>
      </c>
      <c r="N644" s="5"/>
      <c r="O644" s="2">
        <v>88.0</v>
      </c>
      <c r="P644" s="5"/>
      <c r="Q644" s="5"/>
      <c r="R644" s="6" t="s">
        <v>2154</v>
      </c>
      <c r="S644" s="5"/>
      <c r="T644" s="1" t="str">
        <f>IFERROR(__xludf.DUMMYFUNCTION("INDEX(SPLIT(A644, ""/""), 2)"),"تشکل‌های اسلامی و سیاسی")</f>
        <v>تشکل‌های اسلامی و سیاسی</v>
      </c>
      <c r="U644" s="1" t="str">
        <f>IFERROR(__xludf.DUMMYFUNCTION("INDEX(SPLIT(A644, ""/""), 3)"),"بسیج دانشجویی")</f>
        <v>بسیج دانشجویی</v>
      </c>
      <c r="V644" s="1" t="str">
        <f>IFERROR(__xludf.DUMMYFUNCTION("INDEX(SPLIT(A644, ""/""), 4)"),"میدان انقلاب")</f>
        <v>میدان انقلاب</v>
      </c>
    </row>
    <row r="645">
      <c r="A645" s="1" t="s">
        <v>1892</v>
      </c>
      <c r="B645" s="1" t="s">
        <v>2155</v>
      </c>
      <c r="C645" s="1" t="s">
        <v>21</v>
      </c>
      <c r="D645" s="4" t="s">
        <v>2156</v>
      </c>
      <c r="E645" s="1" t="s">
        <v>1634</v>
      </c>
      <c r="F645" s="1" t="s">
        <v>2146</v>
      </c>
      <c r="G645" s="1" t="s">
        <v>2157</v>
      </c>
      <c r="H645" s="1" t="s">
        <v>2158</v>
      </c>
      <c r="I645" s="1" t="str">
        <f t="shared" si="1"/>
        <v>24</v>
      </c>
      <c r="J645" s="5"/>
      <c r="K645" s="1" t="str">
        <f t="shared" si="2"/>
        <v>9</v>
      </c>
      <c r="L645" s="5"/>
      <c r="M645" s="2" t="str">
        <f t="shared" si="3"/>
        <v>1400</v>
      </c>
      <c r="N645" s="5"/>
      <c r="O645" s="2" t="s">
        <v>2159</v>
      </c>
      <c r="P645" s="5"/>
      <c r="Q645" s="5"/>
      <c r="R645" s="6" t="s">
        <v>2158</v>
      </c>
      <c r="S645" s="5"/>
      <c r="T645" s="1" t="str">
        <f>IFERROR(__xludf.DUMMYFUNCTION("INDEX(SPLIT(A645, ""/""), 2)"),"تشکل‌های اسلامی و سیاسی")</f>
        <v>تشکل‌های اسلامی و سیاسی</v>
      </c>
      <c r="U645" s="1" t="str">
        <f>IFERROR(__xludf.DUMMYFUNCTION("INDEX(SPLIT(A645, ""/""), 3)"),"بسیج دانشجویی")</f>
        <v>بسیج دانشجویی</v>
      </c>
      <c r="V645" s="1" t="str">
        <f>IFERROR(__xludf.DUMMYFUNCTION("INDEX(SPLIT(A645, ""/""), 4)"),"میدان انقلاب")</f>
        <v>میدان انقلاب</v>
      </c>
    </row>
    <row r="646">
      <c r="A646" s="1" t="s">
        <v>1892</v>
      </c>
      <c r="B646" s="1" t="s">
        <v>2160</v>
      </c>
      <c r="C646" s="1" t="s">
        <v>21</v>
      </c>
      <c r="D646" s="4" t="s">
        <v>2161</v>
      </c>
      <c r="E646" s="1" t="s">
        <v>1634</v>
      </c>
      <c r="F646" s="1" t="s">
        <v>2146</v>
      </c>
      <c r="G646" s="1" t="s">
        <v>2157</v>
      </c>
      <c r="H646" s="7" t="s">
        <v>2162</v>
      </c>
      <c r="I646" s="1" t="str">
        <f t="shared" si="1"/>
        <v>5</v>
      </c>
      <c r="J646" s="5"/>
      <c r="K646" s="1" t="str">
        <f t="shared" si="2"/>
        <v>11</v>
      </c>
      <c r="L646" s="5"/>
      <c r="M646" s="2" t="str">
        <f t="shared" si="3"/>
        <v>1400</v>
      </c>
      <c r="N646" s="5"/>
      <c r="O646" s="2">
        <v>89.0</v>
      </c>
      <c r="P646" s="5"/>
      <c r="Q646" s="5"/>
      <c r="R646" s="8" t="s">
        <v>2162</v>
      </c>
      <c r="S646" s="5"/>
      <c r="T646" s="1" t="str">
        <f>IFERROR(__xludf.DUMMYFUNCTION("INDEX(SPLIT(A646, ""/""), 2)"),"تشکل‌های اسلامی و سیاسی")</f>
        <v>تشکل‌های اسلامی و سیاسی</v>
      </c>
      <c r="U646" s="1" t="str">
        <f>IFERROR(__xludf.DUMMYFUNCTION("INDEX(SPLIT(A646, ""/""), 3)"),"بسیج دانشجویی")</f>
        <v>بسیج دانشجویی</v>
      </c>
      <c r="V646" s="1" t="str">
        <f>IFERROR(__xludf.DUMMYFUNCTION("INDEX(SPLIT(A646, ""/""), 4)"),"میدان انقلاب")</f>
        <v>میدان انقلاب</v>
      </c>
    </row>
    <row r="647">
      <c r="A647" s="1" t="s">
        <v>1892</v>
      </c>
      <c r="B647" s="1" t="s">
        <v>2163</v>
      </c>
      <c r="C647" s="1" t="s">
        <v>21</v>
      </c>
      <c r="D647" s="4" t="s">
        <v>2164</v>
      </c>
      <c r="E647" s="1" t="s">
        <v>1634</v>
      </c>
      <c r="F647" s="1" t="s">
        <v>2146</v>
      </c>
      <c r="G647" s="1" t="s">
        <v>2157</v>
      </c>
      <c r="H647" s="1" t="s">
        <v>2165</v>
      </c>
      <c r="I647" s="1" t="str">
        <f t="shared" si="1"/>
        <v>28</v>
      </c>
      <c r="J647" s="5"/>
      <c r="K647" s="1" t="str">
        <f t="shared" si="2"/>
        <v>1</v>
      </c>
      <c r="L647" s="5"/>
      <c r="M647" s="2" t="str">
        <f t="shared" si="3"/>
        <v>1401</v>
      </c>
      <c r="N647" s="5"/>
      <c r="O647" s="2">
        <v>90.0</v>
      </c>
      <c r="P647" s="5"/>
      <c r="Q647" s="5"/>
      <c r="R647" s="6" t="s">
        <v>2165</v>
      </c>
      <c r="S647" s="5"/>
      <c r="T647" s="1" t="str">
        <f>IFERROR(__xludf.DUMMYFUNCTION("INDEX(SPLIT(A647, ""/""), 2)"),"تشکل‌های اسلامی و سیاسی")</f>
        <v>تشکل‌های اسلامی و سیاسی</v>
      </c>
      <c r="U647" s="1" t="str">
        <f>IFERROR(__xludf.DUMMYFUNCTION("INDEX(SPLIT(A647, ""/""), 3)"),"بسیج دانشجویی")</f>
        <v>بسیج دانشجویی</v>
      </c>
      <c r="V647" s="1" t="str">
        <f>IFERROR(__xludf.DUMMYFUNCTION("INDEX(SPLIT(A647, ""/""), 4)"),"میدان انقلاب")</f>
        <v>میدان انقلاب</v>
      </c>
    </row>
    <row r="648">
      <c r="A648" s="1" t="s">
        <v>1892</v>
      </c>
      <c r="B648" s="1" t="s">
        <v>2166</v>
      </c>
      <c r="C648" s="1" t="s">
        <v>21</v>
      </c>
      <c r="D648" s="4" t="s">
        <v>2167</v>
      </c>
      <c r="E648" s="1" t="s">
        <v>1634</v>
      </c>
      <c r="F648" s="1" t="s">
        <v>71</v>
      </c>
      <c r="G648" s="1" t="s">
        <v>71</v>
      </c>
      <c r="H648" s="7" t="s">
        <v>2168</v>
      </c>
      <c r="I648" s="1" t="str">
        <f t="shared" si="1"/>
        <v>7</v>
      </c>
      <c r="J648" s="5"/>
      <c r="K648" s="1" t="str">
        <f t="shared" si="2"/>
        <v>7</v>
      </c>
      <c r="L648" s="5"/>
      <c r="M648" s="2" t="str">
        <f t="shared" si="3"/>
        <v>1401</v>
      </c>
      <c r="N648" s="5"/>
      <c r="O648" s="2">
        <v>91.0</v>
      </c>
      <c r="P648" s="5"/>
      <c r="Q648" s="5"/>
      <c r="R648" s="8" t="s">
        <v>2168</v>
      </c>
      <c r="S648" s="5"/>
      <c r="T648" s="1" t="str">
        <f>IFERROR(__xludf.DUMMYFUNCTION("INDEX(SPLIT(A648, ""/""), 2)"),"تشکل‌های اسلامی و سیاسی")</f>
        <v>تشکل‌های اسلامی و سیاسی</v>
      </c>
      <c r="U648" s="1" t="str">
        <f>IFERROR(__xludf.DUMMYFUNCTION("INDEX(SPLIT(A648, ""/""), 3)"),"بسیج دانشجویی")</f>
        <v>بسیج دانشجویی</v>
      </c>
      <c r="V648" s="1" t="str">
        <f>IFERROR(__xludf.DUMMYFUNCTION("INDEX(SPLIT(A648, ""/""), 4)"),"میدان انقلاب")</f>
        <v>میدان انقلاب</v>
      </c>
    </row>
    <row r="649">
      <c r="A649" s="1" t="s">
        <v>1892</v>
      </c>
      <c r="B649" s="1" t="s">
        <v>2169</v>
      </c>
      <c r="C649" s="1" t="s">
        <v>21</v>
      </c>
      <c r="D649" s="4" t="s">
        <v>2170</v>
      </c>
      <c r="E649" s="1" t="s">
        <v>1634</v>
      </c>
      <c r="F649" s="1" t="s">
        <v>2171</v>
      </c>
      <c r="G649" s="1" t="s">
        <v>2172</v>
      </c>
      <c r="H649" s="7" t="s">
        <v>2173</v>
      </c>
      <c r="I649" s="1" t="str">
        <f t="shared" si="1"/>
        <v>5</v>
      </c>
      <c r="J649" s="5"/>
      <c r="K649" s="1" t="str">
        <f t="shared" si="2"/>
        <v>9</v>
      </c>
      <c r="L649" s="5"/>
      <c r="M649" s="2" t="str">
        <f t="shared" si="3"/>
        <v>1401</v>
      </c>
      <c r="N649" s="5"/>
      <c r="O649" s="2">
        <v>92.0</v>
      </c>
      <c r="P649" s="5"/>
      <c r="Q649" s="5"/>
      <c r="R649" s="8" t="s">
        <v>2173</v>
      </c>
      <c r="S649" s="5"/>
      <c r="T649" s="1" t="str">
        <f>IFERROR(__xludf.DUMMYFUNCTION("INDEX(SPLIT(A649, ""/""), 2)"),"تشکل‌های اسلامی و سیاسی")</f>
        <v>تشکل‌های اسلامی و سیاسی</v>
      </c>
      <c r="U649" s="1" t="str">
        <f>IFERROR(__xludf.DUMMYFUNCTION("INDEX(SPLIT(A649, ""/""), 3)"),"بسیج دانشجویی")</f>
        <v>بسیج دانشجویی</v>
      </c>
      <c r="V649" s="1" t="str">
        <f>IFERROR(__xludf.DUMMYFUNCTION("INDEX(SPLIT(A649, ""/""), 4)"),"میدان انقلاب")</f>
        <v>میدان انقلاب</v>
      </c>
    </row>
    <row r="650">
      <c r="A650" s="1" t="s">
        <v>1892</v>
      </c>
      <c r="B650" s="1" t="s">
        <v>2174</v>
      </c>
      <c r="C650" s="1" t="s">
        <v>21</v>
      </c>
      <c r="D650" s="4" t="s">
        <v>2175</v>
      </c>
      <c r="E650" s="1" t="s">
        <v>1634</v>
      </c>
      <c r="F650" s="1" t="s">
        <v>2171</v>
      </c>
      <c r="G650" s="1" t="s">
        <v>2172</v>
      </c>
      <c r="H650" s="1" t="s">
        <v>2176</v>
      </c>
      <c r="I650" s="1" t="str">
        <f t="shared" si="1"/>
        <v>14</v>
      </c>
      <c r="J650" s="5"/>
      <c r="K650" s="1" t="str">
        <f t="shared" si="2"/>
        <v>7</v>
      </c>
      <c r="L650" s="5"/>
      <c r="M650" s="2" t="str">
        <f t="shared" si="3"/>
        <v>1401</v>
      </c>
      <c r="N650" s="5"/>
      <c r="O650" s="2">
        <v>93.0</v>
      </c>
      <c r="P650" s="5"/>
      <c r="Q650" s="5"/>
      <c r="R650" s="6" t="s">
        <v>2176</v>
      </c>
      <c r="S650" s="5"/>
      <c r="T650" s="1" t="str">
        <f>IFERROR(__xludf.DUMMYFUNCTION("INDEX(SPLIT(A650, ""/""), 2)"),"تشکل‌های اسلامی و سیاسی")</f>
        <v>تشکل‌های اسلامی و سیاسی</v>
      </c>
      <c r="U650" s="1" t="str">
        <f>IFERROR(__xludf.DUMMYFUNCTION("INDEX(SPLIT(A650, ""/""), 3)"),"بسیج دانشجویی")</f>
        <v>بسیج دانشجویی</v>
      </c>
      <c r="V650" s="1" t="str">
        <f>IFERROR(__xludf.DUMMYFUNCTION("INDEX(SPLIT(A650, ""/""), 4)"),"میدان انقلاب")</f>
        <v>میدان انقلاب</v>
      </c>
    </row>
    <row r="651">
      <c r="A651" s="1" t="s">
        <v>1892</v>
      </c>
      <c r="B651" s="1" t="s">
        <v>2177</v>
      </c>
      <c r="C651" s="1" t="s">
        <v>21</v>
      </c>
      <c r="D651" s="4" t="s">
        <v>2178</v>
      </c>
      <c r="E651" s="1" t="s">
        <v>1634</v>
      </c>
      <c r="F651" s="1" t="s">
        <v>2171</v>
      </c>
      <c r="G651" s="1" t="s">
        <v>2172</v>
      </c>
      <c r="H651" s="1" t="s">
        <v>812</v>
      </c>
      <c r="I651" s="1" t="str">
        <f t="shared" si="1"/>
        <v>29</v>
      </c>
      <c r="J651" s="5"/>
      <c r="K651" s="1" t="str">
        <f t="shared" si="2"/>
        <v>12</v>
      </c>
      <c r="L651" s="5"/>
      <c r="M651" s="2" t="str">
        <f t="shared" si="3"/>
        <v>1401</v>
      </c>
      <c r="N651" s="5"/>
      <c r="O651" s="2">
        <v>95.0</v>
      </c>
      <c r="P651" s="5"/>
      <c r="Q651" s="5"/>
      <c r="R651" s="6" t="s">
        <v>812</v>
      </c>
      <c r="S651" s="5"/>
      <c r="T651" s="1" t="str">
        <f>IFERROR(__xludf.DUMMYFUNCTION("INDEX(SPLIT(A651, ""/""), 2)"),"تشکل‌های اسلامی و سیاسی")</f>
        <v>تشکل‌های اسلامی و سیاسی</v>
      </c>
      <c r="U651" s="1" t="str">
        <f>IFERROR(__xludf.DUMMYFUNCTION("INDEX(SPLIT(A651, ""/""), 3)"),"بسیج دانشجویی")</f>
        <v>بسیج دانشجویی</v>
      </c>
      <c r="V651" s="1" t="str">
        <f>IFERROR(__xludf.DUMMYFUNCTION("INDEX(SPLIT(A651, ""/""), 4)"),"میدان انقلاب")</f>
        <v>میدان انقلاب</v>
      </c>
    </row>
    <row r="652">
      <c r="A652" s="1" t="s">
        <v>1892</v>
      </c>
      <c r="B652" s="1" t="s">
        <v>2179</v>
      </c>
      <c r="C652" s="1" t="s">
        <v>21</v>
      </c>
      <c r="D652" s="4" t="s">
        <v>2180</v>
      </c>
      <c r="E652" s="1" t="s">
        <v>1634</v>
      </c>
      <c r="F652" s="1" t="s">
        <v>2171</v>
      </c>
      <c r="G652" s="1" t="s">
        <v>2172</v>
      </c>
      <c r="H652" s="7" t="s">
        <v>2181</v>
      </c>
      <c r="I652" s="1" t="str">
        <f t="shared" si="1"/>
        <v>4</v>
      </c>
      <c r="J652" s="5"/>
      <c r="K652" s="1" t="str">
        <f t="shared" si="2"/>
        <v>3</v>
      </c>
      <c r="L652" s="5"/>
      <c r="M652" s="2" t="str">
        <f t="shared" si="3"/>
        <v>1402</v>
      </c>
      <c r="N652" s="5"/>
      <c r="O652" s="2" t="s">
        <v>2182</v>
      </c>
      <c r="P652" s="5"/>
      <c r="Q652" s="5"/>
      <c r="R652" s="8" t="s">
        <v>2181</v>
      </c>
      <c r="S652" s="5"/>
      <c r="T652" s="1" t="str">
        <f>IFERROR(__xludf.DUMMYFUNCTION("INDEX(SPLIT(A652, ""/""), 2)"),"تشکل‌های اسلامی و سیاسی")</f>
        <v>تشکل‌های اسلامی و سیاسی</v>
      </c>
      <c r="U652" s="1" t="str">
        <f>IFERROR(__xludf.DUMMYFUNCTION("INDEX(SPLIT(A652, ""/""), 3)"),"بسیج دانشجویی")</f>
        <v>بسیج دانشجویی</v>
      </c>
      <c r="V652" s="1" t="str">
        <f>IFERROR(__xludf.DUMMYFUNCTION("INDEX(SPLIT(A652, ""/""), 4)"),"میدان انقلاب")</f>
        <v>میدان انقلاب</v>
      </c>
    </row>
    <row r="653">
      <c r="A653" s="1" t="s">
        <v>1892</v>
      </c>
      <c r="B653" s="1" t="s">
        <v>2183</v>
      </c>
      <c r="C653" s="1" t="s">
        <v>21</v>
      </c>
      <c r="D653" s="4" t="s">
        <v>2184</v>
      </c>
      <c r="E653" s="1" t="s">
        <v>1634</v>
      </c>
      <c r="F653" s="1" t="s">
        <v>2171</v>
      </c>
      <c r="G653" s="1" t="s">
        <v>2172</v>
      </c>
      <c r="H653" s="1" t="s">
        <v>2185</v>
      </c>
      <c r="I653" s="1" t="str">
        <f t="shared" si="1"/>
        <v>18</v>
      </c>
      <c r="J653" s="5"/>
      <c r="K653" s="1" t="str">
        <f t="shared" si="2"/>
        <v>3</v>
      </c>
      <c r="L653" s="5"/>
      <c r="M653" s="2" t="str">
        <f t="shared" si="3"/>
        <v>1402</v>
      </c>
      <c r="N653" s="5"/>
      <c r="O653" s="2">
        <v>96.0</v>
      </c>
      <c r="P653" s="5"/>
      <c r="Q653" s="5"/>
      <c r="R653" s="6" t="s">
        <v>2185</v>
      </c>
      <c r="S653" s="5"/>
      <c r="T653" s="1" t="str">
        <f>IFERROR(__xludf.DUMMYFUNCTION("INDEX(SPLIT(A653, ""/""), 2)"),"تشکل‌های اسلامی و سیاسی")</f>
        <v>تشکل‌های اسلامی و سیاسی</v>
      </c>
      <c r="U653" s="1" t="str">
        <f>IFERROR(__xludf.DUMMYFUNCTION("INDEX(SPLIT(A653, ""/""), 3)"),"بسیج دانشجویی")</f>
        <v>بسیج دانشجویی</v>
      </c>
      <c r="V653" s="1" t="str">
        <f>IFERROR(__xludf.DUMMYFUNCTION("INDEX(SPLIT(A653, ""/""), 4)"),"میدان انقلاب")</f>
        <v>میدان انقلاب</v>
      </c>
    </row>
    <row r="654">
      <c r="A654" s="1" t="s">
        <v>1892</v>
      </c>
      <c r="B654" s="1" t="s">
        <v>2186</v>
      </c>
      <c r="C654" s="1" t="s">
        <v>21</v>
      </c>
      <c r="D654" s="4" t="s">
        <v>2187</v>
      </c>
      <c r="E654" s="1" t="s">
        <v>1634</v>
      </c>
      <c r="F654" s="1" t="s">
        <v>2171</v>
      </c>
      <c r="G654" s="1" t="s">
        <v>752</v>
      </c>
      <c r="H654" s="1" t="s">
        <v>462</v>
      </c>
      <c r="I654" s="1" t="str">
        <f t="shared" si="1"/>
        <v>x</v>
      </c>
      <c r="J654" s="1">
        <v>1.0</v>
      </c>
      <c r="K654" s="1" t="str">
        <f t="shared" si="2"/>
        <v>8</v>
      </c>
      <c r="L654" s="5"/>
      <c r="M654" s="2" t="str">
        <f t="shared" si="3"/>
        <v>1402</v>
      </c>
      <c r="N654" s="5"/>
      <c r="O654" s="2">
        <v>97.0</v>
      </c>
      <c r="P654" s="5"/>
      <c r="Q654" s="5"/>
      <c r="R654" s="6" t="s">
        <v>463</v>
      </c>
      <c r="S654" s="1"/>
      <c r="T654" s="1" t="str">
        <f>IFERROR(__xludf.DUMMYFUNCTION("INDEX(SPLIT(A654, ""/""), 2)"),"تشکل‌های اسلامی و سیاسی")</f>
        <v>تشکل‌های اسلامی و سیاسی</v>
      </c>
      <c r="U654" s="1" t="str">
        <f>IFERROR(__xludf.DUMMYFUNCTION("INDEX(SPLIT(A654, ""/""), 3)"),"بسیج دانشجویی")</f>
        <v>بسیج دانشجویی</v>
      </c>
      <c r="V654" s="1" t="str">
        <f>IFERROR(__xludf.DUMMYFUNCTION("INDEX(SPLIT(A654, ""/""), 4)"),"میدان انقلاب")</f>
        <v>میدان انقلاب</v>
      </c>
    </row>
    <row r="655">
      <c r="A655" s="1" t="s">
        <v>1892</v>
      </c>
      <c r="B655" s="1" t="s">
        <v>2188</v>
      </c>
      <c r="C655" s="1" t="s">
        <v>21</v>
      </c>
      <c r="D655" s="4" t="s">
        <v>2189</v>
      </c>
      <c r="E655" s="1" t="s">
        <v>1634</v>
      </c>
      <c r="F655" s="1" t="s">
        <v>2171</v>
      </c>
      <c r="G655" s="1" t="s">
        <v>752</v>
      </c>
      <c r="H655" s="1" t="s">
        <v>2190</v>
      </c>
      <c r="I655" s="1" t="str">
        <f t="shared" si="1"/>
        <v>20</v>
      </c>
      <c r="J655" s="5"/>
      <c r="K655" s="1" t="str">
        <f t="shared" si="2"/>
        <v>8</v>
      </c>
      <c r="L655" s="5"/>
      <c r="M655" s="2" t="str">
        <f t="shared" si="3"/>
        <v>1402</v>
      </c>
      <c r="N655" s="5"/>
      <c r="O655" s="2" t="s">
        <v>2191</v>
      </c>
      <c r="P655" s="5"/>
      <c r="Q655" s="5"/>
      <c r="R655" s="6" t="s">
        <v>2190</v>
      </c>
      <c r="S655" s="5"/>
      <c r="T655" s="1" t="str">
        <f>IFERROR(__xludf.DUMMYFUNCTION("INDEX(SPLIT(A655, ""/""), 2)"),"تشکل‌های اسلامی و سیاسی")</f>
        <v>تشکل‌های اسلامی و سیاسی</v>
      </c>
      <c r="U655" s="1" t="str">
        <f>IFERROR(__xludf.DUMMYFUNCTION("INDEX(SPLIT(A655, ""/""), 3)"),"بسیج دانشجویی")</f>
        <v>بسیج دانشجویی</v>
      </c>
      <c r="V655" s="1" t="str">
        <f>IFERROR(__xludf.DUMMYFUNCTION("INDEX(SPLIT(A655, ""/""), 4)"),"میدان انقلاب")</f>
        <v>میدان انقلاب</v>
      </c>
    </row>
    <row r="656">
      <c r="A656" s="1" t="s">
        <v>1892</v>
      </c>
      <c r="B656" s="1" t="s">
        <v>2192</v>
      </c>
      <c r="C656" s="1" t="s">
        <v>21</v>
      </c>
      <c r="D656" s="4" t="s">
        <v>2193</v>
      </c>
      <c r="E656" s="1" t="s">
        <v>1634</v>
      </c>
      <c r="F656" s="1" t="s">
        <v>2194</v>
      </c>
      <c r="G656" s="1" t="s">
        <v>2195</v>
      </c>
      <c r="H656" s="1" t="s">
        <v>466</v>
      </c>
      <c r="I656" s="1" t="str">
        <f t="shared" si="1"/>
        <v>x</v>
      </c>
      <c r="J656" s="1">
        <v>3.0</v>
      </c>
      <c r="K656" s="1" t="str">
        <f t="shared" si="2"/>
        <v>9</v>
      </c>
      <c r="L656" s="5"/>
      <c r="M656" s="2" t="str">
        <f t="shared" si="3"/>
        <v>1402</v>
      </c>
      <c r="N656" s="5"/>
      <c r="O656" s="2">
        <v>98.0</v>
      </c>
      <c r="P656" s="5"/>
      <c r="Q656" s="5"/>
      <c r="R656" s="6" t="s">
        <v>467</v>
      </c>
      <c r="S656" s="1"/>
      <c r="T656" s="1" t="str">
        <f>IFERROR(__xludf.DUMMYFUNCTION("INDEX(SPLIT(A656, ""/""), 2)"),"تشکل‌های اسلامی و سیاسی")</f>
        <v>تشکل‌های اسلامی و سیاسی</v>
      </c>
      <c r="U656" s="1" t="str">
        <f>IFERROR(__xludf.DUMMYFUNCTION("INDEX(SPLIT(A656, ""/""), 3)"),"بسیج دانشجویی")</f>
        <v>بسیج دانشجویی</v>
      </c>
      <c r="V656" s="1" t="str">
        <f>IFERROR(__xludf.DUMMYFUNCTION("INDEX(SPLIT(A656, ""/""), 4)"),"میدان انقلاب")</f>
        <v>میدان انقلاب</v>
      </c>
    </row>
    <row r="657">
      <c r="A657" s="1" t="s">
        <v>1892</v>
      </c>
      <c r="B657" s="1" t="s">
        <v>2196</v>
      </c>
      <c r="C657" s="1" t="s">
        <v>21</v>
      </c>
      <c r="D657" s="4" t="s">
        <v>2197</v>
      </c>
      <c r="E657" s="1" t="s">
        <v>1634</v>
      </c>
      <c r="F657" s="1" t="s">
        <v>71</v>
      </c>
      <c r="G657" s="1" t="s">
        <v>71</v>
      </c>
      <c r="H657" s="1" t="s">
        <v>2198</v>
      </c>
      <c r="I657" s="1" t="str">
        <f t="shared" si="1"/>
        <v>x</v>
      </c>
      <c r="J657" s="5"/>
      <c r="K657" s="1" t="str">
        <f t="shared" si="2"/>
        <v>12</v>
      </c>
      <c r="L657" s="5"/>
      <c r="M657" s="2" t="str">
        <f t="shared" si="3"/>
        <v>1402</v>
      </c>
      <c r="N657" s="5"/>
      <c r="O657" s="2" t="s">
        <v>2199</v>
      </c>
      <c r="P657" s="5"/>
      <c r="Q657" s="5"/>
      <c r="R657" s="6" t="s">
        <v>2200</v>
      </c>
      <c r="S657" s="5"/>
      <c r="T657" s="1" t="str">
        <f>IFERROR(__xludf.DUMMYFUNCTION("INDEX(SPLIT(A657, ""/""), 2)"),"تشکل‌های اسلامی و سیاسی")</f>
        <v>تشکل‌های اسلامی و سیاسی</v>
      </c>
      <c r="U657" s="1" t="str">
        <f>IFERROR(__xludf.DUMMYFUNCTION("INDEX(SPLIT(A657, ""/""), 3)"),"بسیج دانشجویی")</f>
        <v>بسیج دانشجویی</v>
      </c>
      <c r="V657" s="1" t="str">
        <f>IFERROR(__xludf.DUMMYFUNCTION("INDEX(SPLIT(A657, ""/""), 4)"),"میدان انقلاب")</f>
        <v>میدان انقلاب</v>
      </c>
    </row>
    <row r="658">
      <c r="A658" s="1" t="s">
        <v>1892</v>
      </c>
      <c r="B658" s="1" t="s">
        <v>2201</v>
      </c>
      <c r="C658" s="1" t="s">
        <v>21</v>
      </c>
      <c r="D658" s="4" t="s">
        <v>2202</v>
      </c>
      <c r="E658" s="1" t="s">
        <v>1634</v>
      </c>
      <c r="F658" s="1" t="s">
        <v>71</v>
      </c>
      <c r="G658" s="1" t="s">
        <v>71</v>
      </c>
      <c r="H658" s="7" t="s">
        <v>2203</v>
      </c>
      <c r="I658" s="1" t="str">
        <f t="shared" si="1"/>
        <v>3</v>
      </c>
      <c r="J658" s="5"/>
      <c r="K658" s="1" t="str">
        <f t="shared" si="2"/>
        <v>3</v>
      </c>
      <c r="L658" s="5"/>
      <c r="M658" s="2" t="str">
        <f t="shared" si="3"/>
        <v>1403</v>
      </c>
      <c r="N658" s="5"/>
      <c r="O658" s="2" t="s">
        <v>2204</v>
      </c>
      <c r="P658" s="5"/>
      <c r="Q658" s="5"/>
      <c r="R658" s="8" t="s">
        <v>2203</v>
      </c>
      <c r="S658" s="5"/>
      <c r="T658" s="1" t="str">
        <f>IFERROR(__xludf.DUMMYFUNCTION("INDEX(SPLIT(A658, ""/""), 2)"),"تشکل‌های اسلامی و سیاسی")</f>
        <v>تشکل‌های اسلامی و سیاسی</v>
      </c>
      <c r="U658" s="1" t="str">
        <f>IFERROR(__xludf.DUMMYFUNCTION("INDEX(SPLIT(A658, ""/""), 3)"),"بسیج دانشجویی")</f>
        <v>بسیج دانشجویی</v>
      </c>
      <c r="V658" s="1" t="str">
        <f>IFERROR(__xludf.DUMMYFUNCTION("INDEX(SPLIT(A658, ""/""), 4)"),"میدان انقلاب")</f>
        <v>میدان انقلاب</v>
      </c>
    </row>
    <row r="659">
      <c r="A659" s="1" t="s">
        <v>1892</v>
      </c>
      <c r="B659" s="1" t="s">
        <v>2205</v>
      </c>
      <c r="C659" s="1" t="s">
        <v>21</v>
      </c>
      <c r="D659" s="4" t="s">
        <v>2206</v>
      </c>
      <c r="E659" s="1" t="s">
        <v>1634</v>
      </c>
      <c r="F659" s="1" t="s">
        <v>2207</v>
      </c>
      <c r="G659" s="1" t="s">
        <v>2208</v>
      </c>
      <c r="H659" s="1" t="s">
        <v>548</v>
      </c>
      <c r="I659" s="1" t="str">
        <f t="shared" si="1"/>
        <v>x</v>
      </c>
      <c r="J659" s="1">
        <v>3.0</v>
      </c>
      <c r="K659" s="1" t="str">
        <f t="shared" si="2"/>
        <v>7</v>
      </c>
      <c r="L659" s="5"/>
      <c r="M659" s="2" t="str">
        <f t="shared" si="3"/>
        <v>1403</v>
      </c>
      <c r="N659" s="5"/>
      <c r="O659" s="2">
        <v>99.0</v>
      </c>
      <c r="P659" s="5"/>
      <c r="Q659" s="5"/>
      <c r="R659" s="6" t="s">
        <v>549</v>
      </c>
      <c r="S659" s="1"/>
      <c r="T659" s="1" t="str">
        <f>IFERROR(__xludf.DUMMYFUNCTION("INDEX(SPLIT(A659, ""/""), 2)"),"تشکل‌های اسلامی و سیاسی")</f>
        <v>تشکل‌های اسلامی و سیاسی</v>
      </c>
      <c r="U659" s="1" t="str">
        <f>IFERROR(__xludf.DUMMYFUNCTION("INDEX(SPLIT(A659, ""/""), 3)"),"بسیج دانشجویی")</f>
        <v>بسیج دانشجویی</v>
      </c>
      <c r="V659" s="1" t="str">
        <f>IFERROR(__xludf.DUMMYFUNCTION("INDEX(SPLIT(A659, ""/""), 4)"),"میدان انقلاب")</f>
        <v>میدان انقلاب</v>
      </c>
    </row>
    <row r="660">
      <c r="A660" s="1" t="s">
        <v>1892</v>
      </c>
      <c r="B660" s="1" t="s">
        <v>2209</v>
      </c>
      <c r="C660" s="1" t="s">
        <v>21</v>
      </c>
      <c r="D660" s="4" t="s">
        <v>2210</v>
      </c>
      <c r="E660" s="1" t="s">
        <v>1634</v>
      </c>
      <c r="F660" s="1" t="s">
        <v>2207</v>
      </c>
      <c r="G660" s="1" t="s">
        <v>71</v>
      </c>
      <c r="H660" s="1" t="s">
        <v>2211</v>
      </c>
      <c r="I660" s="1" t="str">
        <f t="shared" si="1"/>
        <v>19</v>
      </c>
      <c r="J660" s="5"/>
      <c r="K660" s="1" t="str">
        <f t="shared" si="2"/>
        <v>9</v>
      </c>
      <c r="L660" s="5"/>
      <c r="M660" s="2" t="str">
        <f t="shared" si="3"/>
        <v>1403</v>
      </c>
      <c r="N660" s="5"/>
      <c r="O660" s="2" t="s">
        <v>2212</v>
      </c>
      <c r="P660" s="5"/>
      <c r="Q660" s="5"/>
      <c r="R660" s="6" t="s">
        <v>2211</v>
      </c>
      <c r="S660" s="5"/>
      <c r="T660" s="1" t="str">
        <f>IFERROR(__xludf.DUMMYFUNCTION("INDEX(SPLIT(A660, ""/""), 2)"),"تشکل‌های اسلامی و سیاسی")</f>
        <v>تشکل‌های اسلامی و سیاسی</v>
      </c>
      <c r="U660" s="1" t="str">
        <f>IFERROR(__xludf.DUMMYFUNCTION("INDEX(SPLIT(A660, ""/""), 3)"),"بسیج دانشجویی")</f>
        <v>بسیج دانشجویی</v>
      </c>
      <c r="V660" s="1" t="str">
        <f>IFERROR(__xludf.DUMMYFUNCTION("INDEX(SPLIT(A660, ""/""), 4)"),"میدان انقلاب")</f>
        <v>میدان انقلاب</v>
      </c>
    </row>
    <row r="661">
      <c r="A661" s="1" t="s">
        <v>1892</v>
      </c>
      <c r="B661" s="1" t="s">
        <v>2213</v>
      </c>
      <c r="C661" s="1" t="s">
        <v>21</v>
      </c>
      <c r="D661" s="4" t="s">
        <v>2214</v>
      </c>
      <c r="E661" s="1" t="s">
        <v>1634</v>
      </c>
      <c r="F661" s="1" t="s">
        <v>2207</v>
      </c>
      <c r="G661" s="1" t="s">
        <v>2215</v>
      </c>
      <c r="H661" s="1" t="s">
        <v>2216</v>
      </c>
      <c r="I661" s="1" t="str">
        <f t="shared" si="1"/>
        <v>27</v>
      </c>
      <c r="J661" s="5"/>
      <c r="K661" s="1" t="str">
        <f t="shared" si="2"/>
        <v>11</v>
      </c>
      <c r="L661" s="5"/>
      <c r="M661" s="2" t="str">
        <f t="shared" si="3"/>
        <v>1403</v>
      </c>
      <c r="N661" s="5"/>
      <c r="O661" s="2" t="s">
        <v>2217</v>
      </c>
      <c r="P661" s="5"/>
      <c r="Q661" s="5"/>
      <c r="R661" s="6" t="s">
        <v>2216</v>
      </c>
      <c r="S661" s="5"/>
      <c r="T661" s="1" t="str">
        <f>IFERROR(__xludf.DUMMYFUNCTION("INDEX(SPLIT(A661, ""/""), 2)"),"تشکل‌های اسلامی و سیاسی")</f>
        <v>تشکل‌های اسلامی و سیاسی</v>
      </c>
      <c r="U661" s="1" t="str">
        <f>IFERROR(__xludf.DUMMYFUNCTION("INDEX(SPLIT(A661, ""/""), 3)"),"بسیج دانشجویی")</f>
        <v>بسیج دانشجویی</v>
      </c>
      <c r="V661" s="1" t="str">
        <f>IFERROR(__xludf.DUMMYFUNCTION("INDEX(SPLIT(A661, ""/""), 4)"),"میدان انقلاب")</f>
        <v>میدان انقلاب</v>
      </c>
    </row>
    <row r="662">
      <c r="A662" s="1" t="s">
        <v>1892</v>
      </c>
      <c r="B662" s="1" t="s">
        <v>2218</v>
      </c>
      <c r="C662" s="1" t="s">
        <v>21</v>
      </c>
      <c r="D662" s="4" t="s">
        <v>2219</v>
      </c>
      <c r="E662" s="1" t="s">
        <v>1634</v>
      </c>
      <c r="F662" s="1" t="s">
        <v>2207</v>
      </c>
      <c r="G662" s="1" t="s">
        <v>2220</v>
      </c>
      <c r="H662" s="1" t="s">
        <v>2221</v>
      </c>
      <c r="I662" s="1" t="str">
        <f t="shared" si="1"/>
        <v>x</v>
      </c>
      <c r="J662" s="1">
        <v>3.0</v>
      </c>
      <c r="K662" s="1" t="str">
        <f t="shared" si="2"/>
        <v>12</v>
      </c>
      <c r="L662" s="5"/>
      <c r="M662" s="2" t="str">
        <f t="shared" si="3"/>
        <v>1403</v>
      </c>
      <c r="N662" s="5"/>
      <c r="O662" s="2">
        <v>100.0</v>
      </c>
      <c r="P662" s="5"/>
      <c r="Q662" s="5"/>
      <c r="R662" s="6" t="s">
        <v>2222</v>
      </c>
      <c r="S662" s="1"/>
      <c r="T662" s="1" t="str">
        <f>IFERROR(__xludf.DUMMYFUNCTION("INDEX(SPLIT(A662, ""/""), 2)"),"تشکل‌های اسلامی و سیاسی")</f>
        <v>تشکل‌های اسلامی و سیاسی</v>
      </c>
      <c r="U662" s="1" t="str">
        <f>IFERROR(__xludf.DUMMYFUNCTION("INDEX(SPLIT(A662, ""/""), 3)"),"بسیج دانشجویی")</f>
        <v>بسیج دانشجویی</v>
      </c>
      <c r="V662" s="1" t="str">
        <f>IFERROR(__xludf.DUMMYFUNCTION("INDEX(SPLIT(A662, ""/""), 4)"),"میدان انقلاب")</f>
        <v>میدان انقلاب</v>
      </c>
    </row>
    <row r="663">
      <c r="A663" s="1" t="s">
        <v>1892</v>
      </c>
      <c r="B663" s="1" t="s">
        <v>2223</v>
      </c>
      <c r="C663" s="1" t="s">
        <v>21</v>
      </c>
      <c r="D663" s="4" t="s">
        <v>2224</v>
      </c>
      <c r="E663" s="1" t="s">
        <v>1634</v>
      </c>
      <c r="F663" s="1" t="s">
        <v>2225</v>
      </c>
      <c r="G663" s="1" t="s">
        <v>2220</v>
      </c>
      <c r="H663" s="1" t="s">
        <v>2226</v>
      </c>
      <c r="I663" s="1" t="str">
        <f t="shared" si="1"/>
        <v>x</v>
      </c>
      <c r="J663" s="1">
        <v>2.0</v>
      </c>
      <c r="K663" s="1" t="str">
        <f t="shared" si="2"/>
        <v>3</v>
      </c>
      <c r="L663" s="5"/>
      <c r="M663" s="2" t="str">
        <f t="shared" si="3"/>
        <v>1404</v>
      </c>
      <c r="N663" s="5"/>
      <c r="O663" s="2">
        <v>101.0</v>
      </c>
      <c r="P663" s="5"/>
      <c r="Q663" s="5"/>
      <c r="R663" s="6" t="s">
        <v>2227</v>
      </c>
      <c r="S663" s="1"/>
      <c r="T663" s="1" t="str">
        <f>IFERROR(__xludf.DUMMYFUNCTION("INDEX(SPLIT(A663, ""/""), 2)"),"تشکل‌های اسلامی و سیاسی")</f>
        <v>تشکل‌های اسلامی و سیاسی</v>
      </c>
      <c r="U663" s="1" t="str">
        <f>IFERROR(__xludf.DUMMYFUNCTION("INDEX(SPLIT(A663, ""/""), 3)"),"بسیج دانشجویی")</f>
        <v>بسیج دانشجویی</v>
      </c>
      <c r="V663" s="1" t="str">
        <f>IFERROR(__xludf.DUMMYFUNCTION("INDEX(SPLIT(A663, ""/""), 4)"),"میدان انقلاب")</f>
        <v>میدان انقلاب</v>
      </c>
    </row>
    <row r="664">
      <c r="A664" s="1" t="s">
        <v>1892</v>
      </c>
      <c r="B664" s="1" t="s">
        <v>2228</v>
      </c>
      <c r="C664" s="1" t="s">
        <v>21</v>
      </c>
      <c r="D664" s="4" t="s">
        <v>2229</v>
      </c>
      <c r="E664" s="1" t="s">
        <v>1634</v>
      </c>
      <c r="F664" s="1" t="s">
        <v>71</v>
      </c>
      <c r="G664" s="1" t="s">
        <v>71</v>
      </c>
      <c r="H664" s="1" t="s">
        <v>2226</v>
      </c>
      <c r="I664" s="1" t="str">
        <f t="shared" si="1"/>
        <v>x</v>
      </c>
      <c r="J664" s="5"/>
      <c r="K664" s="1" t="str">
        <f t="shared" si="2"/>
        <v>3</v>
      </c>
      <c r="L664" s="5"/>
      <c r="M664" s="2" t="str">
        <f t="shared" si="3"/>
        <v>1404</v>
      </c>
      <c r="N664" s="5"/>
      <c r="O664" s="2" t="s">
        <v>2230</v>
      </c>
      <c r="P664" s="5"/>
      <c r="Q664" s="5"/>
      <c r="R664" s="6" t="s">
        <v>2227</v>
      </c>
      <c r="S664" s="5"/>
      <c r="T664" s="1" t="str">
        <f>IFERROR(__xludf.DUMMYFUNCTION("INDEX(SPLIT(A664, ""/""), 2)"),"تشکل‌های اسلامی و سیاسی")</f>
        <v>تشکل‌های اسلامی و سیاسی</v>
      </c>
      <c r="U664" s="1" t="str">
        <f>IFERROR(__xludf.DUMMYFUNCTION("INDEX(SPLIT(A664, ""/""), 3)"),"بسیج دانشجویی")</f>
        <v>بسیج دانشجویی</v>
      </c>
      <c r="V664" s="1" t="str">
        <f>IFERROR(__xludf.DUMMYFUNCTION("INDEX(SPLIT(A664, ""/""), 4)"),"میدان انقلاب")</f>
        <v>میدان انقلاب</v>
      </c>
    </row>
    <row r="665">
      <c r="A665" s="1" t="s">
        <v>2231</v>
      </c>
      <c r="B665" s="1" t="s">
        <v>2232</v>
      </c>
      <c r="C665" s="1" t="s">
        <v>21</v>
      </c>
      <c r="D665" s="4" t="s">
        <v>2233</v>
      </c>
      <c r="E665" s="1" t="s">
        <v>2234</v>
      </c>
      <c r="F665" s="1" t="s">
        <v>2235</v>
      </c>
      <c r="G665" s="1" t="s">
        <v>2236</v>
      </c>
      <c r="H665" s="1" t="s">
        <v>229</v>
      </c>
      <c r="I665" s="1" t="str">
        <f t="shared" si="1"/>
        <v>x</v>
      </c>
      <c r="J665" s="5"/>
      <c r="K665" s="1" t="str">
        <f t="shared" si="2"/>
        <v>9</v>
      </c>
      <c r="L665" s="5"/>
      <c r="M665" s="2" t="str">
        <f t="shared" si="3"/>
        <v>1394</v>
      </c>
      <c r="N665" s="5"/>
      <c r="O665" s="2">
        <v>10.0</v>
      </c>
      <c r="P665" s="5"/>
      <c r="Q665" s="5"/>
      <c r="R665" s="6" t="s">
        <v>230</v>
      </c>
      <c r="S665" s="5"/>
      <c r="T665" s="1" t="str">
        <f>IFERROR(__xludf.DUMMYFUNCTION("INDEX(SPLIT(A665, ""/""), 2)"),"تشکل‌های اسلامی و سیاسی")</f>
        <v>تشکل‌های اسلامی و سیاسی</v>
      </c>
      <c r="U665" s="1" t="str">
        <f>IFERROR(__xludf.DUMMYFUNCTION("INDEX(SPLIT(A665, ""/""), 3)"),"کانون مهدویت")</f>
        <v>کانون مهدویت</v>
      </c>
      <c r="V665" s="1" t="str">
        <f>IFERROR(__xludf.DUMMYFUNCTION("INDEX(SPLIT(A665, ""/""), 4)"),"مشتاق")</f>
        <v>مشتاق</v>
      </c>
    </row>
    <row r="666">
      <c r="A666" s="1" t="s">
        <v>2231</v>
      </c>
      <c r="B666" s="1" t="s">
        <v>2237</v>
      </c>
      <c r="C666" s="1" t="s">
        <v>21</v>
      </c>
      <c r="D666" s="4" t="s">
        <v>2238</v>
      </c>
      <c r="E666" s="1" t="s">
        <v>2234</v>
      </c>
      <c r="F666" s="1" t="s">
        <v>2235</v>
      </c>
      <c r="G666" s="1" t="s">
        <v>2236</v>
      </c>
      <c r="H666" s="1" t="s">
        <v>242</v>
      </c>
      <c r="I666" s="1" t="str">
        <f t="shared" si="1"/>
        <v>x</v>
      </c>
      <c r="J666" s="5"/>
      <c r="K666" s="1" t="str">
        <f t="shared" si="2"/>
        <v>3</v>
      </c>
      <c r="L666" s="5"/>
      <c r="M666" s="2" t="str">
        <f t="shared" si="3"/>
        <v>1395</v>
      </c>
      <c r="N666" s="5"/>
      <c r="O666" s="2">
        <v>14.0</v>
      </c>
      <c r="P666" s="5"/>
      <c r="Q666" s="5"/>
      <c r="R666" s="6" t="s">
        <v>243</v>
      </c>
      <c r="S666" s="5"/>
      <c r="T666" s="1" t="str">
        <f>IFERROR(__xludf.DUMMYFUNCTION("INDEX(SPLIT(A666, ""/""), 2)"),"تشکل‌های اسلامی و سیاسی")</f>
        <v>تشکل‌های اسلامی و سیاسی</v>
      </c>
      <c r="U666" s="1" t="str">
        <f>IFERROR(__xludf.DUMMYFUNCTION("INDEX(SPLIT(A666, ""/""), 3)"),"کانون مهدویت")</f>
        <v>کانون مهدویت</v>
      </c>
      <c r="V666" s="1" t="str">
        <f>IFERROR(__xludf.DUMMYFUNCTION("INDEX(SPLIT(A666, ""/""), 4)"),"مشتاق")</f>
        <v>مشتاق</v>
      </c>
    </row>
    <row r="667">
      <c r="A667" s="1" t="s">
        <v>2231</v>
      </c>
      <c r="B667" s="1" t="s">
        <v>2239</v>
      </c>
      <c r="C667" s="1" t="s">
        <v>21</v>
      </c>
      <c r="D667" s="4" t="s">
        <v>2240</v>
      </c>
      <c r="E667" s="1" t="s">
        <v>2234</v>
      </c>
      <c r="F667" s="1" t="s">
        <v>2241</v>
      </c>
      <c r="G667" s="1" t="s">
        <v>2242</v>
      </c>
      <c r="H667" s="1" t="s">
        <v>2243</v>
      </c>
      <c r="I667" s="1" t="str">
        <f t="shared" si="1"/>
        <v>20</v>
      </c>
      <c r="J667" s="5"/>
      <c r="K667" s="1" t="str">
        <f t="shared" si="2"/>
        <v>9</v>
      </c>
      <c r="L667" s="5"/>
      <c r="M667" s="2" t="str">
        <f t="shared" si="3"/>
        <v>1395</v>
      </c>
      <c r="N667" s="5"/>
      <c r="O667" s="2" t="s">
        <v>2244</v>
      </c>
      <c r="P667" s="5"/>
      <c r="Q667" s="5"/>
      <c r="R667" s="6" t="s">
        <v>2243</v>
      </c>
      <c r="S667" s="5"/>
      <c r="T667" s="1" t="str">
        <f>IFERROR(__xludf.DUMMYFUNCTION("INDEX(SPLIT(A667, ""/""), 2)"),"تشکل‌های اسلامی و سیاسی")</f>
        <v>تشکل‌های اسلامی و سیاسی</v>
      </c>
      <c r="U667" s="1" t="str">
        <f>IFERROR(__xludf.DUMMYFUNCTION("INDEX(SPLIT(A667, ""/""), 3)"),"کانون مهدویت")</f>
        <v>کانون مهدویت</v>
      </c>
      <c r="V667" s="1" t="str">
        <f>IFERROR(__xludf.DUMMYFUNCTION("INDEX(SPLIT(A667, ""/""), 4)"),"مشتاق")</f>
        <v>مشتاق</v>
      </c>
    </row>
    <row r="668">
      <c r="A668" s="1" t="s">
        <v>2231</v>
      </c>
      <c r="B668" s="1" t="s">
        <v>2245</v>
      </c>
      <c r="C668" s="1" t="s">
        <v>21</v>
      </c>
      <c r="D668" s="4" t="s">
        <v>2246</v>
      </c>
      <c r="E668" s="1" t="s">
        <v>2234</v>
      </c>
      <c r="F668" s="1" t="s">
        <v>2241</v>
      </c>
      <c r="G668" s="1" t="s">
        <v>2242</v>
      </c>
      <c r="H668" s="1" t="s">
        <v>250</v>
      </c>
      <c r="I668" s="1" t="str">
        <f t="shared" si="1"/>
        <v>x</v>
      </c>
      <c r="J668" s="5"/>
      <c r="K668" s="1" t="str">
        <f t="shared" si="2"/>
        <v>11</v>
      </c>
      <c r="L668" s="5"/>
      <c r="M668" s="2" t="str">
        <f t="shared" si="3"/>
        <v>1395</v>
      </c>
      <c r="N668" s="5"/>
      <c r="O668" s="2" t="s">
        <v>2247</v>
      </c>
      <c r="P668" s="5"/>
      <c r="Q668" s="5"/>
      <c r="R668" s="6" t="s">
        <v>251</v>
      </c>
      <c r="S668" s="5"/>
      <c r="T668" s="1" t="str">
        <f>IFERROR(__xludf.DUMMYFUNCTION("INDEX(SPLIT(A668, ""/""), 2)"),"تشکل‌های اسلامی و سیاسی")</f>
        <v>تشکل‌های اسلامی و سیاسی</v>
      </c>
      <c r="U668" s="1" t="str">
        <f>IFERROR(__xludf.DUMMYFUNCTION("INDEX(SPLIT(A668, ""/""), 3)"),"کانون مهدویت")</f>
        <v>کانون مهدویت</v>
      </c>
      <c r="V668" s="1" t="str">
        <f>IFERROR(__xludf.DUMMYFUNCTION("INDEX(SPLIT(A668, ""/""), 4)"),"مشتاق")</f>
        <v>مشتاق</v>
      </c>
    </row>
    <row r="669">
      <c r="A669" s="1" t="s">
        <v>2231</v>
      </c>
      <c r="B669" s="1" t="s">
        <v>2248</v>
      </c>
      <c r="C669" s="1" t="s">
        <v>21</v>
      </c>
      <c r="D669" s="4" t="s">
        <v>2249</v>
      </c>
      <c r="E669" s="1" t="s">
        <v>2234</v>
      </c>
      <c r="F669" s="1" t="s">
        <v>2241</v>
      </c>
      <c r="G669" s="1" t="s">
        <v>2242</v>
      </c>
      <c r="H669" s="1" t="s">
        <v>2250</v>
      </c>
      <c r="I669" s="1" t="str">
        <f t="shared" si="1"/>
        <v>23</v>
      </c>
      <c r="J669" s="5"/>
      <c r="K669" s="1" t="str">
        <f t="shared" si="2"/>
        <v>2</v>
      </c>
      <c r="L669" s="5"/>
      <c r="M669" s="2" t="str">
        <f t="shared" si="3"/>
        <v>1396</v>
      </c>
      <c r="N669" s="5"/>
      <c r="O669" s="2" t="s">
        <v>2251</v>
      </c>
      <c r="P669" s="5"/>
      <c r="Q669" s="5"/>
      <c r="R669" s="6" t="s">
        <v>2250</v>
      </c>
      <c r="S669" s="5"/>
      <c r="T669" s="1" t="str">
        <f>IFERROR(__xludf.DUMMYFUNCTION("INDEX(SPLIT(A669, ""/""), 2)"),"تشکل‌های اسلامی و سیاسی")</f>
        <v>تشکل‌های اسلامی و سیاسی</v>
      </c>
      <c r="U669" s="1" t="str">
        <f>IFERROR(__xludf.DUMMYFUNCTION("INDEX(SPLIT(A669, ""/""), 3)"),"کانون مهدویت")</f>
        <v>کانون مهدویت</v>
      </c>
      <c r="V669" s="1" t="str">
        <f>IFERROR(__xludf.DUMMYFUNCTION("INDEX(SPLIT(A669, ""/""), 4)"),"مشتاق")</f>
        <v>مشتاق</v>
      </c>
    </row>
    <row r="670">
      <c r="A670" s="1" t="s">
        <v>2231</v>
      </c>
      <c r="B670" s="1" t="s">
        <v>2252</v>
      </c>
      <c r="C670" s="1" t="s">
        <v>21</v>
      </c>
      <c r="D670" s="4" t="s">
        <v>2253</v>
      </c>
      <c r="E670" s="1" t="s">
        <v>2234</v>
      </c>
      <c r="F670" s="1" t="s">
        <v>2254</v>
      </c>
      <c r="G670" s="1" t="s">
        <v>2255</v>
      </c>
      <c r="H670" s="7" t="s">
        <v>2256</v>
      </c>
      <c r="I670" s="1" t="str">
        <f t="shared" si="1"/>
        <v>9</v>
      </c>
      <c r="J670" s="5"/>
      <c r="K670" s="1" t="str">
        <f t="shared" si="2"/>
        <v>11</v>
      </c>
      <c r="L670" s="5"/>
      <c r="M670" s="2" t="str">
        <f t="shared" si="3"/>
        <v>1398</v>
      </c>
      <c r="N670" s="5"/>
      <c r="O670" s="2" t="s">
        <v>2247</v>
      </c>
      <c r="P670" s="5"/>
      <c r="Q670" s="5"/>
      <c r="R670" s="8" t="s">
        <v>2256</v>
      </c>
      <c r="S670" s="5"/>
      <c r="T670" s="1" t="str">
        <f>IFERROR(__xludf.DUMMYFUNCTION("INDEX(SPLIT(A670, ""/""), 2)"),"تشکل‌های اسلامی و سیاسی")</f>
        <v>تشکل‌های اسلامی و سیاسی</v>
      </c>
      <c r="U670" s="1" t="str">
        <f>IFERROR(__xludf.DUMMYFUNCTION("INDEX(SPLIT(A670, ""/""), 3)"),"کانون مهدویت")</f>
        <v>کانون مهدویت</v>
      </c>
      <c r="V670" s="1" t="str">
        <f>IFERROR(__xludf.DUMMYFUNCTION("INDEX(SPLIT(A670, ""/""), 4)"),"مشتاق")</f>
        <v>مشتاق</v>
      </c>
    </row>
    <row r="671">
      <c r="A671" s="1" t="s">
        <v>2231</v>
      </c>
      <c r="B671" s="1" t="s">
        <v>2257</v>
      </c>
      <c r="C671" s="1" t="s">
        <v>21</v>
      </c>
      <c r="D671" s="4" t="s">
        <v>2258</v>
      </c>
      <c r="E671" s="1" t="s">
        <v>2234</v>
      </c>
      <c r="F671" s="1" t="s">
        <v>2254</v>
      </c>
      <c r="G671" s="1" t="s">
        <v>2255</v>
      </c>
      <c r="H671" s="1" t="s">
        <v>1582</v>
      </c>
      <c r="I671" s="1" t="str">
        <f t="shared" si="1"/>
        <v>17</v>
      </c>
      <c r="J671" s="5"/>
      <c r="K671" s="1" t="str">
        <f t="shared" si="2"/>
        <v>12</v>
      </c>
      <c r="L671" s="5"/>
      <c r="M671" s="2" t="str">
        <f t="shared" si="3"/>
        <v>1398</v>
      </c>
      <c r="N671" s="5"/>
      <c r="O671" s="2">
        <v>18.0</v>
      </c>
      <c r="P671" s="5"/>
      <c r="Q671" s="5"/>
      <c r="R671" s="6" t="s">
        <v>1582</v>
      </c>
      <c r="S671" s="5"/>
      <c r="T671" s="1" t="str">
        <f>IFERROR(__xludf.DUMMYFUNCTION("INDEX(SPLIT(A671, ""/""), 2)"),"تشکل‌های اسلامی و سیاسی")</f>
        <v>تشکل‌های اسلامی و سیاسی</v>
      </c>
      <c r="U671" s="1" t="str">
        <f>IFERROR(__xludf.DUMMYFUNCTION("INDEX(SPLIT(A671, ""/""), 3)"),"کانون مهدویت")</f>
        <v>کانون مهدویت</v>
      </c>
      <c r="V671" s="1" t="str">
        <f>IFERROR(__xludf.DUMMYFUNCTION("INDEX(SPLIT(A671, ""/""), 4)"),"مشتاق")</f>
        <v>مشتاق</v>
      </c>
    </row>
    <row r="672">
      <c r="A672" s="1" t="s">
        <v>2231</v>
      </c>
      <c r="B672" s="1" t="s">
        <v>2259</v>
      </c>
      <c r="C672" s="1" t="s">
        <v>21</v>
      </c>
      <c r="D672" s="4" t="s">
        <v>2260</v>
      </c>
      <c r="E672" s="1" t="s">
        <v>2234</v>
      </c>
      <c r="F672" s="1" t="s">
        <v>2254</v>
      </c>
      <c r="G672" s="1" t="s">
        <v>2255</v>
      </c>
      <c r="H672" s="7" t="s">
        <v>2261</v>
      </c>
      <c r="I672" s="1" t="str">
        <f t="shared" si="1"/>
        <v>5</v>
      </c>
      <c r="J672" s="5"/>
      <c r="K672" s="1" t="str">
        <f t="shared" si="2"/>
        <v>1</v>
      </c>
      <c r="L672" s="5"/>
      <c r="M672" s="2" t="str">
        <f t="shared" si="3"/>
        <v>1399</v>
      </c>
      <c r="N672" s="5"/>
      <c r="O672" s="2">
        <v>19.0</v>
      </c>
      <c r="P672" s="5"/>
      <c r="Q672" s="5"/>
      <c r="R672" s="8" t="s">
        <v>2261</v>
      </c>
      <c r="S672" s="5"/>
      <c r="T672" s="1" t="str">
        <f>IFERROR(__xludf.DUMMYFUNCTION("INDEX(SPLIT(A672, ""/""), 2)"),"تشکل‌های اسلامی و سیاسی")</f>
        <v>تشکل‌های اسلامی و سیاسی</v>
      </c>
      <c r="U672" s="1" t="str">
        <f>IFERROR(__xludf.DUMMYFUNCTION("INDEX(SPLIT(A672, ""/""), 3)"),"کانون مهدویت")</f>
        <v>کانون مهدویت</v>
      </c>
      <c r="V672" s="1" t="str">
        <f>IFERROR(__xludf.DUMMYFUNCTION("INDEX(SPLIT(A672, ""/""), 4)"),"مشتاق")</f>
        <v>مشتاق</v>
      </c>
    </row>
    <row r="673">
      <c r="A673" s="1" t="s">
        <v>2231</v>
      </c>
      <c r="B673" s="1" t="s">
        <v>2262</v>
      </c>
      <c r="C673" s="1" t="s">
        <v>21</v>
      </c>
      <c r="D673" s="4" t="s">
        <v>2263</v>
      </c>
      <c r="E673" s="1" t="s">
        <v>2234</v>
      </c>
      <c r="F673" s="1" t="s">
        <v>2254</v>
      </c>
      <c r="G673" s="1" t="s">
        <v>2255</v>
      </c>
      <c r="H673" s="1" t="s">
        <v>2264</v>
      </c>
      <c r="I673" s="1" t="str">
        <f t="shared" si="1"/>
        <v>20</v>
      </c>
      <c r="J673" s="5"/>
      <c r="K673" s="1" t="str">
        <f t="shared" si="2"/>
        <v>1</v>
      </c>
      <c r="L673" s="5"/>
      <c r="M673" s="2" t="str">
        <f t="shared" si="3"/>
        <v>1399</v>
      </c>
      <c r="N673" s="5"/>
      <c r="O673" s="2">
        <v>20.0</v>
      </c>
      <c r="P673" s="5"/>
      <c r="Q673" s="5"/>
      <c r="R673" s="6" t="s">
        <v>2264</v>
      </c>
      <c r="S673" s="5"/>
      <c r="T673" s="1" t="str">
        <f>IFERROR(__xludf.DUMMYFUNCTION("INDEX(SPLIT(A673, ""/""), 2)"),"تشکل‌های اسلامی و سیاسی")</f>
        <v>تشکل‌های اسلامی و سیاسی</v>
      </c>
      <c r="U673" s="1" t="str">
        <f>IFERROR(__xludf.DUMMYFUNCTION("INDEX(SPLIT(A673, ""/""), 3)"),"کانون مهدویت")</f>
        <v>کانون مهدویت</v>
      </c>
      <c r="V673" s="1" t="str">
        <f>IFERROR(__xludf.DUMMYFUNCTION("INDEX(SPLIT(A673, ""/""), 4)"),"مشتاق")</f>
        <v>مشتاق</v>
      </c>
    </row>
    <row r="674">
      <c r="A674" s="1" t="s">
        <v>2231</v>
      </c>
      <c r="B674" s="1" t="s">
        <v>2265</v>
      </c>
      <c r="C674" s="1" t="s">
        <v>21</v>
      </c>
      <c r="D674" s="4" t="s">
        <v>2266</v>
      </c>
      <c r="E674" s="1" t="s">
        <v>2234</v>
      </c>
      <c r="F674" s="1" t="s">
        <v>2254</v>
      </c>
      <c r="G674" s="1" t="s">
        <v>2255</v>
      </c>
      <c r="H674" s="1" t="s">
        <v>2267</v>
      </c>
      <c r="I674" s="1" t="str">
        <f t="shared" si="1"/>
        <v>23</v>
      </c>
      <c r="J674" s="5"/>
      <c r="K674" s="1" t="str">
        <f t="shared" si="2"/>
        <v>2</v>
      </c>
      <c r="L674" s="5"/>
      <c r="M674" s="2" t="str">
        <f t="shared" si="3"/>
        <v>1399</v>
      </c>
      <c r="N674" s="5"/>
      <c r="O674" s="2">
        <v>21.0</v>
      </c>
      <c r="P674" s="5"/>
      <c r="Q674" s="5"/>
      <c r="R674" s="6" t="s">
        <v>2267</v>
      </c>
      <c r="S674" s="5"/>
      <c r="T674" s="1" t="str">
        <f>IFERROR(__xludf.DUMMYFUNCTION("INDEX(SPLIT(A674, ""/""), 2)"),"تشکل‌های اسلامی و سیاسی")</f>
        <v>تشکل‌های اسلامی و سیاسی</v>
      </c>
      <c r="U674" s="1" t="str">
        <f>IFERROR(__xludf.DUMMYFUNCTION("INDEX(SPLIT(A674, ""/""), 3)"),"کانون مهدویت")</f>
        <v>کانون مهدویت</v>
      </c>
      <c r="V674" s="1" t="str">
        <f>IFERROR(__xludf.DUMMYFUNCTION("INDEX(SPLIT(A674, ""/""), 4)"),"مشتاق")</f>
        <v>مشتاق</v>
      </c>
    </row>
    <row r="675">
      <c r="A675" s="1" t="s">
        <v>2231</v>
      </c>
      <c r="B675" s="1" t="s">
        <v>2268</v>
      </c>
      <c r="C675" s="1" t="s">
        <v>21</v>
      </c>
      <c r="D675" s="4" t="s">
        <v>2269</v>
      </c>
      <c r="E675" s="1" t="s">
        <v>2234</v>
      </c>
      <c r="F675" s="1" t="s">
        <v>2254</v>
      </c>
      <c r="G675" s="1" t="s">
        <v>2255</v>
      </c>
      <c r="H675" s="7" t="s">
        <v>2270</v>
      </c>
      <c r="I675" s="1" t="str">
        <f t="shared" si="1"/>
        <v>7</v>
      </c>
      <c r="J675" s="5"/>
      <c r="K675" s="1" t="str">
        <f t="shared" si="2"/>
        <v>6</v>
      </c>
      <c r="L675" s="5"/>
      <c r="M675" s="2" t="str">
        <f t="shared" si="3"/>
        <v>1399</v>
      </c>
      <c r="N675" s="5"/>
      <c r="O675" s="2">
        <v>22.0</v>
      </c>
      <c r="P675" s="5"/>
      <c r="Q675" s="5"/>
      <c r="R675" s="8" t="s">
        <v>2270</v>
      </c>
      <c r="S675" s="5"/>
      <c r="T675" s="1" t="str">
        <f>IFERROR(__xludf.DUMMYFUNCTION("INDEX(SPLIT(A675, ""/""), 2)"),"تشکل‌های اسلامی و سیاسی")</f>
        <v>تشکل‌های اسلامی و سیاسی</v>
      </c>
      <c r="U675" s="1" t="str">
        <f>IFERROR(__xludf.DUMMYFUNCTION("INDEX(SPLIT(A675, ""/""), 3)"),"کانون مهدویت")</f>
        <v>کانون مهدویت</v>
      </c>
      <c r="V675" s="1" t="str">
        <f>IFERROR(__xludf.DUMMYFUNCTION("INDEX(SPLIT(A675, ""/""), 4)"),"مشتاق")</f>
        <v>مشتاق</v>
      </c>
    </row>
    <row r="676">
      <c r="A676" s="1" t="s">
        <v>2231</v>
      </c>
      <c r="B676" s="1" t="s">
        <v>2271</v>
      </c>
      <c r="C676" s="1" t="s">
        <v>21</v>
      </c>
      <c r="D676" s="4" t="s">
        <v>2272</v>
      </c>
      <c r="E676" s="1" t="s">
        <v>2234</v>
      </c>
      <c r="F676" s="1" t="s">
        <v>2254</v>
      </c>
      <c r="G676" s="1" t="s">
        <v>2255</v>
      </c>
      <c r="H676" s="1" t="s">
        <v>2273</v>
      </c>
      <c r="I676" s="1" t="str">
        <f t="shared" si="1"/>
        <v>17</v>
      </c>
      <c r="J676" s="5"/>
      <c r="K676" s="1" t="str">
        <f t="shared" si="2"/>
        <v>7</v>
      </c>
      <c r="L676" s="5"/>
      <c r="M676" s="2" t="str">
        <f t="shared" si="3"/>
        <v>1399</v>
      </c>
      <c r="N676" s="5"/>
      <c r="O676" s="2">
        <v>23.0</v>
      </c>
      <c r="P676" s="5"/>
      <c r="Q676" s="5"/>
      <c r="R676" s="6" t="s">
        <v>2273</v>
      </c>
      <c r="S676" s="5"/>
      <c r="T676" s="1" t="str">
        <f>IFERROR(__xludf.DUMMYFUNCTION("INDEX(SPLIT(A676, ""/""), 2)"),"تشکل‌های اسلامی و سیاسی")</f>
        <v>تشکل‌های اسلامی و سیاسی</v>
      </c>
      <c r="U676" s="1" t="str">
        <f>IFERROR(__xludf.DUMMYFUNCTION("INDEX(SPLIT(A676, ""/""), 3)"),"کانون مهدویت")</f>
        <v>کانون مهدویت</v>
      </c>
      <c r="V676" s="1" t="str">
        <f>IFERROR(__xludf.DUMMYFUNCTION("INDEX(SPLIT(A676, ""/""), 4)"),"مشتاق")</f>
        <v>مشتاق</v>
      </c>
    </row>
    <row r="677">
      <c r="A677" s="1" t="s">
        <v>2231</v>
      </c>
      <c r="B677" s="1" t="s">
        <v>2274</v>
      </c>
      <c r="C677" s="1" t="s">
        <v>21</v>
      </c>
      <c r="D677" s="4" t="s">
        <v>2275</v>
      </c>
      <c r="E677" s="1" t="s">
        <v>2234</v>
      </c>
      <c r="F677" s="1" t="s">
        <v>2254</v>
      </c>
      <c r="G677" s="1" t="s">
        <v>2255</v>
      </c>
      <c r="H677" s="1" t="s">
        <v>32</v>
      </c>
      <c r="I677" s="1" t="str">
        <f t="shared" si="1"/>
        <v>x</v>
      </c>
      <c r="J677" s="5"/>
      <c r="K677" s="1" t="str">
        <f t="shared" si="2"/>
        <v>8</v>
      </c>
      <c r="L677" s="5"/>
      <c r="M677" s="2" t="str">
        <f t="shared" si="3"/>
        <v>1399</v>
      </c>
      <c r="N677" s="5"/>
      <c r="O677" s="2" t="s">
        <v>2276</v>
      </c>
      <c r="P677" s="5"/>
      <c r="Q677" s="5"/>
      <c r="R677" s="6" t="s">
        <v>33</v>
      </c>
      <c r="S677" s="5"/>
      <c r="T677" s="1" t="str">
        <f>IFERROR(__xludf.DUMMYFUNCTION("INDEX(SPLIT(A677, ""/""), 2)"),"تشکل‌های اسلامی و سیاسی")</f>
        <v>تشکل‌های اسلامی و سیاسی</v>
      </c>
      <c r="U677" s="1" t="str">
        <f>IFERROR(__xludf.DUMMYFUNCTION("INDEX(SPLIT(A677, ""/""), 3)"),"کانون مهدویت")</f>
        <v>کانون مهدویت</v>
      </c>
      <c r="V677" s="1" t="str">
        <f>IFERROR(__xludf.DUMMYFUNCTION("INDEX(SPLIT(A677, ""/""), 4)"),"مشتاق")</f>
        <v>مشتاق</v>
      </c>
    </row>
    <row r="678">
      <c r="A678" s="1" t="s">
        <v>2231</v>
      </c>
      <c r="B678" s="1" t="s">
        <v>2277</v>
      </c>
      <c r="C678" s="1" t="s">
        <v>21</v>
      </c>
      <c r="D678" s="4" t="s">
        <v>2278</v>
      </c>
      <c r="E678" s="1" t="s">
        <v>2234</v>
      </c>
      <c r="F678" s="1" t="s">
        <v>2254</v>
      </c>
      <c r="G678" s="1" t="s">
        <v>2255</v>
      </c>
      <c r="H678" s="7" t="s">
        <v>2279</v>
      </c>
      <c r="I678" s="1" t="str">
        <f t="shared" si="1"/>
        <v>12</v>
      </c>
      <c r="J678" s="5"/>
      <c r="K678" s="1" t="str">
        <f t="shared" si="2"/>
        <v>9</v>
      </c>
      <c r="L678" s="5"/>
      <c r="M678" s="2" t="str">
        <f t="shared" si="3"/>
        <v>1399</v>
      </c>
      <c r="N678" s="5"/>
      <c r="O678" s="2">
        <v>24.0</v>
      </c>
      <c r="P678" s="5"/>
      <c r="Q678" s="5"/>
      <c r="R678" s="8" t="s">
        <v>2279</v>
      </c>
      <c r="S678" s="5"/>
      <c r="T678" s="1" t="str">
        <f>IFERROR(__xludf.DUMMYFUNCTION("INDEX(SPLIT(A678, ""/""), 2)"),"تشکل‌های اسلامی و سیاسی")</f>
        <v>تشکل‌های اسلامی و سیاسی</v>
      </c>
      <c r="U678" s="1" t="str">
        <f>IFERROR(__xludf.DUMMYFUNCTION("INDEX(SPLIT(A678, ""/""), 3)"),"کانون مهدویت")</f>
        <v>کانون مهدویت</v>
      </c>
      <c r="V678" s="1" t="str">
        <f>IFERROR(__xludf.DUMMYFUNCTION("INDEX(SPLIT(A678, ""/""), 4)"),"مشتاق")</f>
        <v>مشتاق</v>
      </c>
    </row>
    <row r="679">
      <c r="A679" s="1" t="s">
        <v>2231</v>
      </c>
      <c r="B679" s="1" t="s">
        <v>2280</v>
      </c>
      <c r="C679" s="1" t="s">
        <v>21</v>
      </c>
      <c r="D679" s="4" t="s">
        <v>2281</v>
      </c>
      <c r="E679" s="1" t="s">
        <v>2234</v>
      </c>
      <c r="F679" s="1" t="s">
        <v>2254</v>
      </c>
      <c r="G679" s="1" t="s">
        <v>2255</v>
      </c>
      <c r="H679" s="1" t="s">
        <v>48</v>
      </c>
      <c r="I679" s="1" t="str">
        <f t="shared" si="1"/>
        <v>x</v>
      </c>
      <c r="J679" s="5"/>
      <c r="K679" s="1" t="str">
        <f t="shared" si="2"/>
        <v>12</v>
      </c>
      <c r="L679" s="5"/>
      <c r="M679" s="2" t="str">
        <f t="shared" si="3"/>
        <v>1399</v>
      </c>
      <c r="N679" s="5"/>
      <c r="O679" s="2">
        <v>25.0</v>
      </c>
      <c r="P679" s="5"/>
      <c r="Q679" s="5"/>
      <c r="R679" s="6" t="s">
        <v>49</v>
      </c>
      <c r="S679" s="5"/>
      <c r="T679" s="1" t="str">
        <f>IFERROR(__xludf.DUMMYFUNCTION("INDEX(SPLIT(A679, ""/""), 2)"),"تشکل‌های اسلامی و سیاسی")</f>
        <v>تشکل‌های اسلامی و سیاسی</v>
      </c>
      <c r="U679" s="1" t="str">
        <f>IFERROR(__xludf.DUMMYFUNCTION("INDEX(SPLIT(A679, ""/""), 3)"),"کانون مهدویت")</f>
        <v>کانون مهدویت</v>
      </c>
      <c r="V679" s="1" t="str">
        <f>IFERROR(__xludf.DUMMYFUNCTION("INDEX(SPLIT(A679, ""/""), 4)"),"مشتاق")</f>
        <v>مشتاق</v>
      </c>
    </row>
    <row r="680">
      <c r="A680" s="1" t="s">
        <v>2231</v>
      </c>
      <c r="B680" s="1" t="s">
        <v>2282</v>
      </c>
      <c r="C680" s="1" t="s">
        <v>21</v>
      </c>
      <c r="D680" s="4" t="s">
        <v>2283</v>
      </c>
      <c r="E680" s="1" t="s">
        <v>2234</v>
      </c>
      <c r="F680" s="1" t="s">
        <v>2254</v>
      </c>
      <c r="G680" s="1" t="s">
        <v>2255</v>
      </c>
      <c r="H680" s="7" t="s">
        <v>2284</v>
      </c>
      <c r="I680" s="1" t="str">
        <f t="shared" si="1"/>
        <v>9</v>
      </c>
      <c r="J680" s="5"/>
      <c r="K680" s="1" t="str">
        <f t="shared" si="2"/>
        <v>1</v>
      </c>
      <c r="L680" s="5"/>
      <c r="M680" s="2" t="str">
        <f t="shared" si="3"/>
        <v>1400</v>
      </c>
      <c r="N680" s="5"/>
      <c r="O680" s="2" t="s">
        <v>2251</v>
      </c>
      <c r="P680" s="5"/>
      <c r="Q680" s="5"/>
      <c r="R680" s="8" t="s">
        <v>2284</v>
      </c>
      <c r="S680" s="5"/>
      <c r="T680" s="1" t="str">
        <f>IFERROR(__xludf.DUMMYFUNCTION("INDEX(SPLIT(A680, ""/""), 2)"),"تشکل‌های اسلامی و سیاسی")</f>
        <v>تشکل‌های اسلامی و سیاسی</v>
      </c>
      <c r="U680" s="1" t="str">
        <f>IFERROR(__xludf.DUMMYFUNCTION("INDEX(SPLIT(A680, ""/""), 3)"),"کانون مهدویت")</f>
        <v>کانون مهدویت</v>
      </c>
      <c r="V680" s="1" t="str">
        <f>IFERROR(__xludf.DUMMYFUNCTION("INDEX(SPLIT(A680, ""/""), 4)"),"مشتاق")</f>
        <v>مشتاق</v>
      </c>
    </row>
    <row r="681">
      <c r="A681" s="1" t="s">
        <v>2231</v>
      </c>
      <c r="B681" s="1" t="s">
        <v>2285</v>
      </c>
      <c r="C681" s="1" t="s">
        <v>21</v>
      </c>
      <c r="D681" s="4" t="s">
        <v>2286</v>
      </c>
      <c r="E681" s="1" t="s">
        <v>2234</v>
      </c>
      <c r="F681" s="1" t="s">
        <v>2254</v>
      </c>
      <c r="G681" s="1" t="s">
        <v>2255</v>
      </c>
      <c r="H681" s="1" t="s">
        <v>415</v>
      </c>
      <c r="I681" s="1" t="str">
        <f t="shared" si="1"/>
        <v>15</v>
      </c>
      <c r="J681" s="5"/>
      <c r="K681" s="1" t="str">
        <f t="shared" si="2"/>
        <v>9</v>
      </c>
      <c r="L681" s="5"/>
      <c r="M681" s="2" t="str">
        <f t="shared" si="3"/>
        <v>1400</v>
      </c>
      <c r="N681" s="5"/>
      <c r="O681" s="2">
        <v>26.0</v>
      </c>
      <c r="P681" s="5"/>
      <c r="Q681" s="5"/>
      <c r="R681" s="6" t="s">
        <v>415</v>
      </c>
      <c r="S681" s="5"/>
      <c r="T681" s="1" t="str">
        <f>IFERROR(__xludf.DUMMYFUNCTION("INDEX(SPLIT(A681, ""/""), 2)"),"تشکل‌های اسلامی و سیاسی")</f>
        <v>تشکل‌های اسلامی و سیاسی</v>
      </c>
      <c r="U681" s="1" t="str">
        <f>IFERROR(__xludf.DUMMYFUNCTION("INDEX(SPLIT(A681, ""/""), 3)"),"کانون مهدویت")</f>
        <v>کانون مهدویت</v>
      </c>
      <c r="V681" s="1" t="str">
        <f>IFERROR(__xludf.DUMMYFUNCTION("INDEX(SPLIT(A681, ""/""), 4)"),"مشتاق")</f>
        <v>مشتاق</v>
      </c>
    </row>
    <row r="682">
      <c r="A682" s="1" t="s">
        <v>2287</v>
      </c>
      <c r="B682" s="1" t="s">
        <v>1533</v>
      </c>
      <c r="C682" s="1" t="s">
        <v>21</v>
      </c>
      <c r="D682" s="4" t="s">
        <v>2288</v>
      </c>
      <c r="E682" s="1" t="s">
        <v>2289</v>
      </c>
      <c r="F682" s="1" t="s">
        <v>2290</v>
      </c>
      <c r="G682" s="1" t="s">
        <v>2291</v>
      </c>
      <c r="H682" s="1" t="s">
        <v>260</v>
      </c>
      <c r="I682" s="1" t="str">
        <f t="shared" si="1"/>
        <v>x</v>
      </c>
      <c r="J682" s="5"/>
      <c r="K682" s="1" t="str">
        <f t="shared" si="2"/>
        <v>3</v>
      </c>
      <c r="L682" s="5"/>
      <c r="M682" s="2" t="str">
        <f t="shared" si="3"/>
        <v>1396</v>
      </c>
      <c r="N682" s="5"/>
      <c r="O682" s="2">
        <v>1.0</v>
      </c>
      <c r="P682" s="5"/>
      <c r="Q682" s="5"/>
      <c r="R682" s="6" t="s">
        <v>261</v>
      </c>
      <c r="S682" s="5"/>
      <c r="T682" s="1" t="str">
        <f>IFERROR(__xludf.DUMMYFUNCTION("INDEX(SPLIT(A682, ""/""), 2)"),"تشکل‌های اسلامی و سیاسی")</f>
        <v>تشکل‌های اسلامی و سیاسی</v>
      </c>
      <c r="U682" s="1" t="str">
        <f>IFERROR(__xludf.DUMMYFUNCTION("INDEX(SPLIT(A682, ""/""), 3)"),"هیئت الزهرا (س)")</f>
        <v>هیئت الزهرا (س)</v>
      </c>
      <c r="V682" s="1" t="str">
        <f>IFERROR(__xludf.DUMMYFUNCTION("INDEX(SPLIT(A682, ""/""), 4)"),"حیات")</f>
        <v>حیات</v>
      </c>
    </row>
    <row r="683">
      <c r="A683" s="1" t="s">
        <v>2287</v>
      </c>
      <c r="B683" s="1" t="s">
        <v>1537</v>
      </c>
      <c r="C683" s="1" t="s">
        <v>21</v>
      </c>
      <c r="D683" s="4" t="s">
        <v>2292</v>
      </c>
      <c r="E683" s="1" t="s">
        <v>2289</v>
      </c>
      <c r="F683" s="1" t="s">
        <v>2290</v>
      </c>
      <c r="G683" s="1" t="s">
        <v>2291</v>
      </c>
      <c r="H683" s="1" t="s">
        <v>260</v>
      </c>
      <c r="I683" s="1" t="str">
        <f t="shared" si="1"/>
        <v>x</v>
      </c>
      <c r="J683" s="5"/>
      <c r="K683" s="1" t="str">
        <f t="shared" si="2"/>
        <v>3</v>
      </c>
      <c r="L683" s="5"/>
      <c r="M683" s="2" t="str">
        <f t="shared" si="3"/>
        <v>1396</v>
      </c>
      <c r="N683" s="5"/>
      <c r="O683" s="2">
        <v>2.0</v>
      </c>
      <c r="P683" s="5"/>
      <c r="Q683" s="5"/>
      <c r="R683" s="6" t="s">
        <v>261</v>
      </c>
      <c r="S683" s="5"/>
      <c r="T683" s="1" t="str">
        <f>IFERROR(__xludf.DUMMYFUNCTION("INDEX(SPLIT(A683, ""/""), 2)"),"تشکل‌های اسلامی و سیاسی")</f>
        <v>تشکل‌های اسلامی و سیاسی</v>
      </c>
      <c r="U683" s="1" t="str">
        <f>IFERROR(__xludf.DUMMYFUNCTION("INDEX(SPLIT(A683, ""/""), 3)"),"هیئت الزهرا (س)")</f>
        <v>هیئت الزهرا (س)</v>
      </c>
      <c r="V683" s="1" t="str">
        <f>IFERROR(__xludf.DUMMYFUNCTION("INDEX(SPLIT(A683, ""/""), 4)"),"حیات")</f>
        <v>حیات</v>
      </c>
    </row>
    <row r="684">
      <c r="A684" s="1" t="s">
        <v>2287</v>
      </c>
      <c r="B684" s="1" t="s">
        <v>1540</v>
      </c>
      <c r="C684" s="1" t="s">
        <v>21</v>
      </c>
      <c r="D684" s="4" t="s">
        <v>2293</v>
      </c>
      <c r="E684" s="1" t="s">
        <v>2289</v>
      </c>
      <c r="F684" s="1" t="s">
        <v>2290</v>
      </c>
      <c r="G684" s="1" t="s">
        <v>2294</v>
      </c>
      <c r="H684" s="1" t="s">
        <v>270</v>
      </c>
      <c r="I684" s="1" t="str">
        <f t="shared" si="1"/>
        <v>x</v>
      </c>
      <c r="J684" s="5"/>
      <c r="K684" s="1" t="str">
        <f t="shared" si="2"/>
        <v>7</v>
      </c>
      <c r="L684" s="5"/>
      <c r="M684" s="2" t="str">
        <f t="shared" si="3"/>
        <v>1396</v>
      </c>
      <c r="N684" s="5"/>
      <c r="O684" s="2">
        <v>3.0</v>
      </c>
      <c r="P684" s="5"/>
      <c r="Q684" s="5"/>
      <c r="R684" s="6" t="s">
        <v>271</v>
      </c>
      <c r="S684" s="5"/>
      <c r="T684" s="1" t="str">
        <f>IFERROR(__xludf.DUMMYFUNCTION("INDEX(SPLIT(A684, ""/""), 2)"),"تشکل‌های اسلامی و سیاسی")</f>
        <v>تشکل‌های اسلامی و سیاسی</v>
      </c>
      <c r="U684" s="1" t="str">
        <f>IFERROR(__xludf.DUMMYFUNCTION("INDEX(SPLIT(A684, ""/""), 3)"),"هیئت الزهرا (س)")</f>
        <v>هیئت الزهرا (س)</v>
      </c>
      <c r="V684" s="1" t="str">
        <f>IFERROR(__xludf.DUMMYFUNCTION("INDEX(SPLIT(A684, ""/""), 4)"),"حیات")</f>
        <v>حیات</v>
      </c>
    </row>
    <row r="685">
      <c r="A685" s="1" t="s">
        <v>2287</v>
      </c>
      <c r="B685" s="1" t="s">
        <v>1543</v>
      </c>
      <c r="C685" s="1" t="s">
        <v>21</v>
      </c>
      <c r="D685" s="4" t="s">
        <v>2295</v>
      </c>
      <c r="E685" s="1" t="s">
        <v>2289</v>
      </c>
      <c r="F685" s="1" t="s">
        <v>2290</v>
      </c>
      <c r="G685" s="1" t="s">
        <v>2294</v>
      </c>
      <c r="H685" s="1" t="s">
        <v>270</v>
      </c>
      <c r="I685" s="1" t="str">
        <f t="shared" si="1"/>
        <v>x</v>
      </c>
      <c r="J685" s="5"/>
      <c r="K685" s="1" t="str">
        <f t="shared" si="2"/>
        <v>7</v>
      </c>
      <c r="L685" s="5"/>
      <c r="M685" s="2" t="str">
        <f t="shared" si="3"/>
        <v>1396</v>
      </c>
      <c r="N685" s="5"/>
      <c r="O685" s="2">
        <v>4.0</v>
      </c>
      <c r="P685" s="5"/>
      <c r="Q685" s="5"/>
      <c r="R685" s="6" t="s">
        <v>271</v>
      </c>
      <c r="S685" s="5"/>
      <c r="T685" s="1" t="str">
        <f>IFERROR(__xludf.DUMMYFUNCTION("INDEX(SPLIT(A685, ""/""), 2)"),"تشکل‌های اسلامی و سیاسی")</f>
        <v>تشکل‌های اسلامی و سیاسی</v>
      </c>
      <c r="U685" s="1" t="str">
        <f>IFERROR(__xludf.DUMMYFUNCTION("INDEX(SPLIT(A685, ""/""), 3)"),"هیئت الزهرا (س)")</f>
        <v>هیئت الزهرا (س)</v>
      </c>
      <c r="V685" s="1" t="str">
        <f>IFERROR(__xludf.DUMMYFUNCTION("INDEX(SPLIT(A685, ""/""), 4)"),"حیات")</f>
        <v>حیات</v>
      </c>
    </row>
    <row r="686">
      <c r="A686" s="1" t="s">
        <v>2287</v>
      </c>
      <c r="B686" s="1" t="s">
        <v>1546</v>
      </c>
      <c r="C686" s="1" t="s">
        <v>21</v>
      </c>
      <c r="D686" s="4" t="s">
        <v>2296</v>
      </c>
      <c r="E686" s="1" t="s">
        <v>2289</v>
      </c>
      <c r="F686" s="1" t="s">
        <v>2290</v>
      </c>
      <c r="G686" s="1" t="s">
        <v>752</v>
      </c>
      <c r="H686" s="1" t="s">
        <v>274</v>
      </c>
      <c r="I686" s="1" t="str">
        <f t="shared" si="1"/>
        <v>x</v>
      </c>
      <c r="J686" s="5"/>
      <c r="K686" s="1" t="str">
        <f t="shared" si="2"/>
        <v>8</v>
      </c>
      <c r="L686" s="5"/>
      <c r="M686" s="2" t="str">
        <f t="shared" si="3"/>
        <v>1396</v>
      </c>
      <c r="N686" s="5"/>
      <c r="O686" s="2">
        <v>5.0</v>
      </c>
      <c r="P686" s="5"/>
      <c r="Q686" s="5"/>
      <c r="R686" s="6" t="s">
        <v>275</v>
      </c>
      <c r="S686" s="5"/>
      <c r="T686" s="1" t="str">
        <f>IFERROR(__xludf.DUMMYFUNCTION("INDEX(SPLIT(A686, ""/""), 2)"),"تشکل‌های اسلامی و سیاسی")</f>
        <v>تشکل‌های اسلامی و سیاسی</v>
      </c>
      <c r="U686" s="1" t="str">
        <f>IFERROR(__xludf.DUMMYFUNCTION("INDEX(SPLIT(A686, ""/""), 3)"),"هیئت الزهرا (س)")</f>
        <v>هیئت الزهرا (س)</v>
      </c>
      <c r="V686" s="1" t="str">
        <f>IFERROR(__xludf.DUMMYFUNCTION("INDEX(SPLIT(A686, ""/""), 4)"),"حیات")</f>
        <v>حیات</v>
      </c>
    </row>
    <row r="687">
      <c r="A687" s="1" t="s">
        <v>2287</v>
      </c>
      <c r="B687" s="1" t="s">
        <v>1549</v>
      </c>
      <c r="C687" s="1" t="s">
        <v>21</v>
      </c>
      <c r="D687" s="4" t="s">
        <v>2297</v>
      </c>
      <c r="E687" s="1" t="s">
        <v>2289</v>
      </c>
      <c r="F687" s="1" t="s">
        <v>2290</v>
      </c>
      <c r="G687" s="1" t="s">
        <v>752</v>
      </c>
      <c r="H687" s="1" t="s">
        <v>278</v>
      </c>
      <c r="I687" s="1" t="str">
        <f t="shared" si="1"/>
        <v>x</v>
      </c>
      <c r="J687" s="5"/>
      <c r="K687" s="1" t="str">
        <f t="shared" si="2"/>
        <v>9</v>
      </c>
      <c r="L687" s="5"/>
      <c r="M687" s="2" t="str">
        <f t="shared" si="3"/>
        <v>1396</v>
      </c>
      <c r="N687" s="5"/>
      <c r="O687" s="2">
        <v>6.0</v>
      </c>
      <c r="P687" s="5"/>
      <c r="Q687" s="5"/>
      <c r="R687" s="6" t="s">
        <v>279</v>
      </c>
      <c r="S687" s="5"/>
      <c r="T687" s="1" t="str">
        <f>IFERROR(__xludf.DUMMYFUNCTION("INDEX(SPLIT(A687, ""/""), 2)"),"تشکل‌های اسلامی و سیاسی")</f>
        <v>تشکل‌های اسلامی و سیاسی</v>
      </c>
      <c r="U687" s="1" t="str">
        <f>IFERROR(__xludf.DUMMYFUNCTION("INDEX(SPLIT(A687, ""/""), 3)"),"هیئت الزهرا (س)")</f>
        <v>هیئت الزهرا (س)</v>
      </c>
      <c r="V687" s="1" t="str">
        <f>IFERROR(__xludf.DUMMYFUNCTION("INDEX(SPLIT(A687, ""/""), 4)"),"حیات")</f>
        <v>حیات</v>
      </c>
    </row>
    <row r="688">
      <c r="A688" s="1" t="s">
        <v>2287</v>
      </c>
      <c r="B688" s="1" t="s">
        <v>1552</v>
      </c>
      <c r="C688" s="1" t="s">
        <v>21</v>
      </c>
      <c r="D688" s="4" t="s">
        <v>2298</v>
      </c>
      <c r="E688" s="1" t="s">
        <v>2289</v>
      </c>
      <c r="F688" s="1" t="s">
        <v>2290</v>
      </c>
      <c r="G688" s="1" t="s">
        <v>752</v>
      </c>
      <c r="H688" s="1" t="s">
        <v>283</v>
      </c>
      <c r="I688" s="1" t="str">
        <f t="shared" si="1"/>
        <v>x</v>
      </c>
      <c r="J688" s="5"/>
      <c r="K688" s="1" t="str">
        <f t="shared" si="2"/>
        <v>10</v>
      </c>
      <c r="L688" s="5"/>
      <c r="M688" s="2" t="str">
        <f t="shared" si="3"/>
        <v>1396</v>
      </c>
      <c r="N688" s="5"/>
      <c r="O688" s="2">
        <v>7.0</v>
      </c>
      <c r="P688" s="5"/>
      <c r="Q688" s="5"/>
      <c r="R688" s="6" t="s">
        <v>284</v>
      </c>
      <c r="S688" s="5"/>
      <c r="T688" s="1" t="str">
        <f>IFERROR(__xludf.DUMMYFUNCTION("INDEX(SPLIT(A688, ""/""), 2)"),"تشکل‌های اسلامی و سیاسی")</f>
        <v>تشکل‌های اسلامی و سیاسی</v>
      </c>
      <c r="U688" s="1" t="str">
        <f>IFERROR(__xludf.DUMMYFUNCTION("INDEX(SPLIT(A688, ""/""), 3)"),"هیئت الزهرا (س)")</f>
        <v>هیئت الزهرا (س)</v>
      </c>
      <c r="V688" s="1" t="str">
        <f>IFERROR(__xludf.DUMMYFUNCTION("INDEX(SPLIT(A688, ""/""), 4)"),"حیات")</f>
        <v>حیات</v>
      </c>
    </row>
    <row r="689">
      <c r="A689" s="1" t="s">
        <v>2287</v>
      </c>
      <c r="B689" s="1" t="s">
        <v>2299</v>
      </c>
      <c r="C689" s="1" t="s">
        <v>21</v>
      </c>
      <c r="D689" s="4" t="s">
        <v>2300</v>
      </c>
      <c r="E689" s="1" t="s">
        <v>2289</v>
      </c>
      <c r="F689" s="1" t="s">
        <v>2290</v>
      </c>
      <c r="G689" s="1" t="s">
        <v>752</v>
      </c>
      <c r="H689" s="1" t="s">
        <v>2301</v>
      </c>
      <c r="I689" s="1" t="str">
        <f t="shared" si="1"/>
        <v>x</v>
      </c>
      <c r="J689" s="5"/>
      <c r="K689" s="1" t="str">
        <f t="shared" si="2"/>
        <v>10,11</v>
      </c>
      <c r="L689" s="5"/>
      <c r="M689" s="2" t="str">
        <f t="shared" si="3"/>
        <v>1396</v>
      </c>
      <c r="N689" s="5"/>
      <c r="O689" s="2">
        <v>8.0</v>
      </c>
      <c r="P689" s="5"/>
      <c r="Q689" s="5"/>
      <c r="R689" s="8" t="s">
        <v>2302</v>
      </c>
      <c r="S689" s="1"/>
      <c r="T689" s="1" t="str">
        <f>IFERROR(__xludf.DUMMYFUNCTION("INDEX(SPLIT(A689, ""/""), 2)"),"تشکل‌های اسلامی و سیاسی")</f>
        <v>تشکل‌های اسلامی و سیاسی</v>
      </c>
      <c r="U689" s="1" t="str">
        <f>IFERROR(__xludf.DUMMYFUNCTION("INDEX(SPLIT(A689, ""/""), 3)"),"هیئت الزهرا (س)")</f>
        <v>هیئت الزهرا (س)</v>
      </c>
      <c r="V689" s="1" t="str">
        <f>IFERROR(__xludf.DUMMYFUNCTION("INDEX(SPLIT(A689, ""/""), 4)"),"حیات")</f>
        <v>حیات</v>
      </c>
    </row>
    <row r="690">
      <c r="A690" s="1" t="s">
        <v>2287</v>
      </c>
      <c r="B690" s="1" t="s">
        <v>2303</v>
      </c>
      <c r="C690" s="1" t="s">
        <v>21</v>
      </c>
      <c r="D690" s="4" t="s">
        <v>2304</v>
      </c>
      <c r="E690" s="1" t="s">
        <v>2289</v>
      </c>
      <c r="F690" s="1" t="s">
        <v>2290</v>
      </c>
      <c r="G690" s="1" t="s">
        <v>752</v>
      </c>
      <c r="H690" s="1" t="s">
        <v>2301</v>
      </c>
      <c r="I690" s="1" t="str">
        <f t="shared" si="1"/>
        <v>x</v>
      </c>
      <c r="J690" s="5"/>
      <c r="K690" s="1" t="str">
        <f t="shared" si="2"/>
        <v>10,11</v>
      </c>
      <c r="L690" s="5"/>
      <c r="M690" s="2" t="str">
        <f t="shared" si="3"/>
        <v>1396</v>
      </c>
      <c r="N690" s="5"/>
      <c r="O690" s="2">
        <v>9.0</v>
      </c>
      <c r="P690" s="5"/>
      <c r="Q690" s="5"/>
      <c r="R690" s="8" t="s">
        <v>2302</v>
      </c>
      <c r="S690" s="1"/>
      <c r="T690" s="1" t="str">
        <f>IFERROR(__xludf.DUMMYFUNCTION("INDEX(SPLIT(A690, ""/""), 2)"),"تشکل‌های اسلامی و سیاسی")</f>
        <v>تشکل‌های اسلامی و سیاسی</v>
      </c>
      <c r="U690" s="1" t="str">
        <f>IFERROR(__xludf.DUMMYFUNCTION("INDEX(SPLIT(A690, ""/""), 3)"),"هیئت الزهرا (س)")</f>
        <v>هیئت الزهرا (س)</v>
      </c>
      <c r="V690" s="1" t="str">
        <f>IFERROR(__xludf.DUMMYFUNCTION("INDEX(SPLIT(A690, ""/""), 4)"),"حیات")</f>
        <v>حیات</v>
      </c>
    </row>
    <row r="691">
      <c r="A691" s="1" t="s">
        <v>2287</v>
      </c>
      <c r="B691" s="1" t="s">
        <v>2305</v>
      </c>
      <c r="C691" s="1" t="s">
        <v>21</v>
      </c>
      <c r="D691" s="4" t="s">
        <v>2306</v>
      </c>
      <c r="E691" s="1" t="s">
        <v>2289</v>
      </c>
      <c r="F691" s="1" t="s">
        <v>2290</v>
      </c>
      <c r="G691" s="1" t="s">
        <v>752</v>
      </c>
      <c r="H691" s="1" t="s">
        <v>608</v>
      </c>
      <c r="I691" s="1" t="str">
        <f t="shared" si="1"/>
        <v>x</v>
      </c>
      <c r="J691" s="5"/>
      <c r="K691" s="1" t="str">
        <f t="shared" si="2"/>
        <v>11</v>
      </c>
      <c r="L691" s="5"/>
      <c r="M691" s="2" t="str">
        <f t="shared" si="3"/>
        <v>1396</v>
      </c>
      <c r="N691" s="5"/>
      <c r="O691" s="2">
        <v>10.0</v>
      </c>
      <c r="P691" s="5"/>
      <c r="Q691" s="5"/>
      <c r="R691" s="6" t="s">
        <v>609</v>
      </c>
      <c r="S691" s="5"/>
      <c r="T691" s="1" t="str">
        <f>IFERROR(__xludf.DUMMYFUNCTION("INDEX(SPLIT(A691, ""/""), 2)"),"تشکل‌های اسلامی و سیاسی")</f>
        <v>تشکل‌های اسلامی و سیاسی</v>
      </c>
      <c r="U691" s="1" t="str">
        <f>IFERROR(__xludf.DUMMYFUNCTION("INDEX(SPLIT(A691, ""/""), 3)"),"هیئت الزهرا (س)")</f>
        <v>هیئت الزهرا (س)</v>
      </c>
      <c r="V691" s="1" t="str">
        <f>IFERROR(__xludf.DUMMYFUNCTION("INDEX(SPLIT(A691, ""/""), 4)"),"حیات")</f>
        <v>حیات</v>
      </c>
    </row>
    <row r="692">
      <c r="A692" s="1" t="s">
        <v>2287</v>
      </c>
      <c r="B692" s="1" t="s">
        <v>2307</v>
      </c>
      <c r="C692" s="1" t="s">
        <v>21</v>
      </c>
      <c r="D692" s="4" t="s">
        <v>2308</v>
      </c>
      <c r="E692" s="1" t="s">
        <v>2289</v>
      </c>
      <c r="F692" s="1" t="s">
        <v>2290</v>
      </c>
      <c r="G692" s="1" t="s">
        <v>752</v>
      </c>
      <c r="H692" s="1" t="s">
        <v>287</v>
      </c>
      <c r="I692" s="1" t="str">
        <f t="shared" si="1"/>
        <v>x</v>
      </c>
      <c r="J692" s="5"/>
      <c r="K692" s="1" t="str">
        <f t="shared" si="2"/>
        <v>12</v>
      </c>
      <c r="L692" s="5"/>
      <c r="M692" s="2" t="str">
        <f t="shared" si="3"/>
        <v>1396</v>
      </c>
      <c r="N692" s="5"/>
      <c r="O692" s="2">
        <v>11.0</v>
      </c>
      <c r="P692" s="5"/>
      <c r="Q692" s="5"/>
      <c r="R692" s="6" t="s">
        <v>288</v>
      </c>
      <c r="S692" s="5"/>
      <c r="T692" s="1" t="str">
        <f>IFERROR(__xludf.DUMMYFUNCTION("INDEX(SPLIT(A692, ""/""), 2)"),"تشکل‌های اسلامی و سیاسی")</f>
        <v>تشکل‌های اسلامی و سیاسی</v>
      </c>
      <c r="U692" s="1" t="str">
        <f>IFERROR(__xludf.DUMMYFUNCTION("INDEX(SPLIT(A692, ""/""), 3)"),"هیئت الزهرا (س)")</f>
        <v>هیئت الزهرا (س)</v>
      </c>
      <c r="V692" s="1" t="str">
        <f>IFERROR(__xludf.DUMMYFUNCTION("INDEX(SPLIT(A692, ""/""), 4)"),"حیات")</f>
        <v>حیات</v>
      </c>
    </row>
    <row r="693">
      <c r="A693" s="1" t="s">
        <v>2287</v>
      </c>
      <c r="B693" s="1" t="s">
        <v>2309</v>
      </c>
      <c r="C693" s="1" t="s">
        <v>21</v>
      </c>
      <c r="D693" s="4" t="s">
        <v>2310</v>
      </c>
      <c r="E693" s="1" t="s">
        <v>2289</v>
      </c>
      <c r="F693" s="1" t="s">
        <v>2290</v>
      </c>
      <c r="G693" s="1" t="s">
        <v>752</v>
      </c>
      <c r="H693" s="1" t="s">
        <v>2012</v>
      </c>
      <c r="I693" s="1" t="str">
        <f t="shared" si="1"/>
        <v>x</v>
      </c>
      <c r="J693" s="5"/>
      <c r="K693" s="1" t="str">
        <f t="shared" si="2"/>
        <v>1</v>
      </c>
      <c r="L693" s="5"/>
      <c r="M693" s="2" t="str">
        <f t="shared" si="3"/>
        <v>1397</v>
      </c>
      <c r="N693" s="5"/>
      <c r="O693" s="2">
        <v>12.0</v>
      </c>
      <c r="P693" s="5"/>
      <c r="Q693" s="5"/>
      <c r="R693" s="6" t="s">
        <v>2013</v>
      </c>
      <c r="S693" s="5"/>
      <c r="T693" s="1" t="str">
        <f>IFERROR(__xludf.DUMMYFUNCTION("INDEX(SPLIT(A693, ""/""), 2)"),"تشکل‌های اسلامی و سیاسی")</f>
        <v>تشکل‌های اسلامی و سیاسی</v>
      </c>
      <c r="U693" s="1" t="str">
        <f>IFERROR(__xludf.DUMMYFUNCTION("INDEX(SPLIT(A693, ""/""), 3)"),"هیئت الزهرا (س)")</f>
        <v>هیئت الزهرا (س)</v>
      </c>
      <c r="V693" s="1" t="str">
        <f>IFERROR(__xludf.DUMMYFUNCTION("INDEX(SPLIT(A693, ""/""), 4)"),"حیات")</f>
        <v>حیات</v>
      </c>
    </row>
    <row r="694">
      <c r="A694" s="1" t="s">
        <v>2287</v>
      </c>
      <c r="B694" s="1" t="s">
        <v>2311</v>
      </c>
      <c r="C694" s="1" t="s">
        <v>21</v>
      </c>
      <c r="D694" s="4" t="s">
        <v>2312</v>
      </c>
      <c r="E694" s="1" t="s">
        <v>2289</v>
      </c>
      <c r="F694" s="1" t="s">
        <v>2290</v>
      </c>
      <c r="G694" s="1" t="s">
        <v>752</v>
      </c>
      <c r="H694" s="1" t="s">
        <v>2313</v>
      </c>
      <c r="I694" s="1" t="str">
        <f t="shared" si="1"/>
        <v>x</v>
      </c>
      <c r="J694" s="5"/>
      <c r="K694" s="1" t="str">
        <f t="shared" si="2"/>
        <v>2</v>
      </c>
      <c r="L694" s="5"/>
      <c r="M694" s="2" t="str">
        <f t="shared" si="3"/>
        <v>1397</v>
      </c>
      <c r="N694" s="5"/>
      <c r="O694" s="2">
        <v>13.0</v>
      </c>
      <c r="P694" s="5"/>
      <c r="Q694" s="5"/>
      <c r="R694" s="6" t="s">
        <v>2314</v>
      </c>
      <c r="S694" s="5"/>
      <c r="T694" s="1" t="str">
        <f>IFERROR(__xludf.DUMMYFUNCTION("INDEX(SPLIT(A694, ""/""), 2)"),"تشکل‌های اسلامی و سیاسی")</f>
        <v>تشکل‌های اسلامی و سیاسی</v>
      </c>
      <c r="U694" s="1" t="str">
        <f>IFERROR(__xludf.DUMMYFUNCTION("INDEX(SPLIT(A694, ""/""), 3)"),"هیئت الزهرا (س)")</f>
        <v>هیئت الزهرا (س)</v>
      </c>
      <c r="V694" s="1" t="str">
        <f>IFERROR(__xludf.DUMMYFUNCTION("INDEX(SPLIT(A694, ""/""), 4)"),"حیات")</f>
        <v>حیات</v>
      </c>
    </row>
    <row r="695">
      <c r="A695" s="1" t="s">
        <v>2287</v>
      </c>
      <c r="B695" s="1" t="s">
        <v>2315</v>
      </c>
      <c r="C695" s="1" t="s">
        <v>21</v>
      </c>
      <c r="D695" s="4" t="s">
        <v>2316</v>
      </c>
      <c r="E695" s="1" t="s">
        <v>2289</v>
      </c>
      <c r="F695" s="1" t="s">
        <v>2290</v>
      </c>
      <c r="G695" s="1" t="s">
        <v>752</v>
      </c>
      <c r="H695" s="1" t="s">
        <v>2317</v>
      </c>
      <c r="I695" s="1" t="str">
        <f t="shared" si="1"/>
        <v>x</v>
      </c>
      <c r="J695" s="5"/>
      <c r="K695" s="1" t="str">
        <f t="shared" si="2"/>
        <v>3</v>
      </c>
      <c r="L695" s="5"/>
      <c r="M695" s="2" t="str">
        <f t="shared" si="3"/>
        <v>1397</v>
      </c>
      <c r="N695" s="5"/>
      <c r="O695" s="2">
        <v>14.0</v>
      </c>
      <c r="P695" s="5"/>
      <c r="Q695" s="5"/>
      <c r="R695" s="6" t="s">
        <v>2318</v>
      </c>
      <c r="S695" s="5"/>
      <c r="T695" s="1" t="str">
        <f>IFERROR(__xludf.DUMMYFUNCTION("INDEX(SPLIT(A695, ""/""), 2)"),"تشکل‌های اسلامی و سیاسی")</f>
        <v>تشکل‌های اسلامی و سیاسی</v>
      </c>
      <c r="U695" s="1" t="str">
        <f>IFERROR(__xludf.DUMMYFUNCTION("INDEX(SPLIT(A695, ""/""), 3)"),"هیئت الزهرا (س)")</f>
        <v>هیئت الزهرا (س)</v>
      </c>
      <c r="V695" s="1" t="str">
        <f>IFERROR(__xludf.DUMMYFUNCTION("INDEX(SPLIT(A695, ""/""), 4)"),"حیات")</f>
        <v>حیات</v>
      </c>
    </row>
    <row r="696">
      <c r="A696" s="1" t="s">
        <v>2287</v>
      </c>
      <c r="B696" s="1" t="s">
        <v>2319</v>
      </c>
      <c r="C696" s="1" t="s">
        <v>21</v>
      </c>
      <c r="D696" s="4" t="s">
        <v>2320</v>
      </c>
      <c r="E696" s="1" t="s">
        <v>2289</v>
      </c>
      <c r="F696" s="1" t="s">
        <v>2290</v>
      </c>
      <c r="G696" s="1" t="s">
        <v>2321</v>
      </c>
      <c r="H696" s="1" t="s">
        <v>343</v>
      </c>
      <c r="I696" s="1" t="str">
        <f t="shared" si="1"/>
        <v>x</v>
      </c>
      <c r="J696" s="5"/>
      <c r="K696" s="1" t="str">
        <f t="shared" si="2"/>
        <v>6</v>
      </c>
      <c r="L696" s="5"/>
      <c r="M696" s="2" t="str">
        <f t="shared" si="3"/>
        <v>1397</v>
      </c>
      <c r="N696" s="5"/>
      <c r="O696" s="2">
        <v>15.0</v>
      </c>
      <c r="P696" s="5"/>
      <c r="Q696" s="5"/>
      <c r="R696" s="6" t="s">
        <v>344</v>
      </c>
      <c r="S696" s="5"/>
      <c r="T696" s="1" t="str">
        <f>IFERROR(__xludf.DUMMYFUNCTION("INDEX(SPLIT(A696, ""/""), 2)"),"تشکل‌های اسلامی و سیاسی")</f>
        <v>تشکل‌های اسلامی و سیاسی</v>
      </c>
      <c r="U696" s="1" t="str">
        <f>IFERROR(__xludf.DUMMYFUNCTION("INDEX(SPLIT(A696, ""/""), 3)"),"هیئت الزهرا (س)")</f>
        <v>هیئت الزهرا (س)</v>
      </c>
      <c r="V696" s="1" t="str">
        <f>IFERROR(__xludf.DUMMYFUNCTION("INDEX(SPLIT(A696, ""/""), 4)"),"حیات")</f>
        <v>حیات</v>
      </c>
    </row>
    <row r="697">
      <c r="A697" s="1" t="s">
        <v>2287</v>
      </c>
      <c r="B697" s="1" t="s">
        <v>2322</v>
      </c>
      <c r="C697" s="1" t="s">
        <v>21</v>
      </c>
      <c r="D697" s="4" t="s">
        <v>2323</v>
      </c>
      <c r="E697" s="1" t="s">
        <v>2289</v>
      </c>
      <c r="F697" s="1" t="s">
        <v>2290</v>
      </c>
      <c r="G697" s="1" t="s">
        <v>2321</v>
      </c>
      <c r="H697" s="1" t="s">
        <v>343</v>
      </c>
      <c r="I697" s="1" t="str">
        <f t="shared" si="1"/>
        <v>x</v>
      </c>
      <c r="J697" s="5"/>
      <c r="K697" s="1" t="str">
        <f t="shared" si="2"/>
        <v>6</v>
      </c>
      <c r="L697" s="5"/>
      <c r="M697" s="2" t="str">
        <f t="shared" si="3"/>
        <v>1397</v>
      </c>
      <c r="N697" s="5"/>
      <c r="O697" s="2">
        <v>16.0</v>
      </c>
      <c r="P697" s="5"/>
      <c r="Q697" s="5"/>
      <c r="R697" s="6" t="s">
        <v>344</v>
      </c>
      <c r="S697" s="5"/>
      <c r="T697" s="1" t="str">
        <f>IFERROR(__xludf.DUMMYFUNCTION("INDEX(SPLIT(A697, ""/""), 2)"),"تشکل‌های اسلامی و سیاسی")</f>
        <v>تشکل‌های اسلامی و سیاسی</v>
      </c>
      <c r="U697" s="1" t="str">
        <f>IFERROR(__xludf.DUMMYFUNCTION("INDEX(SPLIT(A697, ""/""), 3)"),"هیئت الزهرا (س)")</f>
        <v>هیئت الزهرا (س)</v>
      </c>
      <c r="V697" s="1" t="str">
        <f>IFERROR(__xludf.DUMMYFUNCTION("INDEX(SPLIT(A697, ""/""), 4)"),"حیات")</f>
        <v>حیات</v>
      </c>
    </row>
    <row r="698">
      <c r="A698" s="1" t="s">
        <v>2287</v>
      </c>
      <c r="B698" s="1" t="s">
        <v>2324</v>
      </c>
      <c r="C698" s="1" t="s">
        <v>21</v>
      </c>
      <c r="D698" s="4" t="s">
        <v>2325</v>
      </c>
      <c r="E698" s="1" t="s">
        <v>2289</v>
      </c>
      <c r="F698" s="1" t="s">
        <v>2290</v>
      </c>
      <c r="G698" s="1" t="s">
        <v>2321</v>
      </c>
      <c r="H698" s="1" t="s">
        <v>343</v>
      </c>
      <c r="I698" s="1" t="str">
        <f t="shared" si="1"/>
        <v>x</v>
      </c>
      <c r="J698" s="5"/>
      <c r="K698" s="1" t="str">
        <f t="shared" si="2"/>
        <v>6</v>
      </c>
      <c r="L698" s="5"/>
      <c r="M698" s="2" t="str">
        <f t="shared" si="3"/>
        <v>1397</v>
      </c>
      <c r="N698" s="5"/>
      <c r="O698" s="2">
        <v>17.0</v>
      </c>
      <c r="P698" s="5"/>
      <c r="Q698" s="5"/>
      <c r="R698" s="6" t="s">
        <v>344</v>
      </c>
      <c r="S698" s="5"/>
      <c r="T698" s="1" t="str">
        <f>IFERROR(__xludf.DUMMYFUNCTION("INDEX(SPLIT(A698, ""/""), 2)"),"تشکل‌های اسلامی و سیاسی")</f>
        <v>تشکل‌های اسلامی و سیاسی</v>
      </c>
      <c r="U698" s="1" t="str">
        <f>IFERROR(__xludf.DUMMYFUNCTION("INDEX(SPLIT(A698, ""/""), 3)"),"هیئت الزهرا (س)")</f>
        <v>هیئت الزهرا (س)</v>
      </c>
      <c r="V698" s="1" t="str">
        <f>IFERROR(__xludf.DUMMYFUNCTION("INDEX(SPLIT(A698, ""/""), 4)"),"حیات")</f>
        <v>حیات</v>
      </c>
    </row>
    <row r="699">
      <c r="A699" s="1" t="s">
        <v>2287</v>
      </c>
      <c r="B699" s="1" t="s">
        <v>2326</v>
      </c>
      <c r="C699" s="1" t="s">
        <v>21</v>
      </c>
      <c r="D699" s="4" t="s">
        <v>2327</v>
      </c>
      <c r="E699" s="1" t="s">
        <v>2289</v>
      </c>
      <c r="F699" s="1" t="s">
        <v>2290</v>
      </c>
      <c r="G699" s="1" t="s">
        <v>2321</v>
      </c>
      <c r="H699" s="1" t="s">
        <v>343</v>
      </c>
      <c r="I699" s="1" t="str">
        <f t="shared" si="1"/>
        <v>x</v>
      </c>
      <c r="J699" s="5"/>
      <c r="K699" s="1" t="str">
        <f t="shared" si="2"/>
        <v>6</v>
      </c>
      <c r="L699" s="5"/>
      <c r="M699" s="2" t="str">
        <f t="shared" si="3"/>
        <v>1397</v>
      </c>
      <c r="N699" s="5"/>
      <c r="O699" s="2">
        <v>18.0</v>
      </c>
      <c r="P699" s="5"/>
      <c r="Q699" s="5"/>
      <c r="R699" s="6" t="s">
        <v>344</v>
      </c>
      <c r="S699" s="5"/>
      <c r="T699" s="1" t="str">
        <f>IFERROR(__xludf.DUMMYFUNCTION("INDEX(SPLIT(A699, ""/""), 2)"),"تشکل‌های اسلامی و سیاسی")</f>
        <v>تشکل‌های اسلامی و سیاسی</v>
      </c>
      <c r="U699" s="1" t="str">
        <f>IFERROR(__xludf.DUMMYFUNCTION("INDEX(SPLIT(A699, ""/""), 3)"),"هیئت الزهرا (س)")</f>
        <v>هیئت الزهرا (س)</v>
      </c>
      <c r="V699" s="1" t="str">
        <f>IFERROR(__xludf.DUMMYFUNCTION("INDEX(SPLIT(A699, ""/""), 4)"),"حیات")</f>
        <v>حیات</v>
      </c>
    </row>
    <row r="700">
      <c r="A700" s="1" t="s">
        <v>2287</v>
      </c>
      <c r="B700" s="1" t="s">
        <v>2328</v>
      </c>
      <c r="C700" s="1" t="s">
        <v>21</v>
      </c>
      <c r="D700" s="4" t="s">
        <v>2329</v>
      </c>
      <c r="E700" s="1" t="s">
        <v>2289</v>
      </c>
      <c r="F700" s="1" t="s">
        <v>2290</v>
      </c>
      <c r="G700" s="1" t="s">
        <v>2321</v>
      </c>
      <c r="H700" s="1" t="s">
        <v>343</v>
      </c>
      <c r="I700" s="1" t="str">
        <f t="shared" si="1"/>
        <v>x</v>
      </c>
      <c r="J700" s="5"/>
      <c r="K700" s="1" t="str">
        <f t="shared" si="2"/>
        <v>6</v>
      </c>
      <c r="L700" s="5"/>
      <c r="M700" s="2" t="str">
        <f t="shared" si="3"/>
        <v>1397</v>
      </c>
      <c r="N700" s="5"/>
      <c r="O700" s="2">
        <v>19.0</v>
      </c>
      <c r="P700" s="5"/>
      <c r="Q700" s="5"/>
      <c r="R700" s="6" t="s">
        <v>344</v>
      </c>
      <c r="S700" s="5"/>
      <c r="T700" s="1" t="str">
        <f>IFERROR(__xludf.DUMMYFUNCTION("INDEX(SPLIT(A700, ""/""), 2)"),"تشکل‌های اسلامی و سیاسی")</f>
        <v>تشکل‌های اسلامی و سیاسی</v>
      </c>
      <c r="U700" s="1" t="str">
        <f>IFERROR(__xludf.DUMMYFUNCTION("INDEX(SPLIT(A700, ""/""), 3)"),"هیئت الزهرا (س)")</f>
        <v>هیئت الزهرا (س)</v>
      </c>
      <c r="V700" s="1" t="str">
        <f>IFERROR(__xludf.DUMMYFUNCTION("INDEX(SPLIT(A700, ""/""), 4)"),"حیات")</f>
        <v>حیات</v>
      </c>
    </row>
    <row r="701">
      <c r="A701" s="1" t="s">
        <v>2287</v>
      </c>
      <c r="B701" s="1" t="s">
        <v>832</v>
      </c>
      <c r="C701" s="1" t="s">
        <v>21</v>
      </c>
      <c r="D701" s="4" t="s">
        <v>2330</v>
      </c>
      <c r="E701" s="1" t="s">
        <v>2289</v>
      </c>
      <c r="F701" s="1" t="s">
        <v>2290</v>
      </c>
      <c r="G701" s="1" t="s">
        <v>2321</v>
      </c>
      <c r="H701" s="1" t="s">
        <v>343</v>
      </c>
      <c r="I701" s="1" t="str">
        <f t="shared" si="1"/>
        <v>x</v>
      </c>
      <c r="J701" s="5"/>
      <c r="K701" s="1" t="str">
        <f t="shared" si="2"/>
        <v>6</v>
      </c>
      <c r="L701" s="5"/>
      <c r="M701" s="2" t="str">
        <f t="shared" si="3"/>
        <v>1397</v>
      </c>
      <c r="N701" s="5"/>
      <c r="O701" s="2">
        <v>20.0</v>
      </c>
      <c r="P701" s="5"/>
      <c r="Q701" s="5"/>
      <c r="R701" s="6" t="s">
        <v>344</v>
      </c>
      <c r="S701" s="5"/>
      <c r="T701" s="1" t="str">
        <f>IFERROR(__xludf.DUMMYFUNCTION("INDEX(SPLIT(A701, ""/""), 2)"),"تشکل‌های اسلامی و سیاسی")</f>
        <v>تشکل‌های اسلامی و سیاسی</v>
      </c>
      <c r="U701" s="1" t="str">
        <f>IFERROR(__xludf.DUMMYFUNCTION("INDEX(SPLIT(A701, ""/""), 3)"),"هیئت الزهرا (س)")</f>
        <v>هیئت الزهرا (س)</v>
      </c>
      <c r="V701" s="1" t="str">
        <f>IFERROR(__xludf.DUMMYFUNCTION("INDEX(SPLIT(A701, ""/""), 4)"),"حیات")</f>
        <v>حیات</v>
      </c>
    </row>
    <row r="702">
      <c r="A702" s="1" t="s">
        <v>2287</v>
      </c>
      <c r="B702" s="1" t="s">
        <v>1592</v>
      </c>
      <c r="C702" s="1" t="s">
        <v>21</v>
      </c>
      <c r="D702" s="4" t="s">
        <v>2331</v>
      </c>
      <c r="E702" s="1" t="s">
        <v>2289</v>
      </c>
      <c r="F702" s="1" t="s">
        <v>2290</v>
      </c>
      <c r="G702" s="1" t="s">
        <v>2321</v>
      </c>
      <c r="H702" s="1" t="s">
        <v>343</v>
      </c>
      <c r="I702" s="1" t="str">
        <f t="shared" si="1"/>
        <v>x</v>
      </c>
      <c r="J702" s="5"/>
      <c r="K702" s="1" t="str">
        <f t="shared" si="2"/>
        <v>6</v>
      </c>
      <c r="L702" s="5"/>
      <c r="M702" s="2" t="str">
        <f t="shared" si="3"/>
        <v>1397</v>
      </c>
      <c r="N702" s="5"/>
      <c r="O702" s="2">
        <v>21.0</v>
      </c>
      <c r="P702" s="5"/>
      <c r="Q702" s="5"/>
      <c r="R702" s="6" t="s">
        <v>344</v>
      </c>
      <c r="S702" s="5"/>
      <c r="T702" s="1" t="str">
        <f>IFERROR(__xludf.DUMMYFUNCTION("INDEX(SPLIT(A702, ""/""), 2)"),"تشکل‌های اسلامی و سیاسی")</f>
        <v>تشکل‌های اسلامی و سیاسی</v>
      </c>
      <c r="U702" s="1" t="str">
        <f>IFERROR(__xludf.DUMMYFUNCTION("INDEX(SPLIT(A702, ""/""), 3)"),"هیئت الزهرا (س)")</f>
        <v>هیئت الزهرا (س)</v>
      </c>
      <c r="V702" s="1" t="str">
        <f>IFERROR(__xludf.DUMMYFUNCTION("INDEX(SPLIT(A702, ""/""), 4)"),"حیات")</f>
        <v>حیات</v>
      </c>
    </row>
    <row r="703">
      <c r="A703" s="1" t="s">
        <v>2287</v>
      </c>
      <c r="B703" s="1" t="s">
        <v>2332</v>
      </c>
      <c r="C703" s="1" t="s">
        <v>21</v>
      </c>
      <c r="D703" s="4" t="s">
        <v>2333</v>
      </c>
      <c r="E703" s="1" t="s">
        <v>2289</v>
      </c>
      <c r="F703" s="1" t="s">
        <v>2290</v>
      </c>
      <c r="G703" s="1" t="s">
        <v>752</v>
      </c>
      <c r="H703" s="1" t="s">
        <v>317</v>
      </c>
      <c r="I703" s="1" t="str">
        <f t="shared" si="1"/>
        <v>x</v>
      </c>
      <c r="J703" s="5"/>
      <c r="K703" s="1" t="str">
        <f t="shared" si="2"/>
        <v>9</v>
      </c>
      <c r="L703" s="5"/>
      <c r="M703" s="2" t="str">
        <f t="shared" si="3"/>
        <v>1397</v>
      </c>
      <c r="N703" s="5"/>
      <c r="O703" s="2">
        <v>22.0</v>
      </c>
      <c r="P703" s="5"/>
      <c r="Q703" s="5"/>
      <c r="R703" s="6" t="s">
        <v>318</v>
      </c>
      <c r="S703" s="5"/>
      <c r="T703" s="1" t="str">
        <f>IFERROR(__xludf.DUMMYFUNCTION("INDEX(SPLIT(A703, ""/""), 2)"),"تشکل‌های اسلامی و سیاسی")</f>
        <v>تشکل‌های اسلامی و سیاسی</v>
      </c>
      <c r="U703" s="1" t="str">
        <f>IFERROR(__xludf.DUMMYFUNCTION("INDEX(SPLIT(A703, ""/""), 3)"),"هیئت الزهرا (س)")</f>
        <v>هیئت الزهرا (س)</v>
      </c>
      <c r="V703" s="1" t="str">
        <f>IFERROR(__xludf.DUMMYFUNCTION("INDEX(SPLIT(A703, ""/""), 4)"),"حیات")</f>
        <v>حیات</v>
      </c>
    </row>
    <row r="704">
      <c r="A704" s="1" t="s">
        <v>2287</v>
      </c>
      <c r="B704" s="1" t="s">
        <v>2334</v>
      </c>
      <c r="C704" s="1" t="s">
        <v>21</v>
      </c>
      <c r="D704" s="4" t="s">
        <v>2335</v>
      </c>
      <c r="E704" s="1" t="s">
        <v>2289</v>
      </c>
      <c r="F704" s="1" t="s">
        <v>2290</v>
      </c>
      <c r="G704" s="1" t="s">
        <v>2336</v>
      </c>
      <c r="H704" s="1" t="s">
        <v>317</v>
      </c>
      <c r="I704" s="1" t="str">
        <f t="shared" si="1"/>
        <v>x</v>
      </c>
      <c r="J704" s="5"/>
      <c r="K704" s="1" t="str">
        <f t="shared" si="2"/>
        <v>9</v>
      </c>
      <c r="L704" s="5"/>
      <c r="M704" s="2" t="str">
        <f t="shared" si="3"/>
        <v>1397</v>
      </c>
      <c r="N704" s="5"/>
      <c r="O704" s="2">
        <v>23.0</v>
      </c>
      <c r="P704" s="5"/>
      <c r="Q704" s="5"/>
      <c r="R704" s="6" t="s">
        <v>318</v>
      </c>
      <c r="S704" s="5"/>
      <c r="T704" s="1" t="str">
        <f>IFERROR(__xludf.DUMMYFUNCTION("INDEX(SPLIT(A704, ""/""), 2)"),"تشکل‌های اسلامی و سیاسی")</f>
        <v>تشکل‌های اسلامی و سیاسی</v>
      </c>
      <c r="U704" s="1" t="str">
        <f>IFERROR(__xludf.DUMMYFUNCTION("INDEX(SPLIT(A704, ""/""), 3)"),"هیئت الزهرا (س)")</f>
        <v>هیئت الزهرا (س)</v>
      </c>
      <c r="V704" s="1" t="str">
        <f>IFERROR(__xludf.DUMMYFUNCTION("INDEX(SPLIT(A704, ""/""), 4)"),"حیات")</f>
        <v>حیات</v>
      </c>
    </row>
    <row r="705">
      <c r="A705" s="1" t="s">
        <v>2287</v>
      </c>
      <c r="B705" s="1" t="s">
        <v>2337</v>
      </c>
      <c r="C705" s="1" t="s">
        <v>21</v>
      </c>
      <c r="D705" s="4" t="s">
        <v>2338</v>
      </c>
      <c r="E705" s="1" t="s">
        <v>2289</v>
      </c>
      <c r="F705" s="1" t="s">
        <v>2290</v>
      </c>
      <c r="G705" s="1" t="s">
        <v>2336</v>
      </c>
      <c r="H705" s="1" t="s">
        <v>173</v>
      </c>
      <c r="I705" s="1" t="str">
        <f t="shared" si="1"/>
        <v>x</v>
      </c>
      <c r="J705" s="5"/>
      <c r="K705" s="1" t="str">
        <f t="shared" si="2"/>
        <v>10</v>
      </c>
      <c r="L705" s="5"/>
      <c r="M705" s="2" t="str">
        <f t="shared" si="3"/>
        <v>1397</v>
      </c>
      <c r="N705" s="5"/>
      <c r="O705" s="2">
        <v>24.0</v>
      </c>
      <c r="P705" s="5"/>
      <c r="Q705" s="5"/>
      <c r="R705" s="6" t="s">
        <v>174</v>
      </c>
      <c r="S705" s="5"/>
      <c r="T705" s="1" t="str">
        <f>IFERROR(__xludf.DUMMYFUNCTION("INDEX(SPLIT(A705, ""/""), 2)"),"تشکل‌های اسلامی و سیاسی")</f>
        <v>تشکل‌های اسلامی و سیاسی</v>
      </c>
      <c r="U705" s="1" t="str">
        <f>IFERROR(__xludf.DUMMYFUNCTION("INDEX(SPLIT(A705, ""/""), 3)"),"هیئت الزهرا (س)")</f>
        <v>هیئت الزهرا (س)</v>
      </c>
      <c r="V705" s="1" t="str">
        <f>IFERROR(__xludf.DUMMYFUNCTION("INDEX(SPLIT(A705, ""/""), 4)"),"حیات")</f>
        <v>حیات</v>
      </c>
    </row>
    <row r="706">
      <c r="A706" s="1" t="s">
        <v>2287</v>
      </c>
      <c r="B706" s="1" t="s">
        <v>2339</v>
      </c>
      <c r="C706" s="1" t="s">
        <v>21</v>
      </c>
      <c r="D706" s="4" t="s">
        <v>2340</v>
      </c>
      <c r="E706" s="1" t="s">
        <v>2289</v>
      </c>
      <c r="F706" s="1" t="s">
        <v>2290</v>
      </c>
      <c r="G706" s="1" t="s">
        <v>2336</v>
      </c>
      <c r="H706" s="1" t="s">
        <v>177</v>
      </c>
      <c r="I706" s="1" t="str">
        <f t="shared" si="1"/>
        <v>x</v>
      </c>
      <c r="J706" s="5"/>
      <c r="K706" s="1" t="str">
        <f t="shared" si="2"/>
        <v>11</v>
      </c>
      <c r="L706" s="5"/>
      <c r="M706" s="2" t="str">
        <f t="shared" si="3"/>
        <v>1397</v>
      </c>
      <c r="N706" s="5"/>
      <c r="O706" s="2">
        <v>25.0</v>
      </c>
      <c r="P706" s="5"/>
      <c r="Q706" s="5"/>
      <c r="R706" s="6" t="s">
        <v>178</v>
      </c>
      <c r="S706" s="5"/>
      <c r="T706" s="1" t="str">
        <f>IFERROR(__xludf.DUMMYFUNCTION("INDEX(SPLIT(A706, ""/""), 2)"),"تشکل‌های اسلامی و سیاسی")</f>
        <v>تشکل‌های اسلامی و سیاسی</v>
      </c>
      <c r="U706" s="1" t="str">
        <f>IFERROR(__xludf.DUMMYFUNCTION("INDEX(SPLIT(A706, ""/""), 3)"),"هیئت الزهرا (س)")</f>
        <v>هیئت الزهرا (س)</v>
      </c>
      <c r="V706" s="1" t="str">
        <f>IFERROR(__xludf.DUMMYFUNCTION("INDEX(SPLIT(A706, ""/""), 4)"),"حیات")</f>
        <v>حیات</v>
      </c>
    </row>
    <row r="707">
      <c r="A707" s="1" t="s">
        <v>2287</v>
      </c>
      <c r="B707" s="1" t="s">
        <v>2341</v>
      </c>
      <c r="C707" s="1" t="s">
        <v>21</v>
      </c>
      <c r="D707" s="4" t="s">
        <v>2342</v>
      </c>
      <c r="E707" s="1" t="s">
        <v>2289</v>
      </c>
      <c r="F707" s="1" t="s">
        <v>2290</v>
      </c>
      <c r="G707" s="1" t="s">
        <v>2336</v>
      </c>
      <c r="H707" s="1" t="s">
        <v>177</v>
      </c>
      <c r="I707" s="1" t="str">
        <f t="shared" si="1"/>
        <v>x</v>
      </c>
      <c r="J707" s="5"/>
      <c r="K707" s="1" t="str">
        <f t="shared" si="2"/>
        <v>11</v>
      </c>
      <c r="L707" s="5"/>
      <c r="M707" s="2" t="str">
        <f t="shared" si="3"/>
        <v>1397</v>
      </c>
      <c r="N707" s="5"/>
      <c r="O707" s="2">
        <v>26.0</v>
      </c>
      <c r="P707" s="5"/>
      <c r="Q707" s="5"/>
      <c r="R707" s="6" t="s">
        <v>178</v>
      </c>
      <c r="S707" s="5"/>
      <c r="T707" s="1" t="str">
        <f>IFERROR(__xludf.DUMMYFUNCTION("INDEX(SPLIT(A707, ""/""), 2)"),"تشکل‌های اسلامی و سیاسی")</f>
        <v>تشکل‌های اسلامی و سیاسی</v>
      </c>
      <c r="U707" s="1" t="str">
        <f>IFERROR(__xludf.DUMMYFUNCTION("INDEX(SPLIT(A707, ""/""), 3)"),"هیئت الزهرا (س)")</f>
        <v>هیئت الزهرا (س)</v>
      </c>
      <c r="V707" s="1" t="str">
        <f>IFERROR(__xludf.DUMMYFUNCTION("INDEX(SPLIT(A707, ""/""), 4)"),"حیات")</f>
        <v>حیات</v>
      </c>
    </row>
    <row r="708">
      <c r="A708" s="1" t="s">
        <v>2287</v>
      </c>
      <c r="B708" s="1" t="s">
        <v>2343</v>
      </c>
      <c r="C708" s="1" t="s">
        <v>21</v>
      </c>
      <c r="D708" s="4" t="s">
        <v>2344</v>
      </c>
      <c r="E708" s="1" t="s">
        <v>2289</v>
      </c>
      <c r="F708" s="1" t="s">
        <v>2290</v>
      </c>
      <c r="G708" s="1" t="s">
        <v>2336</v>
      </c>
      <c r="H708" s="1" t="s">
        <v>177</v>
      </c>
      <c r="I708" s="1" t="str">
        <f t="shared" si="1"/>
        <v>x</v>
      </c>
      <c r="J708" s="5"/>
      <c r="K708" s="1" t="str">
        <f t="shared" si="2"/>
        <v>11</v>
      </c>
      <c r="L708" s="5"/>
      <c r="M708" s="2" t="str">
        <f t="shared" si="3"/>
        <v>1397</v>
      </c>
      <c r="N708" s="5"/>
      <c r="O708" s="2">
        <v>27.0</v>
      </c>
      <c r="P708" s="5"/>
      <c r="Q708" s="5"/>
      <c r="R708" s="6" t="s">
        <v>178</v>
      </c>
      <c r="S708" s="5"/>
      <c r="T708" s="1" t="str">
        <f>IFERROR(__xludf.DUMMYFUNCTION("INDEX(SPLIT(A708, ""/""), 2)"),"تشکل‌های اسلامی و سیاسی")</f>
        <v>تشکل‌های اسلامی و سیاسی</v>
      </c>
      <c r="U708" s="1" t="str">
        <f>IFERROR(__xludf.DUMMYFUNCTION("INDEX(SPLIT(A708, ""/""), 3)"),"هیئت الزهرا (س)")</f>
        <v>هیئت الزهرا (س)</v>
      </c>
      <c r="V708" s="1" t="str">
        <f>IFERROR(__xludf.DUMMYFUNCTION("INDEX(SPLIT(A708, ""/""), 4)"),"حیات")</f>
        <v>حیات</v>
      </c>
    </row>
    <row r="709">
      <c r="A709" s="1" t="s">
        <v>2287</v>
      </c>
      <c r="B709" s="1" t="s">
        <v>2345</v>
      </c>
      <c r="C709" s="1" t="s">
        <v>21</v>
      </c>
      <c r="D709" s="4" t="s">
        <v>2346</v>
      </c>
      <c r="E709" s="1" t="s">
        <v>2289</v>
      </c>
      <c r="F709" s="1" t="s">
        <v>2290</v>
      </c>
      <c r="G709" s="1" t="s">
        <v>2336</v>
      </c>
      <c r="H709" s="1" t="s">
        <v>177</v>
      </c>
      <c r="I709" s="1" t="str">
        <f t="shared" si="1"/>
        <v>x</v>
      </c>
      <c r="J709" s="5"/>
      <c r="K709" s="1" t="str">
        <f t="shared" si="2"/>
        <v>11</v>
      </c>
      <c r="L709" s="5"/>
      <c r="M709" s="2" t="str">
        <f t="shared" si="3"/>
        <v>1397</v>
      </c>
      <c r="N709" s="5"/>
      <c r="O709" s="2">
        <v>28.0</v>
      </c>
      <c r="P709" s="5"/>
      <c r="Q709" s="5"/>
      <c r="R709" s="6" t="s">
        <v>178</v>
      </c>
      <c r="S709" s="5"/>
      <c r="T709" s="1" t="str">
        <f>IFERROR(__xludf.DUMMYFUNCTION("INDEX(SPLIT(A709, ""/""), 2)"),"تشکل‌های اسلامی و سیاسی")</f>
        <v>تشکل‌های اسلامی و سیاسی</v>
      </c>
      <c r="U709" s="1" t="str">
        <f>IFERROR(__xludf.DUMMYFUNCTION("INDEX(SPLIT(A709, ""/""), 3)"),"هیئت الزهرا (س)")</f>
        <v>هیئت الزهرا (س)</v>
      </c>
      <c r="V709" s="1" t="str">
        <f>IFERROR(__xludf.DUMMYFUNCTION("INDEX(SPLIT(A709, ""/""), 4)"),"حیات")</f>
        <v>حیات</v>
      </c>
    </row>
    <row r="710">
      <c r="A710" s="1" t="s">
        <v>2287</v>
      </c>
      <c r="B710" s="1" t="s">
        <v>2347</v>
      </c>
      <c r="C710" s="1" t="s">
        <v>21</v>
      </c>
      <c r="D710" s="4" t="s">
        <v>2348</v>
      </c>
      <c r="E710" s="1" t="s">
        <v>2289</v>
      </c>
      <c r="F710" s="1" t="s">
        <v>2290</v>
      </c>
      <c r="G710" s="1" t="s">
        <v>2336</v>
      </c>
      <c r="H710" s="1" t="s">
        <v>181</v>
      </c>
      <c r="I710" s="1" t="str">
        <f t="shared" si="1"/>
        <v>x</v>
      </c>
      <c r="J710" s="5"/>
      <c r="K710" s="1" t="str">
        <f t="shared" si="2"/>
        <v>12</v>
      </c>
      <c r="L710" s="5"/>
      <c r="M710" s="2" t="str">
        <f t="shared" si="3"/>
        <v>1397</v>
      </c>
      <c r="N710" s="5"/>
      <c r="O710" s="2">
        <v>29.0</v>
      </c>
      <c r="P710" s="5"/>
      <c r="Q710" s="5"/>
      <c r="R710" s="6" t="s">
        <v>182</v>
      </c>
      <c r="S710" s="5"/>
      <c r="T710" s="1" t="str">
        <f>IFERROR(__xludf.DUMMYFUNCTION("INDEX(SPLIT(A710, ""/""), 2)"),"تشکل‌های اسلامی و سیاسی")</f>
        <v>تشکل‌های اسلامی و سیاسی</v>
      </c>
      <c r="U710" s="1" t="str">
        <f>IFERROR(__xludf.DUMMYFUNCTION("INDEX(SPLIT(A710, ""/""), 3)"),"هیئت الزهرا (س)")</f>
        <v>هیئت الزهرا (س)</v>
      </c>
      <c r="V710" s="1" t="str">
        <f>IFERROR(__xludf.DUMMYFUNCTION("INDEX(SPLIT(A710, ""/""), 4)"),"حیات")</f>
        <v>حیات</v>
      </c>
    </row>
    <row r="711">
      <c r="A711" s="1" t="s">
        <v>2287</v>
      </c>
      <c r="B711" s="1" t="s">
        <v>2349</v>
      </c>
      <c r="C711" s="1" t="s">
        <v>21</v>
      </c>
      <c r="D711" s="4" t="s">
        <v>2350</v>
      </c>
      <c r="E711" s="1" t="s">
        <v>2289</v>
      </c>
      <c r="F711" s="1" t="s">
        <v>2290</v>
      </c>
      <c r="G711" s="1" t="s">
        <v>2336</v>
      </c>
      <c r="H711" s="1" t="s">
        <v>181</v>
      </c>
      <c r="I711" s="1" t="str">
        <f t="shared" si="1"/>
        <v>x</v>
      </c>
      <c r="J711" s="5"/>
      <c r="K711" s="1" t="str">
        <f t="shared" si="2"/>
        <v>12</v>
      </c>
      <c r="L711" s="5"/>
      <c r="M711" s="2" t="str">
        <f t="shared" si="3"/>
        <v>1397</v>
      </c>
      <c r="N711" s="5"/>
      <c r="O711" s="2">
        <v>30.0</v>
      </c>
      <c r="P711" s="5"/>
      <c r="Q711" s="5"/>
      <c r="R711" s="6" t="s">
        <v>182</v>
      </c>
      <c r="S711" s="5"/>
      <c r="T711" s="1" t="str">
        <f>IFERROR(__xludf.DUMMYFUNCTION("INDEX(SPLIT(A711, ""/""), 2)"),"تشکل‌های اسلامی و سیاسی")</f>
        <v>تشکل‌های اسلامی و سیاسی</v>
      </c>
      <c r="U711" s="1" t="str">
        <f>IFERROR(__xludf.DUMMYFUNCTION("INDEX(SPLIT(A711, ""/""), 3)"),"هیئت الزهرا (س)")</f>
        <v>هیئت الزهرا (س)</v>
      </c>
      <c r="V711" s="1" t="str">
        <f>IFERROR(__xludf.DUMMYFUNCTION("INDEX(SPLIT(A711, ""/""), 4)"),"حیات")</f>
        <v>حیات</v>
      </c>
    </row>
    <row r="712">
      <c r="A712" s="1" t="s">
        <v>2287</v>
      </c>
      <c r="B712" s="1" t="s">
        <v>2351</v>
      </c>
      <c r="C712" s="1" t="s">
        <v>21</v>
      </c>
      <c r="D712" s="4" t="s">
        <v>2352</v>
      </c>
      <c r="E712" s="1" t="s">
        <v>2289</v>
      </c>
      <c r="F712" s="1" t="s">
        <v>2290</v>
      </c>
      <c r="G712" s="1" t="s">
        <v>2336</v>
      </c>
      <c r="H712" s="1" t="s">
        <v>185</v>
      </c>
      <c r="I712" s="1" t="str">
        <f t="shared" si="1"/>
        <v>x</v>
      </c>
      <c r="J712" s="5"/>
      <c r="K712" s="1" t="str">
        <f t="shared" si="2"/>
        <v>1</v>
      </c>
      <c r="L712" s="5"/>
      <c r="M712" s="2" t="str">
        <f t="shared" si="3"/>
        <v>1398</v>
      </c>
      <c r="N712" s="5"/>
      <c r="O712" s="2">
        <v>31.0</v>
      </c>
      <c r="P712" s="5"/>
      <c r="Q712" s="5"/>
      <c r="R712" s="6" t="s">
        <v>186</v>
      </c>
      <c r="S712" s="5"/>
      <c r="T712" s="1" t="str">
        <f>IFERROR(__xludf.DUMMYFUNCTION("INDEX(SPLIT(A712, ""/""), 2)"),"تشکل‌های اسلامی و سیاسی")</f>
        <v>تشکل‌های اسلامی و سیاسی</v>
      </c>
      <c r="U712" s="1" t="str">
        <f>IFERROR(__xludf.DUMMYFUNCTION("INDEX(SPLIT(A712, ""/""), 3)"),"هیئت الزهرا (س)")</f>
        <v>هیئت الزهرا (س)</v>
      </c>
      <c r="V712" s="1" t="str">
        <f>IFERROR(__xludf.DUMMYFUNCTION("INDEX(SPLIT(A712, ""/""), 4)"),"حیات")</f>
        <v>حیات</v>
      </c>
    </row>
    <row r="713">
      <c r="A713" s="1" t="s">
        <v>2287</v>
      </c>
      <c r="B713" s="1" t="s">
        <v>2353</v>
      </c>
      <c r="C713" s="1" t="s">
        <v>21</v>
      </c>
      <c r="D713" s="4" t="s">
        <v>2354</v>
      </c>
      <c r="E713" s="1" t="s">
        <v>2289</v>
      </c>
      <c r="F713" s="1" t="s">
        <v>2290</v>
      </c>
      <c r="G713" s="1" t="s">
        <v>2336</v>
      </c>
      <c r="H713" s="1" t="s">
        <v>329</v>
      </c>
      <c r="I713" s="1" t="str">
        <f t="shared" si="1"/>
        <v>x</v>
      </c>
      <c r="J713" s="5"/>
      <c r="K713" s="1" t="str">
        <f t="shared" si="2"/>
        <v>2</v>
      </c>
      <c r="L713" s="5"/>
      <c r="M713" s="2" t="str">
        <f t="shared" si="3"/>
        <v>1398</v>
      </c>
      <c r="N713" s="5"/>
      <c r="O713" s="2">
        <v>32.0</v>
      </c>
      <c r="P713" s="5"/>
      <c r="Q713" s="5"/>
      <c r="R713" s="6" t="s">
        <v>330</v>
      </c>
      <c r="S713" s="5"/>
      <c r="T713" s="1" t="str">
        <f>IFERROR(__xludf.DUMMYFUNCTION("INDEX(SPLIT(A713, ""/""), 2)"),"تشکل‌های اسلامی و سیاسی")</f>
        <v>تشکل‌های اسلامی و سیاسی</v>
      </c>
      <c r="U713" s="1" t="str">
        <f>IFERROR(__xludf.DUMMYFUNCTION("INDEX(SPLIT(A713, ""/""), 3)"),"هیئت الزهرا (س)")</f>
        <v>هیئت الزهرا (س)</v>
      </c>
      <c r="V713" s="1" t="str">
        <f>IFERROR(__xludf.DUMMYFUNCTION("INDEX(SPLIT(A713, ""/""), 4)"),"حیات")</f>
        <v>حیات</v>
      </c>
    </row>
    <row r="714">
      <c r="A714" s="1" t="s">
        <v>2287</v>
      </c>
      <c r="B714" s="1" t="s">
        <v>2355</v>
      </c>
      <c r="C714" s="1" t="s">
        <v>21</v>
      </c>
      <c r="D714" s="4" t="s">
        <v>2356</v>
      </c>
      <c r="E714" s="1" t="s">
        <v>2289</v>
      </c>
      <c r="F714" s="1" t="s">
        <v>2290</v>
      </c>
      <c r="G714" s="1" t="s">
        <v>2336</v>
      </c>
      <c r="H714" s="1" t="s">
        <v>189</v>
      </c>
      <c r="I714" s="1" t="str">
        <f t="shared" si="1"/>
        <v>x</v>
      </c>
      <c r="J714" s="5"/>
      <c r="K714" s="1" t="str">
        <f t="shared" si="2"/>
        <v>3</v>
      </c>
      <c r="L714" s="5"/>
      <c r="M714" s="2" t="str">
        <f t="shared" si="3"/>
        <v>1398</v>
      </c>
      <c r="N714" s="5"/>
      <c r="O714" s="2">
        <v>33.0</v>
      </c>
      <c r="P714" s="5"/>
      <c r="Q714" s="5"/>
      <c r="R714" s="6" t="s">
        <v>190</v>
      </c>
      <c r="S714" s="5"/>
      <c r="T714" s="1" t="str">
        <f>IFERROR(__xludf.DUMMYFUNCTION("INDEX(SPLIT(A714, ""/""), 2)"),"تشکل‌های اسلامی و سیاسی")</f>
        <v>تشکل‌های اسلامی و سیاسی</v>
      </c>
      <c r="U714" s="1" t="str">
        <f>IFERROR(__xludf.DUMMYFUNCTION("INDEX(SPLIT(A714, ""/""), 3)"),"هیئت الزهرا (س)")</f>
        <v>هیئت الزهرا (س)</v>
      </c>
      <c r="V714" s="1" t="str">
        <f>IFERROR(__xludf.DUMMYFUNCTION("INDEX(SPLIT(A714, ""/""), 4)"),"حیات")</f>
        <v>حیات</v>
      </c>
    </row>
    <row r="715">
      <c r="A715" s="1" t="s">
        <v>2287</v>
      </c>
      <c r="B715" s="1" t="s">
        <v>2357</v>
      </c>
      <c r="C715" s="1" t="s">
        <v>21</v>
      </c>
      <c r="D715" s="4" t="s">
        <v>2358</v>
      </c>
      <c r="E715" s="1" t="s">
        <v>2289</v>
      </c>
      <c r="F715" s="1" t="s">
        <v>1844</v>
      </c>
      <c r="G715" s="1" t="s">
        <v>2359</v>
      </c>
      <c r="H715" s="1" t="s">
        <v>339</v>
      </c>
      <c r="I715" s="1" t="str">
        <f t="shared" si="1"/>
        <v>x</v>
      </c>
      <c r="J715" s="5"/>
      <c r="K715" s="1" t="str">
        <f t="shared" si="2"/>
        <v>5</v>
      </c>
      <c r="L715" s="5"/>
      <c r="M715" s="2" t="str">
        <f t="shared" si="3"/>
        <v>1398</v>
      </c>
      <c r="N715" s="5"/>
      <c r="O715" s="2">
        <v>34.0</v>
      </c>
      <c r="P715" s="5"/>
      <c r="Q715" s="5"/>
      <c r="R715" s="6" t="s">
        <v>340</v>
      </c>
      <c r="S715" s="5"/>
      <c r="T715" s="1" t="str">
        <f>IFERROR(__xludf.DUMMYFUNCTION("INDEX(SPLIT(A715, ""/""), 2)"),"تشکل‌های اسلامی و سیاسی")</f>
        <v>تشکل‌های اسلامی و سیاسی</v>
      </c>
      <c r="U715" s="1" t="str">
        <f>IFERROR(__xludf.DUMMYFUNCTION("INDEX(SPLIT(A715, ""/""), 3)"),"هیئت الزهرا (س)")</f>
        <v>هیئت الزهرا (س)</v>
      </c>
      <c r="V715" s="1" t="str">
        <f>IFERROR(__xludf.DUMMYFUNCTION("INDEX(SPLIT(A715, ""/""), 4)"),"حیات")</f>
        <v>حیات</v>
      </c>
    </row>
    <row r="716">
      <c r="A716" s="1" t="s">
        <v>2287</v>
      </c>
      <c r="B716" s="1" t="s">
        <v>2360</v>
      </c>
      <c r="C716" s="1" t="s">
        <v>21</v>
      </c>
      <c r="D716" s="4" t="s">
        <v>2361</v>
      </c>
      <c r="E716" s="1" t="s">
        <v>2289</v>
      </c>
      <c r="F716" s="1" t="s">
        <v>1844</v>
      </c>
      <c r="G716" s="1" t="s">
        <v>2290</v>
      </c>
      <c r="H716" s="1" t="s">
        <v>347</v>
      </c>
      <c r="I716" s="1" t="str">
        <f t="shared" si="1"/>
        <v>x</v>
      </c>
      <c r="J716" s="5"/>
      <c r="K716" s="1" t="str">
        <f t="shared" si="2"/>
        <v>7</v>
      </c>
      <c r="L716" s="5"/>
      <c r="M716" s="2" t="str">
        <f t="shared" si="3"/>
        <v>1398</v>
      </c>
      <c r="N716" s="5"/>
      <c r="O716" s="2">
        <v>35.0</v>
      </c>
      <c r="P716" s="5"/>
      <c r="Q716" s="5"/>
      <c r="R716" s="6" t="s">
        <v>348</v>
      </c>
      <c r="S716" s="5"/>
      <c r="T716" s="1" t="str">
        <f>IFERROR(__xludf.DUMMYFUNCTION("INDEX(SPLIT(A716, ""/""), 2)"),"تشکل‌های اسلامی و سیاسی")</f>
        <v>تشکل‌های اسلامی و سیاسی</v>
      </c>
      <c r="U716" s="1" t="str">
        <f>IFERROR(__xludf.DUMMYFUNCTION("INDEX(SPLIT(A716, ""/""), 3)"),"هیئت الزهرا (س)")</f>
        <v>هیئت الزهرا (س)</v>
      </c>
      <c r="V716" s="1" t="str">
        <f>IFERROR(__xludf.DUMMYFUNCTION("INDEX(SPLIT(A716, ""/""), 4)"),"حیات")</f>
        <v>حیات</v>
      </c>
    </row>
    <row r="717">
      <c r="A717" s="1" t="s">
        <v>2287</v>
      </c>
      <c r="B717" s="1" t="s">
        <v>2362</v>
      </c>
      <c r="C717" s="1" t="s">
        <v>21</v>
      </c>
      <c r="D717" s="4" t="s">
        <v>2363</v>
      </c>
      <c r="E717" s="1" t="s">
        <v>2289</v>
      </c>
      <c r="F717" s="1" t="s">
        <v>1844</v>
      </c>
      <c r="G717" s="1" t="s">
        <v>2290</v>
      </c>
      <c r="H717" s="1" t="s">
        <v>351</v>
      </c>
      <c r="I717" s="1" t="str">
        <f t="shared" si="1"/>
        <v>x</v>
      </c>
      <c r="J717" s="5"/>
      <c r="K717" s="1" t="str">
        <f t="shared" si="2"/>
        <v>8</v>
      </c>
      <c r="L717" s="5"/>
      <c r="M717" s="2" t="str">
        <f t="shared" si="3"/>
        <v>1398</v>
      </c>
      <c r="N717" s="5"/>
      <c r="O717" s="2">
        <v>36.0</v>
      </c>
      <c r="P717" s="5"/>
      <c r="Q717" s="5"/>
      <c r="R717" s="6" t="s">
        <v>352</v>
      </c>
      <c r="S717" s="5"/>
      <c r="T717" s="1" t="str">
        <f>IFERROR(__xludf.DUMMYFUNCTION("INDEX(SPLIT(A717, ""/""), 2)"),"تشکل‌های اسلامی و سیاسی")</f>
        <v>تشکل‌های اسلامی و سیاسی</v>
      </c>
      <c r="U717" s="1" t="str">
        <f>IFERROR(__xludf.DUMMYFUNCTION("INDEX(SPLIT(A717, ""/""), 3)"),"هیئت الزهرا (س)")</f>
        <v>هیئت الزهرا (س)</v>
      </c>
      <c r="V717" s="1" t="str">
        <f>IFERROR(__xludf.DUMMYFUNCTION("INDEX(SPLIT(A717, ""/""), 4)"),"حیات")</f>
        <v>حیات</v>
      </c>
    </row>
    <row r="718">
      <c r="A718" s="1" t="s">
        <v>2287</v>
      </c>
      <c r="B718" s="1" t="s">
        <v>2364</v>
      </c>
      <c r="C718" s="1" t="s">
        <v>21</v>
      </c>
      <c r="D718" s="4" t="s">
        <v>2365</v>
      </c>
      <c r="E718" s="1" t="s">
        <v>2289</v>
      </c>
      <c r="F718" s="1" t="s">
        <v>1844</v>
      </c>
      <c r="G718" s="1" t="s">
        <v>2290</v>
      </c>
      <c r="H718" s="1" t="s">
        <v>195</v>
      </c>
      <c r="I718" s="1" t="str">
        <f t="shared" si="1"/>
        <v>x</v>
      </c>
      <c r="J718" s="5"/>
      <c r="K718" s="1" t="str">
        <f t="shared" si="2"/>
        <v>9</v>
      </c>
      <c r="L718" s="5"/>
      <c r="M718" s="2" t="str">
        <f t="shared" si="3"/>
        <v>1398</v>
      </c>
      <c r="N718" s="5"/>
      <c r="O718" s="2">
        <v>37.0</v>
      </c>
      <c r="P718" s="5"/>
      <c r="Q718" s="5"/>
      <c r="R718" s="6" t="s">
        <v>196</v>
      </c>
      <c r="S718" s="5"/>
      <c r="T718" s="1" t="str">
        <f>IFERROR(__xludf.DUMMYFUNCTION("INDEX(SPLIT(A718, ""/""), 2)"),"تشکل‌های اسلامی و سیاسی")</f>
        <v>تشکل‌های اسلامی و سیاسی</v>
      </c>
      <c r="U718" s="1" t="str">
        <f>IFERROR(__xludf.DUMMYFUNCTION("INDEX(SPLIT(A718, ""/""), 3)"),"هیئت الزهرا (س)")</f>
        <v>هیئت الزهرا (س)</v>
      </c>
      <c r="V718" s="1" t="str">
        <f>IFERROR(__xludf.DUMMYFUNCTION("INDEX(SPLIT(A718, ""/""), 4)"),"حیات")</f>
        <v>حیات</v>
      </c>
    </row>
    <row r="719">
      <c r="A719" s="1" t="s">
        <v>2287</v>
      </c>
      <c r="B719" s="1" t="s">
        <v>2366</v>
      </c>
      <c r="C719" s="1" t="s">
        <v>21</v>
      </c>
      <c r="D719" s="4" t="s">
        <v>2367</v>
      </c>
      <c r="E719" s="1" t="s">
        <v>2289</v>
      </c>
      <c r="F719" s="1" t="s">
        <v>1844</v>
      </c>
      <c r="G719" s="1" t="s">
        <v>2290</v>
      </c>
      <c r="H719" s="1" t="s">
        <v>195</v>
      </c>
      <c r="I719" s="1" t="str">
        <f t="shared" si="1"/>
        <v>x</v>
      </c>
      <c r="J719" s="5"/>
      <c r="K719" s="1" t="str">
        <f t="shared" si="2"/>
        <v>9</v>
      </c>
      <c r="L719" s="5"/>
      <c r="M719" s="2" t="str">
        <f t="shared" si="3"/>
        <v>1398</v>
      </c>
      <c r="N719" s="5"/>
      <c r="O719" s="2">
        <v>38.0</v>
      </c>
      <c r="P719" s="5"/>
      <c r="Q719" s="5"/>
      <c r="R719" s="6" t="s">
        <v>196</v>
      </c>
      <c r="S719" s="5"/>
      <c r="T719" s="1" t="str">
        <f>IFERROR(__xludf.DUMMYFUNCTION("INDEX(SPLIT(A719, ""/""), 2)"),"تشکل‌های اسلامی و سیاسی")</f>
        <v>تشکل‌های اسلامی و سیاسی</v>
      </c>
      <c r="U719" s="1" t="str">
        <f>IFERROR(__xludf.DUMMYFUNCTION("INDEX(SPLIT(A719, ""/""), 3)"),"هیئت الزهرا (س)")</f>
        <v>هیئت الزهرا (س)</v>
      </c>
      <c r="V719" s="1" t="str">
        <f>IFERROR(__xludf.DUMMYFUNCTION("INDEX(SPLIT(A719, ""/""), 4)"),"حیات")</f>
        <v>حیات</v>
      </c>
    </row>
    <row r="720">
      <c r="A720" s="1" t="s">
        <v>2287</v>
      </c>
      <c r="B720" s="1" t="s">
        <v>2368</v>
      </c>
      <c r="C720" s="1" t="s">
        <v>21</v>
      </c>
      <c r="D720" s="4" t="s">
        <v>2369</v>
      </c>
      <c r="E720" s="1" t="s">
        <v>2289</v>
      </c>
      <c r="F720" s="1" t="s">
        <v>1844</v>
      </c>
      <c r="G720" s="1" t="s">
        <v>2290</v>
      </c>
      <c r="H720" s="1" t="s">
        <v>357</v>
      </c>
      <c r="I720" s="1" t="str">
        <f t="shared" si="1"/>
        <v>x</v>
      </c>
      <c r="J720" s="5"/>
      <c r="K720" s="1" t="str">
        <f t="shared" si="2"/>
        <v>10</v>
      </c>
      <c r="L720" s="5"/>
      <c r="M720" s="2" t="str">
        <f t="shared" si="3"/>
        <v>1398</v>
      </c>
      <c r="N720" s="5"/>
      <c r="O720" s="2">
        <v>39.0</v>
      </c>
      <c r="P720" s="5"/>
      <c r="Q720" s="5"/>
      <c r="R720" s="6" t="s">
        <v>358</v>
      </c>
      <c r="S720" s="5"/>
      <c r="T720" s="1" t="str">
        <f>IFERROR(__xludf.DUMMYFUNCTION("INDEX(SPLIT(A720, ""/""), 2)"),"تشکل‌های اسلامی و سیاسی")</f>
        <v>تشکل‌های اسلامی و سیاسی</v>
      </c>
      <c r="U720" s="1" t="str">
        <f>IFERROR(__xludf.DUMMYFUNCTION("INDEX(SPLIT(A720, ""/""), 3)"),"هیئت الزهرا (س)")</f>
        <v>هیئت الزهرا (س)</v>
      </c>
      <c r="V720" s="1" t="str">
        <f>IFERROR(__xludf.DUMMYFUNCTION("INDEX(SPLIT(A720, ""/""), 4)"),"حیات")</f>
        <v>حیات</v>
      </c>
    </row>
    <row r="721">
      <c r="A721" s="1" t="s">
        <v>2287</v>
      </c>
      <c r="B721" s="1" t="s">
        <v>2370</v>
      </c>
      <c r="C721" s="1" t="s">
        <v>21</v>
      </c>
      <c r="D721" s="4" t="s">
        <v>2371</v>
      </c>
      <c r="E721" s="1" t="s">
        <v>2289</v>
      </c>
      <c r="F721" s="1" t="s">
        <v>1844</v>
      </c>
      <c r="G721" s="1" t="s">
        <v>2290</v>
      </c>
      <c r="H721" s="1" t="s">
        <v>199</v>
      </c>
      <c r="I721" s="1" t="str">
        <f t="shared" si="1"/>
        <v>x</v>
      </c>
      <c r="J721" s="5"/>
      <c r="K721" s="1" t="str">
        <f t="shared" si="2"/>
        <v>11</v>
      </c>
      <c r="L721" s="5"/>
      <c r="M721" s="2" t="str">
        <f t="shared" si="3"/>
        <v>1398</v>
      </c>
      <c r="N721" s="5"/>
      <c r="O721" s="2">
        <v>40.0</v>
      </c>
      <c r="P721" s="5"/>
      <c r="Q721" s="5"/>
      <c r="R721" s="6" t="s">
        <v>200</v>
      </c>
      <c r="S721" s="5"/>
      <c r="T721" s="1" t="str">
        <f>IFERROR(__xludf.DUMMYFUNCTION("INDEX(SPLIT(A721, ""/""), 2)"),"تشکل‌های اسلامی و سیاسی")</f>
        <v>تشکل‌های اسلامی و سیاسی</v>
      </c>
      <c r="U721" s="1" t="str">
        <f>IFERROR(__xludf.DUMMYFUNCTION("INDEX(SPLIT(A721, ""/""), 3)"),"هیئت الزهرا (س)")</f>
        <v>هیئت الزهرا (س)</v>
      </c>
      <c r="V721" s="1" t="str">
        <f>IFERROR(__xludf.DUMMYFUNCTION("INDEX(SPLIT(A721, ""/""), 4)"),"حیات")</f>
        <v>حیات</v>
      </c>
    </row>
    <row r="722">
      <c r="A722" s="1" t="s">
        <v>2287</v>
      </c>
      <c r="B722" s="1" t="s">
        <v>2372</v>
      </c>
      <c r="C722" s="1" t="s">
        <v>21</v>
      </c>
      <c r="D722" s="4" t="s">
        <v>2373</v>
      </c>
      <c r="E722" s="1" t="s">
        <v>2289</v>
      </c>
      <c r="F722" s="1" t="s">
        <v>1844</v>
      </c>
      <c r="G722" s="1" t="s">
        <v>2290</v>
      </c>
      <c r="H722" s="1" t="s">
        <v>217</v>
      </c>
      <c r="I722" s="1" t="str">
        <f t="shared" si="1"/>
        <v>x</v>
      </c>
      <c r="J722" s="5"/>
      <c r="K722" s="1" t="str">
        <f t="shared" si="2"/>
        <v>12</v>
      </c>
      <c r="L722" s="5"/>
      <c r="M722" s="2" t="str">
        <f t="shared" si="3"/>
        <v>1398</v>
      </c>
      <c r="N722" s="5"/>
      <c r="O722" s="2">
        <v>41.0</v>
      </c>
      <c r="P722" s="5"/>
      <c r="Q722" s="5"/>
      <c r="R722" s="6" t="s">
        <v>218</v>
      </c>
      <c r="S722" s="5"/>
      <c r="T722" s="1" t="str">
        <f>IFERROR(__xludf.DUMMYFUNCTION("INDEX(SPLIT(A722, ""/""), 2)"),"تشکل‌های اسلامی و سیاسی")</f>
        <v>تشکل‌های اسلامی و سیاسی</v>
      </c>
      <c r="U722" s="1" t="str">
        <f>IFERROR(__xludf.DUMMYFUNCTION("INDEX(SPLIT(A722, ""/""), 3)"),"هیئت الزهرا (س)")</f>
        <v>هیئت الزهرا (س)</v>
      </c>
      <c r="V722" s="1" t="str">
        <f>IFERROR(__xludf.DUMMYFUNCTION("INDEX(SPLIT(A722, ""/""), 4)"),"حیات")</f>
        <v>حیات</v>
      </c>
    </row>
    <row r="723">
      <c r="A723" s="1" t="s">
        <v>2287</v>
      </c>
      <c r="B723" s="1" t="s">
        <v>2374</v>
      </c>
      <c r="C723" s="1" t="s">
        <v>21</v>
      </c>
      <c r="D723" s="4" t="s">
        <v>2375</v>
      </c>
      <c r="E723" s="1" t="s">
        <v>2289</v>
      </c>
      <c r="F723" s="1" t="s">
        <v>1844</v>
      </c>
      <c r="G723" s="1" t="s">
        <v>2290</v>
      </c>
      <c r="H723" s="1" t="s">
        <v>371</v>
      </c>
      <c r="I723" s="1" t="str">
        <f t="shared" si="1"/>
        <v>x</v>
      </c>
      <c r="J723" s="5"/>
      <c r="K723" s="1" t="str">
        <f t="shared" si="2"/>
        <v>2</v>
      </c>
      <c r="L723" s="5"/>
      <c r="M723" s="2" t="str">
        <f t="shared" si="3"/>
        <v>1399</v>
      </c>
      <c r="N723" s="5"/>
      <c r="O723" s="2">
        <v>42.0</v>
      </c>
      <c r="P723" s="5"/>
      <c r="Q723" s="5"/>
      <c r="R723" s="6" t="s">
        <v>372</v>
      </c>
      <c r="S723" s="5"/>
      <c r="T723" s="1" t="str">
        <f>IFERROR(__xludf.DUMMYFUNCTION("INDEX(SPLIT(A723, ""/""), 2)"),"تشکل‌های اسلامی و سیاسی")</f>
        <v>تشکل‌های اسلامی و سیاسی</v>
      </c>
      <c r="U723" s="1" t="str">
        <f>IFERROR(__xludf.DUMMYFUNCTION("INDEX(SPLIT(A723, ""/""), 3)"),"هیئت الزهرا (س)")</f>
        <v>هیئت الزهرا (س)</v>
      </c>
      <c r="V723" s="1" t="str">
        <f>IFERROR(__xludf.DUMMYFUNCTION("INDEX(SPLIT(A723, ""/""), 4)"),"حیات")</f>
        <v>حیات</v>
      </c>
    </row>
    <row r="724">
      <c r="A724" s="1" t="s">
        <v>2287</v>
      </c>
      <c r="B724" s="1" t="s">
        <v>2376</v>
      </c>
      <c r="C724" s="1" t="s">
        <v>21</v>
      </c>
      <c r="D724" s="4" t="s">
        <v>2377</v>
      </c>
      <c r="E724" s="1" t="s">
        <v>2289</v>
      </c>
      <c r="F724" s="1" t="s">
        <v>1844</v>
      </c>
      <c r="G724" s="1" t="s">
        <v>2290</v>
      </c>
      <c r="H724" s="1" t="s">
        <v>375</v>
      </c>
      <c r="I724" s="1" t="str">
        <f t="shared" si="1"/>
        <v>x</v>
      </c>
      <c r="J724" s="5"/>
      <c r="K724" s="1" t="str">
        <f t="shared" si="2"/>
        <v>3</v>
      </c>
      <c r="L724" s="5"/>
      <c r="M724" s="2" t="str">
        <f t="shared" si="3"/>
        <v>1399</v>
      </c>
      <c r="N724" s="5"/>
      <c r="O724" s="2">
        <v>43.0</v>
      </c>
      <c r="P724" s="5"/>
      <c r="Q724" s="5"/>
      <c r="R724" s="6" t="s">
        <v>376</v>
      </c>
      <c r="S724" s="5"/>
      <c r="T724" s="1" t="str">
        <f>IFERROR(__xludf.DUMMYFUNCTION("INDEX(SPLIT(A724, ""/""), 2)"),"تشکل‌های اسلامی و سیاسی")</f>
        <v>تشکل‌های اسلامی و سیاسی</v>
      </c>
      <c r="U724" s="1" t="str">
        <f>IFERROR(__xludf.DUMMYFUNCTION("INDEX(SPLIT(A724, ""/""), 3)"),"هیئت الزهرا (س)")</f>
        <v>هیئت الزهرا (س)</v>
      </c>
      <c r="V724" s="1" t="str">
        <f>IFERROR(__xludf.DUMMYFUNCTION("INDEX(SPLIT(A724, ""/""), 4)"),"حیات")</f>
        <v>حیات</v>
      </c>
    </row>
    <row r="725">
      <c r="A725" s="1" t="s">
        <v>2287</v>
      </c>
      <c r="B725" s="1" t="s">
        <v>2378</v>
      </c>
      <c r="C725" s="1" t="s">
        <v>21</v>
      </c>
      <c r="D725" s="4" t="s">
        <v>2379</v>
      </c>
      <c r="E725" s="1" t="s">
        <v>2289</v>
      </c>
      <c r="F725" s="1" t="s">
        <v>1844</v>
      </c>
      <c r="G725" s="1" t="s">
        <v>2290</v>
      </c>
      <c r="H725" s="1" t="s">
        <v>375</v>
      </c>
      <c r="I725" s="1" t="str">
        <f t="shared" si="1"/>
        <v>x</v>
      </c>
      <c r="J725" s="5"/>
      <c r="K725" s="1" t="str">
        <f t="shared" si="2"/>
        <v>3</v>
      </c>
      <c r="L725" s="5"/>
      <c r="M725" s="2" t="str">
        <f t="shared" si="3"/>
        <v>1399</v>
      </c>
      <c r="N725" s="5"/>
      <c r="O725" s="2">
        <v>44.0</v>
      </c>
      <c r="P725" s="5"/>
      <c r="Q725" s="5"/>
      <c r="R725" s="6" t="s">
        <v>376</v>
      </c>
      <c r="S725" s="5"/>
      <c r="T725" s="1" t="str">
        <f>IFERROR(__xludf.DUMMYFUNCTION("INDEX(SPLIT(A725, ""/""), 2)"),"تشکل‌های اسلامی و سیاسی")</f>
        <v>تشکل‌های اسلامی و سیاسی</v>
      </c>
      <c r="U725" s="1" t="str">
        <f>IFERROR(__xludf.DUMMYFUNCTION("INDEX(SPLIT(A725, ""/""), 3)"),"هیئت الزهرا (س)")</f>
        <v>هیئت الزهرا (س)</v>
      </c>
      <c r="V725" s="1" t="str">
        <f>IFERROR(__xludf.DUMMYFUNCTION("INDEX(SPLIT(A725, ""/""), 4)"),"حیات")</f>
        <v>حیات</v>
      </c>
    </row>
    <row r="726">
      <c r="A726" s="1" t="s">
        <v>2287</v>
      </c>
      <c r="B726" s="1" t="s">
        <v>2380</v>
      </c>
      <c r="C726" s="1" t="s">
        <v>21</v>
      </c>
      <c r="D726" s="4" t="s">
        <v>2381</v>
      </c>
      <c r="E726" s="1" t="s">
        <v>2289</v>
      </c>
      <c r="F726" s="1" t="s">
        <v>1844</v>
      </c>
      <c r="G726" s="1" t="s">
        <v>2290</v>
      </c>
      <c r="H726" s="1" t="s">
        <v>379</v>
      </c>
      <c r="I726" s="1" t="str">
        <f t="shared" si="1"/>
        <v>x</v>
      </c>
      <c r="J726" s="5"/>
      <c r="K726" s="1" t="str">
        <f t="shared" si="2"/>
        <v>5</v>
      </c>
      <c r="L726" s="5"/>
      <c r="M726" s="2" t="str">
        <f t="shared" si="3"/>
        <v>1399</v>
      </c>
      <c r="N726" s="5"/>
      <c r="O726" s="2">
        <v>45.0</v>
      </c>
      <c r="P726" s="5"/>
      <c r="Q726" s="5"/>
      <c r="R726" s="6" t="s">
        <v>380</v>
      </c>
      <c r="S726" s="5"/>
      <c r="T726" s="1" t="str">
        <f>IFERROR(__xludf.DUMMYFUNCTION("INDEX(SPLIT(A726, ""/""), 2)"),"تشکل‌های اسلامی و سیاسی")</f>
        <v>تشکل‌های اسلامی و سیاسی</v>
      </c>
      <c r="U726" s="1" t="str">
        <f>IFERROR(__xludf.DUMMYFUNCTION("INDEX(SPLIT(A726, ""/""), 3)"),"هیئت الزهرا (س)")</f>
        <v>هیئت الزهرا (س)</v>
      </c>
      <c r="V726" s="1" t="str">
        <f>IFERROR(__xludf.DUMMYFUNCTION("INDEX(SPLIT(A726, ""/""), 4)"),"حیات")</f>
        <v>حیات</v>
      </c>
    </row>
    <row r="727">
      <c r="A727" s="1" t="s">
        <v>2287</v>
      </c>
      <c r="B727" s="1" t="s">
        <v>2382</v>
      </c>
      <c r="C727" s="1" t="s">
        <v>21</v>
      </c>
      <c r="D727" s="4" t="s">
        <v>2383</v>
      </c>
      <c r="E727" s="1" t="s">
        <v>2289</v>
      </c>
      <c r="F727" s="1" t="s">
        <v>2359</v>
      </c>
      <c r="G727" s="1" t="s">
        <v>2384</v>
      </c>
      <c r="H727" s="1" t="s">
        <v>383</v>
      </c>
      <c r="I727" s="1" t="str">
        <f t="shared" si="1"/>
        <v>x</v>
      </c>
      <c r="J727" s="5"/>
      <c r="K727" s="1" t="str">
        <f t="shared" si="2"/>
        <v>6</v>
      </c>
      <c r="L727" s="5"/>
      <c r="M727" s="2" t="str">
        <f t="shared" si="3"/>
        <v>1399</v>
      </c>
      <c r="N727" s="5"/>
      <c r="O727" s="2">
        <v>46.0</v>
      </c>
      <c r="P727" s="5"/>
      <c r="Q727" s="5"/>
      <c r="R727" s="6" t="s">
        <v>384</v>
      </c>
      <c r="S727" s="5"/>
      <c r="T727" s="1" t="str">
        <f>IFERROR(__xludf.DUMMYFUNCTION("INDEX(SPLIT(A727, ""/""), 2)"),"تشکل‌های اسلامی و سیاسی")</f>
        <v>تشکل‌های اسلامی و سیاسی</v>
      </c>
      <c r="U727" s="1" t="str">
        <f>IFERROR(__xludf.DUMMYFUNCTION("INDEX(SPLIT(A727, ""/""), 3)"),"هیئت الزهرا (س)")</f>
        <v>هیئت الزهرا (س)</v>
      </c>
      <c r="V727" s="1" t="str">
        <f>IFERROR(__xludf.DUMMYFUNCTION("INDEX(SPLIT(A727, ""/""), 4)"),"حیات")</f>
        <v>حیات</v>
      </c>
    </row>
    <row r="728">
      <c r="A728" s="1" t="s">
        <v>2287</v>
      </c>
      <c r="B728" s="1" t="s">
        <v>2385</v>
      </c>
      <c r="C728" s="1" t="s">
        <v>21</v>
      </c>
      <c r="D728" s="4" t="s">
        <v>2386</v>
      </c>
      <c r="E728" s="1" t="s">
        <v>2289</v>
      </c>
      <c r="F728" s="1" t="s">
        <v>2359</v>
      </c>
      <c r="G728" s="1" t="s">
        <v>2384</v>
      </c>
      <c r="H728" s="1" t="s">
        <v>26</v>
      </c>
      <c r="I728" s="1" t="str">
        <f t="shared" si="1"/>
        <v>x</v>
      </c>
      <c r="J728" s="5"/>
      <c r="K728" s="1" t="str">
        <f t="shared" si="2"/>
        <v>7</v>
      </c>
      <c r="L728" s="5"/>
      <c r="M728" s="2" t="str">
        <f t="shared" si="3"/>
        <v>1399</v>
      </c>
      <c r="N728" s="5"/>
      <c r="O728" s="2">
        <v>47.0</v>
      </c>
      <c r="P728" s="5"/>
      <c r="Q728" s="5"/>
      <c r="R728" s="6" t="s">
        <v>27</v>
      </c>
      <c r="S728" s="5"/>
      <c r="T728" s="1" t="str">
        <f>IFERROR(__xludf.DUMMYFUNCTION("INDEX(SPLIT(A728, ""/""), 2)"),"تشکل‌های اسلامی و سیاسی")</f>
        <v>تشکل‌های اسلامی و سیاسی</v>
      </c>
      <c r="U728" s="1" t="str">
        <f>IFERROR(__xludf.DUMMYFUNCTION("INDEX(SPLIT(A728, ""/""), 3)"),"هیئت الزهرا (س)")</f>
        <v>هیئت الزهرا (س)</v>
      </c>
      <c r="V728" s="1" t="str">
        <f>IFERROR(__xludf.DUMMYFUNCTION("INDEX(SPLIT(A728, ""/""), 4)"),"حیات")</f>
        <v>حیات</v>
      </c>
    </row>
    <row r="729">
      <c r="A729" s="1" t="s">
        <v>2287</v>
      </c>
      <c r="B729" s="1" t="s">
        <v>2387</v>
      </c>
      <c r="C729" s="1" t="s">
        <v>21</v>
      </c>
      <c r="D729" s="4" t="s">
        <v>2388</v>
      </c>
      <c r="E729" s="1" t="s">
        <v>2289</v>
      </c>
      <c r="F729" s="1" t="s">
        <v>2359</v>
      </c>
      <c r="G729" s="1" t="s">
        <v>2384</v>
      </c>
      <c r="H729" s="7" t="s">
        <v>2389</v>
      </c>
      <c r="I729" s="1" t="str">
        <f t="shared" si="1"/>
        <v>7</v>
      </c>
      <c r="J729" s="5"/>
      <c r="K729" s="1" t="str">
        <f t="shared" si="2"/>
        <v>8</v>
      </c>
      <c r="L729" s="5"/>
      <c r="M729" s="2" t="str">
        <f t="shared" si="3"/>
        <v>1399</v>
      </c>
      <c r="N729" s="5"/>
      <c r="O729" s="2">
        <v>48.0</v>
      </c>
      <c r="P729" s="5"/>
      <c r="Q729" s="5"/>
      <c r="R729" s="8" t="s">
        <v>2389</v>
      </c>
      <c r="S729" s="5"/>
      <c r="T729" s="1" t="str">
        <f>IFERROR(__xludf.DUMMYFUNCTION("INDEX(SPLIT(A729, ""/""), 2)"),"تشکل‌های اسلامی و سیاسی")</f>
        <v>تشکل‌های اسلامی و سیاسی</v>
      </c>
      <c r="U729" s="1" t="str">
        <f>IFERROR(__xludf.DUMMYFUNCTION("INDEX(SPLIT(A729, ""/""), 3)"),"هیئت الزهرا (س)")</f>
        <v>هیئت الزهرا (س)</v>
      </c>
      <c r="V729" s="1" t="str">
        <f>IFERROR(__xludf.DUMMYFUNCTION("INDEX(SPLIT(A729, ""/""), 4)"),"حیات")</f>
        <v>حیات</v>
      </c>
    </row>
    <row r="730">
      <c r="A730" s="1" t="s">
        <v>2287</v>
      </c>
      <c r="B730" s="1" t="s">
        <v>2390</v>
      </c>
      <c r="C730" s="1" t="s">
        <v>21</v>
      </c>
      <c r="D730" s="4" t="s">
        <v>2391</v>
      </c>
      <c r="E730" s="1" t="s">
        <v>2289</v>
      </c>
      <c r="F730" s="1" t="s">
        <v>2359</v>
      </c>
      <c r="G730" s="1" t="s">
        <v>2384</v>
      </c>
      <c r="H730" s="1" t="s">
        <v>2119</v>
      </c>
      <c r="I730" s="1" t="str">
        <f t="shared" si="1"/>
        <v>30</v>
      </c>
      <c r="J730" s="5"/>
      <c r="K730" s="1" t="str">
        <f t="shared" si="2"/>
        <v>8</v>
      </c>
      <c r="L730" s="5"/>
      <c r="M730" s="2" t="str">
        <f t="shared" si="3"/>
        <v>1399</v>
      </c>
      <c r="N730" s="5"/>
      <c r="O730" s="2">
        <v>49.0</v>
      </c>
      <c r="P730" s="5"/>
      <c r="Q730" s="5"/>
      <c r="R730" s="6" t="s">
        <v>2119</v>
      </c>
      <c r="S730" s="5"/>
      <c r="T730" s="1" t="str">
        <f>IFERROR(__xludf.DUMMYFUNCTION("INDEX(SPLIT(A730, ""/""), 2)"),"تشکل‌های اسلامی و سیاسی")</f>
        <v>تشکل‌های اسلامی و سیاسی</v>
      </c>
      <c r="U730" s="1" t="str">
        <f>IFERROR(__xludf.DUMMYFUNCTION("INDEX(SPLIT(A730, ""/""), 3)"),"هیئت الزهرا (س)")</f>
        <v>هیئت الزهرا (س)</v>
      </c>
      <c r="V730" s="1" t="str">
        <f>IFERROR(__xludf.DUMMYFUNCTION("INDEX(SPLIT(A730, ""/""), 4)"),"حیات")</f>
        <v>حیات</v>
      </c>
    </row>
    <row r="731">
      <c r="A731" s="1" t="s">
        <v>2287</v>
      </c>
      <c r="B731" s="1" t="s">
        <v>2392</v>
      </c>
      <c r="C731" s="1" t="s">
        <v>21</v>
      </c>
      <c r="D731" s="4" t="s">
        <v>2393</v>
      </c>
      <c r="E731" s="1" t="s">
        <v>2289</v>
      </c>
      <c r="F731" s="1" t="s">
        <v>2359</v>
      </c>
      <c r="G731" s="1" t="s">
        <v>2384</v>
      </c>
      <c r="H731" s="1" t="s">
        <v>38</v>
      </c>
      <c r="I731" s="1" t="str">
        <f t="shared" si="1"/>
        <v>x</v>
      </c>
      <c r="J731" s="5"/>
      <c r="K731" s="1" t="str">
        <f t="shared" si="2"/>
        <v>9</v>
      </c>
      <c r="L731" s="5"/>
      <c r="M731" s="2" t="str">
        <f t="shared" si="3"/>
        <v>1399</v>
      </c>
      <c r="N731" s="5"/>
      <c r="O731" s="2">
        <v>50.0</v>
      </c>
      <c r="P731" s="5"/>
      <c r="Q731" s="5"/>
      <c r="R731" s="6" t="s">
        <v>39</v>
      </c>
      <c r="S731" s="5"/>
      <c r="T731" s="1" t="str">
        <f>IFERROR(__xludf.DUMMYFUNCTION("INDEX(SPLIT(A731, ""/""), 2)"),"تشکل‌های اسلامی و سیاسی")</f>
        <v>تشکل‌های اسلامی و سیاسی</v>
      </c>
      <c r="U731" s="1" t="str">
        <f>IFERROR(__xludf.DUMMYFUNCTION("INDEX(SPLIT(A731, ""/""), 3)"),"هیئت الزهرا (س)")</f>
        <v>هیئت الزهرا (س)</v>
      </c>
      <c r="V731" s="1" t="str">
        <f>IFERROR(__xludf.DUMMYFUNCTION("INDEX(SPLIT(A731, ""/""), 4)"),"حیات")</f>
        <v>حیات</v>
      </c>
    </row>
    <row r="732">
      <c r="A732" s="1" t="s">
        <v>2287</v>
      </c>
      <c r="B732" s="1" t="s">
        <v>2394</v>
      </c>
      <c r="C732" s="1" t="s">
        <v>21</v>
      </c>
      <c r="D732" s="4" t="s">
        <v>2395</v>
      </c>
      <c r="E732" s="1" t="s">
        <v>2289</v>
      </c>
      <c r="F732" s="1" t="s">
        <v>2359</v>
      </c>
      <c r="G732" s="1" t="s">
        <v>2384</v>
      </c>
      <c r="H732" s="7" t="s">
        <v>2396</v>
      </c>
      <c r="I732" s="1" t="str">
        <f t="shared" si="1"/>
        <v>7</v>
      </c>
      <c r="J732" s="5"/>
      <c r="K732" s="1" t="str">
        <f t="shared" si="2"/>
        <v>10</v>
      </c>
      <c r="L732" s="5"/>
      <c r="M732" s="2" t="str">
        <f t="shared" si="3"/>
        <v>1399</v>
      </c>
      <c r="N732" s="5"/>
      <c r="O732" s="2">
        <v>51.0</v>
      </c>
      <c r="P732" s="5"/>
      <c r="Q732" s="5"/>
      <c r="R732" s="8" t="s">
        <v>2396</v>
      </c>
      <c r="S732" s="5"/>
      <c r="T732" s="1" t="str">
        <f>IFERROR(__xludf.DUMMYFUNCTION("INDEX(SPLIT(A732, ""/""), 2)"),"تشکل‌های اسلامی و سیاسی")</f>
        <v>تشکل‌های اسلامی و سیاسی</v>
      </c>
      <c r="U732" s="1" t="str">
        <f>IFERROR(__xludf.DUMMYFUNCTION("INDEX(SPLIT(A732, ""/""), 3)"),"هیئت الزهرا (س)")</f>
        <v>هیئت الزهرا (س)</v>
      </c>
      <c r="V732" s="1" t="str">
        <f>IFERROR(__xludf.DUMMYFUNCTION("INDEX(SPLIT(A732, ""/""), 4)"),"حیات")</f>
        <v>حیات</v>
      </c>
    </row>
    <row r="733">
      <c r="A733" s="1" t="s">
        <v>2287</v>
      </c>
      <c r="B733" s="1" t="s">
        <v>2397</v>
      </c>
      <c r="C733" s="1" t="s">
        <v>21</v>
      </c>
      <c r="D733" s="4" t="s">
        <v>2398</v>
      </c>
      <c r="E733" s="1" t="s">
        <v>2289</v>
      </c>
      <c r="F733" s="1" t="s">
        <v>2384</v>
      </c>
      <c r="G733" s="1" t="s">
        <v>2399</v>
      </c>
      <c r="H733" s="1" t="s">
        <v>48</v>
      </c>
      <c r="I733" s="1" t="str">
        <f t="shared" si="1"/>
        <v>x</v>
      </c>
      <c r="J733" s="5"/>
      <c r="K733" s="1" t="str">
        <f t="shared" si="2"/>
        <v>12</v>
      </c>
      <c r="L733" s="5"/>
      <c r="M733" s="2" t="str">
        <f t="shared" si="3"/>
        <v>1399</v>
      </c>
      <c r="N733" s="5"/>
      <c r="O733" s="2">
        <v>52.0</v>
      </c>
      <c r="P733" s="5"/>
      <c r="Q733" s="5"/>
      <c r="R733" s="6" t="s">
        <v>49</v>
      </c>
      <c r="S733" s="5"/>
      <c r="T733" s="1" t="str">
        <f>IFERROR(__xludf.DUMMYFUNCTION("INDEX(SPLIT(A733, ""/""), 2)"),"تشکل‌های اسلامی و سیاسی")</f>
        <v>تشکل‌های اسلامی و سیاسی</v>
      </c>
      <c r="U733" s="1" t="str">
        <f>IFERROR(__xludf.DUMMYFUNCTION("INDEX(SPLIT(A733, ""/""), 3)"),"هیئت الزهرا (س)")</f>
        <v>هیئت الزهرا (س)</v>
      </c>
      <c r="V733" s="1" t="str">
        <f>IFERROR(__xludf.DUMMYFUNCTION("INDEX(SPLIT(A733, ""/""), 4)"),"حیات")</f>
        <v>حیات</v>
      </c>
    </row>
    <row r="734">
      <c r="A734" s="1" t="s">
        <v>2287</v>
      </c>
      <c r="B734" s="1" t="s">
        <v>2400</v>
      </c>
      <c r="C734" s="1" t="s">
        <v>21</v>
      </c>
      <c r="D734" s="4" t="s">
        <v>2401</v>
      </c>
      <c r="E734" s="1" t="s">
        <v>2289</v>
      </c>
      <c r="F734" s="1" t="s">
        <v>2384</v>
      </c>
      <c r="G734" s="1" t="s">
        <v>2399</v>
      </c>
      <c r="H734" s="1" t="s">
        <v>52</v>
      </c>
      <c r="I734" s="1" t="str">
        <f t="shared" si="1"/>
        <v>x</v>
      </c>
      <c r="J734" s="5"/>
      <c r="K734" s="1" t="str">
        <f t="shared" si="2"/>
        <v>1</v>
      </c>
      <c r="L734" s="5"/>
      <c r="M734" s="2" t="str">
        <f t="shared" si="3"/>
        <v>1400</v>
      </c>
      <c r="N734" s="5"/>
      <c r="O734" s="2">
        <v>53.0</v>
      </c>
      <c r="P734" s="5"/>
      <c r="Q734" s="5"/>
      <c r="R734" s="6" t="s">
        <v>54</v>
      </c>
      <c r="S734" s="5"/>
      <c r="T734" s="1" t="str">
        <f>IFERROR(__xludf.DUMMYFUNCTION("INDEX(SPLIT(A734, ""/""), 2)"),"تشکل‌های اسلامی و سیاسی")</f>
        <v>تشکل‌های اسلامی و سیاسی</v>
      </c>
      <c r="U734" s="1" t="str">
        <f>IFERROR(__xludf.DUMMYFUNCTION("INDEX(SPLIT(A734, ""/""), 3)"),"هیئت الزهرا (س)")</f>
        <v>هیئت الزهرا (س)</v>
      </c>
      <c r="V734" s="1" t="str">
        <f>IFERROR(__xludf.DUMMYFUNCTION("INDEX(SPLIT(A734, ""/""), 4)"),"حیات")</f>
        <v>حیات</v>
      </c>
    </row>
    <row r="735">
      <c r="A735" s="1" t="s">
        <v>2287</v>
      </c>
      <c r="B735" s="1" t="s">
        <v>2402</v>
      </c>
      <c r="C735" s="1" t="s">
        <v>21</v>
      </c>
      <c r="D735" s="4" t="s">
        <v>2403</v>
      </c>
      <c r="E735" s="1" t="s">
        <v>2289</v>
      </c>
      <c r="F735" s="1" t="s">
        <v>2384</v>
      </c>
      <c r="G735" s="1" t="s">
        <v>2399</v>
      </c>
      <c r="H735" s="1" t="s">
        <v>66</v>
      </c>
      <c r="I735" s="1" t="str">
        <f t="shared" si="1"/>
        <v>x</v>
      </c>
      <c r="J735" s="5"/>
      <c r="K735" s="1" t="str">
        <f t="shared" si="2"/>
        <v>3</v>
      </c>
      <c r="L735" s="5"/>
      <c r="M735" s="2" t="str">
        <f t="shared" si="3"/>
        <v>1400</v>
      </c>
      <c r="N735" s="5"/>
      <c r="O735" s="2">
        <v>54.0</v>
      </c>
      <c r="P735" s="5"/>
      <c r="Q735" s="5"/>
      <c r="R735" s="6" t="s">
        <v>67</v>
      </c>
      <c r="S735" s="5"/>
      <c r="T735" s="1" t="str">
        <f>IFERROR(__xludf.DUMMYFUNCTION("INDEX(SPLIT(A735, ""/""), 2)"),"تشکل‌های اسلامی و سیاسی")</f>
        <v>تشکل‌های اسلامی و سیاسی</v>
      </c>
      <c r="U735" s="1" t="str">
        <f>IFERROR(__xludf.DUMMYFUNCTION("INDEX(SPLIT(A735, ""/""), 3)"),"هیئت الزهرا (س)")</f>
        <v>هیئت الزهرا (س)</v>
      </c>
      <c r="V735" s="1" t="str">
        <f>IFERROR(__xludf.DUMMYFUNCTION("INDEX(SPLIT(A735, ""/""), 4)"),"حیات")</f>
        <v>حیات</v>
      </c>
    </row>
    <row r="736">
      <c r="A736" s="1" t="s">
        <v>2287</v>
      </c>
      <c r="B736" s="1" t="s">
        <v>2404</v>
      </c>
      <c r="C736" s="1" t="s">
        <v>21</v>
      </c>
      <c r="D736" s="4" t="s">
        <v>2405</v>
      </c>
      <c r="E736" s="1" t="s">
        <v>2289</v>
      </c>
      <c r="F736" s="1" t="s">
        <v>2384</v>
      </c>
      <c r="G736" s="1" t="s">
        <v>2399</v>
      </c>
      <c r="H736" s="1" t="s">
        <v>2406</v>
      </c>
      <c r="I736" s="1" t="str">
        <f t="shared" si="1"/>
        <v>x</v>
      </c>
      <c r="J736" s="5"/>
      <c r="K736" s="1" t="str">
        <f t="shared" si="2"/>
        <v>9</v>
      </c>
      <c r="L736" s="5"/>
      <c r="M736" s="2" t="str">
        <f t="shared" si="3"/>
        <v>1401</v>
      </c>
      <c r="N736" s="5"/>
      <c r="O736" s="2">
        <v>55.0</v>
      </c>
      <c r="P736" s="5"/>
      <c r="Q736" s="5"/>
      <c r="R736" s="6" t="s">
        <v>2407</v>
      </c>
      <c r="S736" s="5"/>
      <c r="T736" s="1" t="str">
        <f>IFERROR(__xludf.DUMMYFUNCTION("INDEX(SPLIT(A736, ""/""), 2)"),"تشکل‌های اسلامی و سیاسی")</f>
        <v>تشکل‌های اسلامی و سیاسی</v>
      </c>
      <c r="U736" s="1" t="str">
        <f>IFERROR(__xludf.DUMMYFUNCTION("INDEX(SPLIT(A736, ""/""), 3)"),"هیئت الزهرا (س)")</f>
        <v>هیئت الزهرا (س)</v>
      </c>
      <c r="V736" s="1" t="str">
        <f>IFERROR(__xludf.DUMMYFUNCTION("INDEX(SPLIT(A736, ""/""), 4)"),"حیات")</f>
        <v>حیات</v>
      </c>
    </row>
    <row r="737">
      <c r="A737" s="1" t="s">
        <v>2287</v>
      </c>
      <c r="B737" s="1" t="s">
        <v>2408</v>
      </c>
      <c r="C737" s="1" t="s">
        <v>21</v>
      </c>
      <c r="D737" s="4" t="s">
        <v>2409</v>
      </c>
      <c r="E737" s="1" t="s">
        <v>2289</v>
      </c>
      <c r="F737" s="1" t="s">
        <v>2384</v>
      </c>
      <c r="G737" s="1" t="s">
        <v>2399</v>
      </c>
      <c r="H737" s="1" t="s">
        <v>2410</v>
      </c>
      <c r="I737" s="1" t="str">
        <f t="shared" si="1"/>
        <v>x</v>
      </c>
      <c r="J737" s="5"/>
      <c r="K737" s="1" t="str">
        <f t="shared" si="2"/>
        <v>1</v>
      </c>
      <c r="L737" s="5"/>
      <c r="M737" s="2" t="str">
        <f t="shared" si="3"/>
        <v>1401</v>
      </c>
      <c r="N737" s="5"/>
      <c r="O737" s="2">
        <v>56.0</v>
      </c>
      <c r="P737" s="5"/>
      <c r="Q737" s="5"/>
      <c r="R737" s="6" t="s">
        <v>2411</v>
      </c>
      <c r="S737" s="5"/>
      <c r="T737" s="1" t="str">
        <f>IFERROR(__xludf.DUMMYFUNCTION("INDEX(SPLIT(A737, ""/""), 2)"),"تشکل‌های اسلامی و سیاسی")</f>
        <v>تشکل‌های اسلامی و سیاسی</v>
      </c>
      <c r="U737" s="1" t="str">
        <f>IFERROR(__xludf.DUMMYFUNCTION("INDEX(SPLIT(A737, ""/""), 3)"),"هیئت الزهرا (س)")</f>
        <v>هیئت الزهرا (س)</v>
      </c>
      <c r="V737" s="1" t="str">
        <f>IFERROR(__xludf.DUMMYFUNCTION("INDEX(SPLIT(A737, ""/""), 4)"),"حیات")</f>
        <v>حیات</v>
      </c>
    </row>
    <row r="738">
      <c r="A738" s="1" t="s">
        <v>2287</v>
      </c>
      <c r="B738" s="1" t="s">
        <v>2412</v>
      </c>
      <c r="C738" s="1" t="s">
        <v>21</v>
      </c>
      <c r="D738" s="4" t="s">
        <v>2413</v>
      </c>
      <c r="E738" s="1" t="s">
        <v>2289</v>
      </c>
      <c r="F738" s="1" t="s">
        <v>2384</v>
      </c>
      <c r="G738" s="1" t="s">
        <v>2399</v>
      </c>
      <c r="H738" s="1" t="s">
        <v>146</v>
      </c>
      <c r="I738" s="1" t="str">
        <f t="shared" si="1"/>
        <v>x</v>
      </c>
      <c r="J738" s="5"/>
      <c r="K738" s="1" t="str">
        <f t="shared" si="2"/>
        <v>5</v>
      </c>
      <c r="L738" s="5"/>
      <c r="M738" s="2" t="str">
        <f t="shared" si="3"/>
        <v>1401</v>
      </c>
      <c r="N738" s="5"/>
      <c r="O738" s="2">
        <v>57.0</v>
      </c>
      <c r="P738" s="5"/>
      <c r="Q738" s="5"/>
      <c r="R738" s="6" t="s">
        <v>147</v>
      </c>
      <c r="S738" s="5"/>
      <c r="T738" s="1" t="str">
        <f>IFERROR(__xludf.DUMMYFUNCTION("INDEX(SPLIT(A738, ""/""), 2)"),"تشکل‌های اسلامی و سیاسی")</f>
        <v>تشکل‌های اسلامی و سیاسی</v>
      </c>
      <c r="U738" s="1" t="str">
        <f>IFERROR(__xludf.DUMMYFUNCTION("INDEX(SPLIT(A738, ""/""), 3)"),"هیئت الزهرا (س)")</f>
        <v>هیئت الزهرا (س)</v>
      </c>
      <c r="V738" s="1" t="str">
        <f>IFERROR(__xludf.DUMMYFUNCTION("INDEX(SPLIT(A738, ""/""), 4)"),"حیات")</f>
        <v>حیات</v>
      </c>
    </row>
    <row r="739">
      <c r="A739" s="1" t="s">
        <v>2287</v>
      </c>
      <c r="B739" s="1" t="s">
        <v>2414</v>
      </c>
      <c r="C739" s="1" t="s">
        <v>21</v>
      </c>
      <c r="D739" s="4" t="s">
        <v>2415</v>
      </c>
      <c r="E739" s="1" t="s">
        <v>2289</v>
      </c>
      <c r="F739" s="1" t="s">
        <v>2416</v>
      </c>
      <c r="G739" s="1" t="s">
        <v>2417</v>
      </c>
      <c r="H739" s="1" t="s">
        <v>2406</v>
      </c>
      <c r="I739" s="1" t="str">
        <f t="shared" si="1"/>
        <v>x</v>
      </c>
      <c r="J739" s="5"/>
      <c r="K739" s="1" t="str">
        <f t="shared" si="2"/>
        <v>9</v>
      </c>
      <c r="L739" s="5"/>
      <c r="M739" s="2" t="str">
        <f t="shared" si="3"/>
        <v>1401</v>
      </c>
      <c r="N739" s="5"/>
      <c r="O739" s="2">
        <v>58.0</v>
      </c>
      <c r="P739" s="5"/>
      <c r="Q739" s="5"/>
      <c r="R739" s="6" t="s">
        <v>2407</v>
      </c>
      <c r="S739" s="5"/>
      <c r="T739" s="1" t="str">
        <f>IFERROR(__xludf.DUMMYFUNCTION("INDEX(SPLIT(A739, ""/""), 2)"),"تشکل‌های اسلامی و سیاسی")</f>
        <v>تشکل‌های اسلامی و سیاسی</v>
      </c>
      <c r="U739" s="1" t="str">
        <f>IFERROR(__xludf.DUMMYFUNCTION("INDEX(SPLIT(A739, ""/""), 3)"),"هیئت الزهرا (س)")</f>
        <v>هیئت الزهرا (س)</v>
      </c>
      <c r="V739" s="1" t="str">
        <f>IFERROR(__xludf.DUMMYFUNCTION("INDEX(SPLIT(A739, ""/""), 4)"),"حیات")</f>
        <v>حیات</v>
      </c>
    </row>
    <row r="740">
      <c r="A740" s="1" t="s">
        <v>2287</v>
      </c>
      <c r="B740" s="1" t="s">
        <v>2418</v>
      </c>
      <c r="C740" s="1" t="s">
        <v>21</v>
      </c>
      <c r="D740" s="4" t="s">
        <v>2419</v>
      </c>
      <c r="E740" s="1" t="s">
        <v>2289</v>
      </c>
      <c r="F740" s="1" t="s">
        <v>2416</v>
      </c>
      <c r="G740" s="1" t="s">
        <v>2417</v>
      </c>
      <c r="H740" s="1" t="s">
        <v>209</v>
      </c>
      <c r="I740" s="1" t="str">
        <f t="shared" si="1"/>
        <v>x</v>
      </c>
      <c r="J740" s="5"/>
      <c r="K740" s="1" t="str">
        <f t="shared" si="2"/>
        <v>10</v>
      </c>
      <c r="L740" s="5"/>
      <c r="M740" s="2" t="str">
        <f t="shared" si="3"/>
        <v>1401</v>
      </c>
      <c r="N740" s="5"/>
      <c r="O740" s="2">
        <v>59.0</v>
      </c>
      <c r="P740" s="5"/>
      <c r="Q740" s="5"/>
      <c r="R740" s="6" t="s">
        <v>210</v>
      </c>
      <c r="S740" s="5"/>
      <c r="T740" s="1" t="str">
        <f>IFERROR(__xludf.DUMMYFUNCTION("INDEX(SPLIT(A740, ""/""), 2)"),"تشکل‌های اسلامی و سیاسی")</f>
        <v>تشکل‌های اسلامی و سیاسی</v>
      </c>
      <c r="U740" s="1" t="str">
        <f>IFERROR(__xludf.DUMMYFUNCTION("INDEX(SPLIT(A740, ""/""), 3)"),"هیئت الزهرا (س)")</f>
        <v>هیئت الزهرا (س)</v>
      </c>
      <c r="V740" s="1" t="str">
        <f>IFERROR(__xludf.DUMMYFUNCTION("INDEX(SPLIT(A740, ""/""), 4)"),"حیات")</f>
        <v>حیات</v>
      </c>
    </row>
    <row r="741">
      <c r="A741" s="1" t="s">
        <v>2287</v>
      </c>
      <c r="B741" s="1" t="s">
        <v>2420</v>
      </c>
      <c r="C741" s="1" t="s">
        <v>21</v>
      </c>
      <c r="D741" s="4" t="s">
        <v>2421</v>
      </c>
      <c r="E741" s="1" t="s">
        <v>2289</v>
      </c>
      <c r="F741" s="1" t="s">
        <v>2416</v>
      </c>
      <c r="G741" s="1" t="s">
        <v>2422</v>
      </c>
      <c r="H741" s="1" t="s">
        <v>447</v>
      </c>
      <c r="I741" s="1" t="str">
        <f t="shared" si="1"/>
        <v>x</v>
      </c>
      <c r="J741" s="5"/>
      <c r="K741" s="1" t="str">
        <f t="shared" si="2"/>
        <v>1</v>
      </c>
      <c r="L741" s="5"/>
      <c r="M741" s="2" t="str">
        <f t="shared" si="3"/>
        <v>1402</v>
      </c>
      <c r="N741" s="5"/>
      <c r="O741" s="2">
        <v>60.0</v>
      </c>
      <c r="P741" s="5"/>
      <c r="Q741" s="5"/>
      <c r="R741" s="6" t="s">
        <v>448</v>
      </c>
      <c r="S741" s="5"/>
      <c r="T741" s="1" t="str">
        <f>IFERROR(__xludf.DUMMYFUNCTION("INDEX(SPLIT(A741, ""/""), 2)"),"تشکل‌های اسلامی و سیاسی")</f>
        <v>تشکل‌های اسلامی و سیاسی</v>
      </c>
      <c r="U741" s="1" t="str">
        <f>IFERROR(__xludf.DUMMYFUNCTION("INDEX(SPLIT(A741, ""/""), 3)"),"هیئت الزهرا (س)")</f>
        <v>هیئت الزهرا (س)</v>
      </c>
      <c r="V741" s="1" t="str">
        <f>IFERROR(__xludf.DUMMYFUNCTION("INDEX(SPLIT(A741, ""/""), 4)"),"حیات")</f>
        <v>حیات</v>
      </c>
    </row>
    <row r="742">
      <c r="A742" s="1" t="s">
        <v>2287</v>
      </c>
      <c r="B742" s="1" t="s">
        <v>2423</v>
      </c>
      <c r="C742" s="1" t="s">
        <v>21</v>
      </c>
      <c r="D742" s="4" t="s">
        <v>2424</v>
      </c>
      <c r="E742" s="1" t="s">
        <v>2289</v>
      </c>
      <c r="F742" s="1" t="s">
        <v>2416</v>
      </c>
      <c r="G742" s="1" t="s">
        <v>2422</v>
      </c>
      <c r="H742" s="1" t="s">
        <v>2425</v>
      </c>
      <c r="I742" s="1" t="str">
        <f t="shared" si="1"/>
        <v>x</v>
      </c>
      <c r="J742" s="5"/>
      <c r="K742" s="1" t="str">
        <f t="shared" si="2"/>
        <v>3</v>
      </c>
      <c r="L742" s="5"/>
      <c r="M742" s="2" t="str">
        <f t="shared" si="3"/>
        <v>1402</v>
      </c>
      <c r="N742" s="5"/>
      <c r="O742" s="2">
        <v>61.0</v>
      </c>
      <c r="P742" s="5"/>
      <c r="Q742" s="5"/>
      <c r="R742" s="6" t="s">
        <v>2426</v>
      </c>
      <c r="S742" s="5"/>
      <c r="T742" s="1" t="str">
        <f>IFERROR(__xludf.DUMMYFUNCTION("INDEX(SPLIT(A742, ""/""), 2)"),"تشکل‌های اسلامی و سیاسی")</f>
        <v>تشکل‌های اسلامی و سیاسی</v>
      </c>
      <c r="U742" s="1" t="str">
        <f>IFERROR(__xludf.DUMMYFUNCTION("INDEX(SPLIT(A742, ""/""), 3)"),"هیئت الزهرا (س)")</f>
        <v>هیئت الزهرا (س)</v>
      </c>
      <c r="V742" s="1" t="str">
        <f>IFERROR(__xludf.DUMMYFUNCTION("INDEX(SPLIT(A742, ""/""), 4)"),"حیات")</f>
        <v>حیات</v>
      </c>
    </row>
    <row r="743">
      <c r="A743" s="1" t="s">
        <v>2287</v>
      </c>
      <c r="B743" s="1" t="s">
        <v>2427</v>
      </c>
      <c r="C743" s="1" t="s">
        <v>21</v>
      </c>
      <c r="D743" s="4" t="s">
        <v>2428</v>
      </c>
      <c r="E743" s="1" t="s">
        <v>2289</v>
      </c>
      <c r="F743" s="1" t="s">
        <v>2416</v>
      </c>
      <c r="G743" s="1" t="s">
        <v>2422</v>
      </c>
      <c r="H743" s="1" t="s">
        <v>160</v>
      </c>
      <c r="I743" s="1" t="str">
        <f t="shared" si="1"/>
        <v>x</v>
      </c>
      <c r="J743" s="5"/>
      <c r="K743" s="1" t="str">
        <f t="shared" si="2"/>
        <v>5</v>
      </c>
      <c r="L743" s="5"/>
      <c r="M743" s="2" t="str">
        <f t="shared" si="3"/>
        <v>1402</v>
      </c>
      <c r="N743" s="5"/>
      <c r="O743" s="2">
        <v>62.0</v>
      </c>
      <c r="P743" s="5"/>
      <c r="Q743" s="5"/>
      <c r="R743" s="6" t="s">
        <v>161</v>
      </c>
      <c r="S743" s="5"/>
      <c r="T743" s="1" t="str">
        <f>IFERROR(__xludf.DUMMYFUNCTION("INDEX(SPLIT(A743, ""/""), 2)"),"تشکل‌های اسلامی و سیاسی")</f>
        <v>تشکل‌های اسلامی و سیاسی</v>
      </c>
      <c r="U743" s="1" t="str">
        <f>IFERROR(__xludf.DUMMYFUNCTION("INDEX(SPLIT(A743, ""/""), 3)"),"هیئت الزهرا (س)")</f>
        <v>هیئت الزهرا (س)</v>
      </c>
      <c r="V743" s="1" t="str">
        <f>IFERROR(__xludf.DUMMYFUNCTION("INDEX(SPLIT(A743, ""/""), 4)"),"حیات")</f>
        <v>حیات</v>
      </c>
    </row>
    <row r="744">
      <c r="A744" s="1" t="s">
        <v>2287</v>
      </c>
      <c r="B744" s="1" t="s">
        <v>2429</v>
      </c>
      <c r="C744" s="1" t="s">
        <v>21</v>
      </c>
      <c r="D744" s="4" t="s">
        <v>2430</v>
      </c>
      <c r="E744" s="1" t="s">
        <v>2289</v>
      </c>
      <c r="F744" s="1" t="s">
        <v>2431</v>
      </c>
      <c r="G744" s="1" t="s">
        <v>2432</v>
      </c>
      <c r="H744" s="1" t="s">
        <v>529</v>
      </c>
      <c r="I744" s="1" t="str">
        <f t="shared" si="1"/>
        <v>x</v>
      </c>
      <c r="J744" s="5"/>
      <c r="K744" s="1" t="str">
        <f t="shared" si="2"/>
        <v>11</v>
      </c>
      <c r="L744" s="5"/>
      <c r="M744" s="2" t="str">
        <f t="shared" si="3"/>
        <v>1402</v>
      </c>
      <c r="N744" s="5"/>
      <c r="O744" s="2">
        <v>63.0</v>
      </c>
      <c r="P744" s="5"/>
      <c r="Q744" s="5"/>
      <c r="R744" s="6" t="s">
        <v>530</v>
      </c>
      <c r="S744" s="5"/>
      <c r="T744" s="1" t="str">
        <f>IFERROR(__xludf.DUMMYFUNCTION("INDEX(SPLIT(A744, ""/""), 2)"),"تشکل‌های اسلامی و سیاسی")</f>
        <v>تشکل‌های اسلامی و سیاسی</v>
      </c>
      <c r="U744" s="1" t="str">
        <f>IFERROR(__xludf.DUMMYFUNCTION("INDEX(SPLIT(A744, ""/""), 3)"),"هیئت الزهرا (س)")</f>
        <v>هیئت الزهرا (س)</v>
      </c>
      <c r="V744" s="1" t="str">
        <f>IFERROR(__xludf.DUMMYFUNCTION("INDEX(SPLIT(A744, ""/""), 4)"),"حیات")</f>
        <v>حیات</v>
      </c>
    </row>
    <row r="745">
      <c r="A745" s="1" t="s">
        <v>2287</v>
      </c>
      <c r="B745" s="1" t="s">
        <v>2433</v>
      </c>
      <c r="C745" s="1" t="s">
        <v>21</v>
      </c>
      <c r="D745" s="4" t="s">
        <v>2434</v>
      </c>
      <c r="E745" s="1" t="s">
        <v>2289</v>
      </c>
      <c r="F745" s="1" t="s">
        <v>2431</v>
      </c>
      <c r="G745" s="1" t="s">
        <v>2435</v>
      </c>
      <c r="H745" s="1" t="s">
        <v>2198</v>
      </c>
      <c r="I745" s="1" t="str">
        <f t="shared" si="1"/>
        <v>x</v>
      </c>
      <c r="J745" s="5"/>
      <c r="K745" s="1" t="str">
        <f t="shared" si="2"/>
        <v>12</v>
      </c>
      <c r="L745" s="5"/>
      <c r="M745" s="2" t="str">
        <f t="shared" si="3"/>
        <v>1402</v>
      </c>
      <c r="N745" s="5"/>
      <c r="O745" s="2">
        <v>64.0</v>
      </c>
      <c r="P745" s="5"/>
      <c r="Q745" s="5"/>
      <c r="R745" s="6" t="s">
        <v>2200</v>
      </c>
      <c r="S745" s="5"/>
      <c r="T745" s="1" t="str">
        <f>IFERROR(__xludf.DUMMYFUNCTION("INDEX(SPLIT(A745, ""/""), 2)"),"تشکل‌های اسلامی و سیاسی")</f>
        <v>تشکل‌های اسلامی و سیاسی</v>
      </c>
      <c r="U745" s="1" t="str">
        <f>IFERROR(__xludf.DUMMYFUNCTION("INDEX(SPLIT(A745, ""/""), 3)"),"هیئت الزهرا (س)")</f>
        <v>هیئت الزهرا (س)</v>
      </c>
      <c r="V745" s="1" t="str">
        <f>IFERROR(__xludf.DUMMYFUNCTION("INDEX(SPLIT(A745, ""/""), 4)"),"حیات")</f>
        <v>حیات</v>
      </c>
    </row>
    <row r="746">
      <c r="A746" s="1" t="s">
        <v>2287</v>
      </c>
      <c r="B746" s="1" t="s">
        <v>2436</v>
      </c>
      <c r="C746" s="1" t="s">
        <v>21</v>
      </c>
      <c r="D746" s="4" t="s">
        <v>2437</v>
      </c>
      <c r="E746" s="1" t="s">
        <v>2289</v>
      </c>
      <c r="F746" s="1" t="s">
        <v>2431</v>
      </c>
      <c r="G746" s="1" t="s">
        <v>2432</v>
      </c>
      <c r="H746" s="1" t="s">
        <v>2438</v>
      </c>
      <c r="I746" s="1" t="str">
        <f t="shared" si="1"/>
        <v>x</v>
      </c>
      <c r="J746" s="5"/>
      <c r="K746" s="1" t="str">
        <f t="shared" si="2"/>
        <v>2</v>
      </c>
      <c r="L746" s="5"/>
      <c r="M746" s="2" t="str">
        <f t="shared" si="3"/>
        <v>1403</v>
      </c>
      <c r="N746" s="5"/>
      <c r="O746" s="2">
        <v>65.0</v>
      </c>
      <c r="P746" s="5"/>
      <c r="Q746" s="5"/>
      <c r="R746" s="6" t="s">
        <v>2439</v>
      </c>
      <c r="S746" s="5"/>
      <c r="T746" s="1" t="str">
        <f>IFERROR(__xludf.DUMMYFUNCTION("INDEX(SPLIT(A746, ""/""), 2)"),"تشکل‌های اسلامی و سیاسی")</f>
        <v>تشکل‌های اسلامی و سیاسی</v>
      </c>
      <c r="U746" s="1" t="str">
        <f>IFERROR(__xludf.DUMMYFUNCTION("INDEX(SPLIT(A746, ""/""), 3)"),"هیئت الزهرا (س)")</f>
        <v>هیئت الزهرا (س)</v>
      </c>
      <c r="V746" s="1" t="str">
        <f>IFERROR(__xludf.DUMMYFUNCTION("INDEX(SPLIT(A746, ""/""), 4)"),"حیات")</f>
        <v>حیات</v>
      </c>
    </row>
    <row r="747">
      <c r="A747" s="1" t="s">
        <v>2287</v>
      </c>
      <c r="B747" s="1" t="s">
        <v>2440</v>
      </c>
      <c r="C747" s="1" t="s">
        <v>21</v>
      </c>
      <c r="D747" s="4" t="s">
        <v>2441</v>
      </c>
      <c r="E747" s="1" t="s">
        <v>2289</v>
      </c>
      <c r="F747" s="1" t="s">
        <v>2432</v>
      </c>
      <c r="G747" s="1" t="s">
        <v>2442</v>
      </c>
      <c r="H747" s="1" t="s">
        <v>479</v>
      </c>
      <c r="I747" s="1" t="str">
        <f t="shared" si="1"/>
        <v>x</v>
      </c>
      <c r="J747" s="5"/>
      <c r="K747" s="1" t="str">
        <f t="shared" si="2"/>
        <v>11</v>
      </c>
      <c r="L747" s="5"/>
      <c r="M747" s="2" t="str">
        <f t="shared" si="3"/>
        <v>1403</v>
      </c>
      <c r="N747" s="5"/>
      <c r="O747" s="2">
        <v>66.0</v>
      </c>
      <c r="P747" s="5"/>
      <c r="Q747" s="5"/>
      <c r="R747" s="6" t="s">
        <v>480</v>
      </c>
      <c r="S747" s="5"/>
      <c r="T747" s="1" t="str">
        <f>IFERROR(__xludf.DUMMYFUNCTION("INDEX(SPLIT(A747, ""/""), 2)"),"تشکل‌های اسلامی و سیاسی")</f>
        <v>تشکل‌های اسلامی و سیاسی</v>
      </c>
      <c r="U747" s="1" t="str">
        <f>IFERROR(__xludf.DUMMYFUNCTION("INDEX(SPLIT(A747, ""/""), 3)"),"هیئت الزهرا (س)")</f>
        <v>هیئت الزهرا (س)</v>
      </c>
      <c r="V747" s="1" t="str">
        <f>IFERROR(__xludf.DUMMYFUNCTION("INDEX(SPLIT(A747, ""/""), 4)"),"حیات")</f>
        <v>حیات</v>
      </c>
    </row>
    <row r="748">
      <c r="A748" s="1" t="s">
        <v>2287</v>
      </c>
      <c r="B748" s="1" t="s">
        <v>2443</v>
      </c>
      <c r="C748" s="1" t="s">
        <v>21</v>
      </c>
      <c r="D748" s="4" t="s">
        <v>2444</v>
      </c>
      <c r="E748" s="1" t="s">
        <v>2289</v>
      </c>
      <c r="F748" s="1" t="s">
        <v>2432</v>
      </c>
      <c r="G748" s="1" t="s">
        <v>2445</v>
      </c>
      <c r="H748" s="1" t="s">
        <v>682</v>
      </c>
      <c r="I748" s="1" t="str">
        <f t="shared" si="1"/>
        <v>x</v>
      </c>
      <c r="J748" s="5"/>
      <c r="K748" s="1" t="str">
        <f t="shared" si="2"/>
        <v>1</v>
      </c>
      <c r="L748" s="5"/>
      <c r="M748" s="2" t="str">
        <f t="shared" si="3"/>
        <v>1404</v>
      </c>
      <c r="N748" s="5"/>
      <c r="O748" s="2">
        <v>67.0</v>
      </c>
      <c r="P748" s="5"/>
      <c r="Q748" s="5"/>
      <c r="R748" s="6" t="s">
        <v>683</v>
      </c>
      <c r="S748" s="5"/>
      <c r="T748" s="1" t="str">
        <f>IFERROR(__xludf.DUMMYFUNCTION("INDEX(SPLIT(A748, ""/""), 2)"),"تشکل‌های اسلامی و سیاسی")</f>
        <v>تشکل‌های اسلامی و سیاسی</v>
      </c>
      <c r="U748" s="1" t="str">
        <f>IFERROR(__xludf.DUMMYFUNCTION("INDEX(SPLIT(A748, ""/""), 3)"),"هیئت الزهرا (س)")</f>
        <v>هیئت الزهرا (س)</v>
      </c>
      <c r="V748" s="1" t="str">
        <f>IFERROR(__xludf.DUMMYFUNCTION("INDEX(SPLIT(A748, ""/""), 4)"),"حیات")</f>
        <v>حیات</v>
      </c>
    </row>
    <row r="749">
      <c r="A749" s="1" t="s">
        <v>2287</v>
      </c>
      <c r="B749" s="1" t="s">
        <v>2446</v>
      </c>
      <c r="C749" s="1" t="s">
        <v>21</v>
      </c>
      <c r="D749" s="4" t="s">
        <v>2447</v>
      </c>
      <c r="E749" s="1" t="s">
        <v>2289</v>
      </c>
      <c r="F749" s="1" t="s">
        <v>2448</v>
      </c>
      <c r="G749" s="1" t="s">
        <v>2448</v>
      </c>
      <c r="H749" s="5"/>
      <c r="I749" s="1" t="str">
        <f t="shared" si="1"/>
        <v>#VALUE!</v>
      </c>
      <c r="J749" s="5"/>
      <c r="K749" s="1" t="str">
        <f t="shared" si="2"/>
        <v>#VALUE!</v>
      </c>
      <c r="L749" s="5"/>
      <c r="M749" s="2" t="str">
        <f t="shared" si="3"/>
        <v>#VALUE!</v>
      </c>
      <c r="N749" s="5"/>
      <c r="O749" s="2" t="s">
        <v>2449</v>
      </c>
      <c r="P749" s="5"/>
      <c r="Q749" s="5"/>
      <c r="R749" s="10"/>
      <c r="S749" s="5"/>
      <c r="T749" s="1" t="str">
        <f>IFERROR(__xludf.DUMMYFUNCTION("INDEX(SPLIT(A749, ""/""), 2)"),"تشکل‌های اسلامی و سیاسی")</f>
        <v>تشکل‌های اسلامی و سیاسی</v>
      </c>
      <c r="U749" s="1" t="str">
        <f>IFERROR(__xludf.DUMMYFUNCTION("INDEX(SPLIT(A749, ""/""), 3)"),"هیئت الزهرا (س)")</f>
        <v>هیئت الزهرا (س)</v>
      </c>
      <c r="V749" s="1" t="str">
        <f>IFERROR(__xludf.DUMMYFUNCTION("INDEX(SPLIT(A749, ""/""), 4)"),"حیات")</f>
        <v>حیات</v>
      </c>
    </row>
    <row r="750">
      <c r="A750" s="1" t="s">
        <v>2450</v>
      </c>
      <c r="B750" s="1" t="s">
        <v>2451</v>
      </c>
      <c r="C750" s="1" t="s">
        <v>21</v>
      </c>
      <c r="D750" s="4" t="s">
        <v>2452</v>
      </c>
      <c r="E750" s="1" t="s">
        <v>2289</v>
      </c>
      <c r="F750" s="1" t="s">
        <v>2453</v>
      </c>
      <c r="G750" s="1" t="s">
        <v>1695</v>
      </c>
      <c r="H750" s="1" t="s">
        <v>177</v>
      </c>
      <c r="I750" s="1" t="str">
        <f t="shared" si="1"/>
        <v>x</v>
      </c>
      <c r="J750" s="5"/>
      <c r="K750" s="1" t="str">
        <f t="shared" si="2"/>
        <v>11</v>
      </c>
      <c r="L750" s="5"/>
      <c r="M750" s="2" t="str">
        <f t="shared" si="3"/>
        <v>1397</v>
      </c>
      <c r="N750" s="5"/>
      <c r="O750" s="2">
        <v>1.0</v>
      </c>
      <c r="P750" s="5"/>
      <c r="Q750" s="5"/>
      <c r="R750" s="6" t="s">
        <v>178</v>
      </c>
      <c r="S750" s="5"/>
      <c r="T750" s="1" t="str">
        <f>IFERROR(__xludf.DUMMYFUNCTION("INDEX(SPLIT(A750, ""/""), 2)"),"تشکل‌های اسلامی و سیاسی")</f>
        <v>تشکل‌های اسلامی و سیاسی</v>
      </c>
      <c r="U750" s="1" t="str">
        <f>IFERROR(__xludf.DUMMYFUNCTION("INDEX(SPLIT(A750, ""/""), 3)"),"هیئت الزهرا (س)")</f>
        <v>هیئت الزهرا (س)</v>
      </c>
      <c r="V750" s="1" t="str">
        <f>IFERROR(__xludf.DUMMYFUNCTION("INDEX(SPLIT(A750, ""/""), 4)"),"ریحانه")</f>
        <v>ریحانه</v>
      </c>
    </row>
    <row r="751">
      <c r="A751" s="1" t="s">
        <v>2450</v>
      </c>
      <c r="B751" s="1" t="s">
        <v>2454</v>
      </c>
      <c r="C751" s="1" t="s">
        <v>21</v>
      </c>
      <c r="D751" s="4" t="s">
        <v>2455</v>
      </c>
      <c r="E751" s="1" t="s">
        <v>2289</v>
      </c>
      <c r="F751" s="1" t="s">
        <v>2453</v>
      </c>
      <c r="G751" s="1" t="s">
        <v>1695</v>
      </c>
      <c r="H751" s="1" t="s">
        <v>329</v>
      </c>
      <c r="I751" s="1" t="str">
        <f t="shared" si="1"/>
        <v>x</v>
      </c>
      <c r="J751" s="5"/>
      <c r="K751" s="1" t="str">
        <f t="shared" si="2"/>
        <v>2</v>
      </c>
      <c r="L751" s="5"/>
      <c r="M751" s="2" t="str">
        <f t="shared" si="3"/>
        <v>1398</v>
      </c>
      <c r="N751" s="5"/>
      <c r="O751" s="2">
        <v>2.0</v>
      </c>
      <c r="P751" s="5"/>
      <c r="Q751" s="5"/>
      <c r="R751" s="6" t="s">
        <v>330</v>
      </c>
      <c r="S751" s="5"/>
      <c r="T751" s="1" t="str">
        <f>IFERROR(__xludf.DUMMYFUNCTION("INDEX(SPLIT(A751, ""/""), 2)"),"تشکل‌های اسلامی و سیاسی")</f>
        <v>تشکل‌های اسلامی و سیاسی</v>
      </c>
      <c r="U751" s="1" t="str">
        <f>IFERROR(__xludf.DUMMYFUNCTION("INDEX(SPLIT(A751, ""/""), 3)"),"هیئت الزهرا (س)")</f>
        <v>هیئت الزهرا (س)</v>
      </c>
      <c r="V751" s="1" t="str">
        <f>IFERROR(__xludf.DUMMYFUNCTION("INDEX(SPLIT(A751, ""/""), 4)"),"ریحانه")</f>
        <v>ریحانه</v>
      </c>
    </row>
    <row r="752">
      <c r="A752" s="1" t="s">
        <v>2450</v>
      </c>
      <c r="B752" s="1" t="s">
        <v>2456</v>
      </c>
      <c r="C752" s="1" t="s">
        <v>21</v>
      </c>
      <c r="D752" s="4" t="s">
        <v>2457</v>
      </c>
      <c r="E752" s="1" t="s">
        <v>2289</v>
      </c>
      <c r="F752" s="1" t="s">
        <v>2453</v>
      </c>
      <c r="G752" s="1" t="s">
        <v>2458</v>
      </c>
      <c r="H752" s="1" t="s">
        <v>357</v>
      </c>
      <c r="I752" s="1" t="str">
        <f t="shared" si="1"/>
        <v>x</v>
      </c>
      <c r="J752" s="5"/>
      <c r="K752" s="1" t="str">
        <f t="shared" si="2"/>
        <v>10</v>
      </c>
      <c r="L752" s="5"/>
      <c r="M752" s="2" t="str">
        <f t="shared" si="3"/>
        <v>1398</v>
      </c>
      <c r="N752" s="5"/>
      <c r="O752" s="2">
        <v>3.0</v>
      </c>
      <c r="P752" s="5"/>
      <c r="Q752" s="5"/>
      <c r="R752" s="6" t="s">
        <v>358</v>
      </c>
      <c r="S752" s="5"/>
      <c r="T752" s="1" t="str">
        <f>IFERROR(__xludf.DUMMYFUNCTION("INDEX(SPLIT(A752, ""/""), 2)"),"تشکل‌های اسلامی و سیاسی")</f>
        <v>تشکل‌های اسلامی و سیاسی</v>
      </c>
      <c r="U752" s="1" t="str">
        <f>IFERROR(__xludf.DUMMYFUNCTION("INDEX(SPLIT(A752, ""/""), 3)"),"هیئت الزهرا (س)")</f>
        <v>هیئت الزهرا (س)</v>
      </c>
      <c r="V752" s="1" t="str">
        <f>IFERROR(__xludf.DUMMYFUNCTION("INDEX(SPLIT(A752, ""/""), 4)"),"ریحانه")</f>
        <v>ریحانه</v>
      </c>
    </row>
    <row r="753">
      <c r="A753" s="1" t="s">
        <v>2450</v>
      </c>
      <c r="B753" s="1" t="s">
        <v>2459</v>
      </c>
      <c r="C753" s="1" t="s">
        <v>21</v>
      </c>
      <c r="D753" s="4" t="s">
        <v>2460</v>
      </c>
      <c r="E753" s="1" t="s">
        <v>2289</v>
      </c>
      <c r="F753" s="1" t="s">
        <v>2453</v>
      </c>
      <c r="G753" s="1" t="s">
        <v>2461</v>
      </c>
      <c r="H753" s="1" t="s">
        <v>199</v>
      </c>
      <c r="I753" s="1" t="str">
        <f t="shared" si="1"/>
        <v>x</v>
      </c>
      <c r="J753" s="5"/>
      <c r="K753" s="1" t="str">
        <f t="shared" si="2"/>
        <v>11</v>
      </c>
      <c r="L753" s="5"/>
      <c r="M753" s="2" t="str">
        <f t="shared" si="3"/>
        <v>1398</v>
      </c>
      <c r="N753" s="5"/>
      <c r="O753" s="2">
        <v>4.0</v>
      </c>
      <c r="P753" s="5"/>
      <c r="Q753" s="5"/>
      <c r="R753" s="6" t="s">
        <v>200</v>
      </c>
      <c r="S753" s="5"/>
      <c r="T753" s="1" t="str">
        <f>IFERROR(__xludf.DUMMYFUNCTION("INDEX(SPLIT(A753, ""/""), 2)"),"تشکل‌های اسلامی و سیاسی")</f>
        <v>تشکل‌های اسلامی و سیاسی</v>
      </c>
      <c r="U753" s="1" t="str">
        <f>IFERROR(__xludf.DUMMYFUNCTION("INDEX(SPLIT(A753, ""/""), 3)"),"هیئت الزهرا (س)")</f>
        <v>هیئت الزهرا (س)</v>
      </c>
      <c r="V753" s="1" t="str">
        <f>IFERROR(__xludf.DUMMYFUNCTION("INDEX(SPLIT(A753, ""/""), 4)"),"ریحانه")</f>
        <v>ریحانه</v>
      </c>
    </row>
    <row r="754">
      <c r="A754" s="1" t="s">
        <v>2450</v>
      </c>
      <c r="B754" s="1" t="s">
        <v>2462</v>
      </c>
      <c r="C754" s="1" t="s">
        <v>21</v>
      </c>
      <c r="D754" s="4" t="s">
        <v>2463</v>
      </c>
      <c r="E754" s="1" t="s">
        <v>2289</v>
      </c>
      <c r="F754" s="1" t="s">
        <v>2453</v>
      </c>
      <c r="G754" s="1" t="s">
        <v>2464</v>
      </c>
      <c r="H754" s="1" t="s">
        <v>119</v>
      </c>
      <c r="I754" s="1" t="str">
        <f t="shared" si="1"/>
        <v>x</v>
      </c>
      <c r="J754" s="5"/>
      <c r="K754" s="1" t="str">
        <f t="shared" si="2"/>
        <v>4</v>
      </c>
      <c r="L754" s="5"/>
      <c r="M754" s="2" t="str">
        <f t="shared" si="3"/>
        <v>1399</v>
      </c>
      <c r="N754" s="5"/>
      <c r="O754" s="2">
        <v>5.0</v>
      </c>
      <c r="P754" s="5"/>
      <c r="Q754" s="5"/>
      <c r="R754" s="6" t="s">
        <v>120</v>
      </c>
      <c r="S754" s="5"/>
      <c r="T754" s="1" t="str">
        <f>IFERROR(__xludf.DUMMYFUNCTION("INDEX(SPLIT(A754, ""/""), 2)"),"تشکل‌های اسلامی و سیاسی")</f>
        <v>تشکل‌های اسلامی و سیاسی</v>
      </c>
      <c r="U754" s="1" t="str">
        <f>IFERROR(__xludf.DUMMYFUNCTION("INDEX(SPLIT(A754, ""/""), 3)"),"هیئت الزهرا (س)")</f>
        <v>هیئت الزهرا (س)</v>
      </c>
      <c r="V754" s="1" t="str">
        <f>IFERROR(__xludf.DUMMYFUNCTION("INDEX(SPLIT(A754, ""/""), 4)"),"ریحانه")</f>
        <v>ریحانه</v>
      </c>
    </row>
    <row r="755">
      <c r="A755" s="1" t="s">
        <v>2450</v>
      </c>
      <c r="B755" s="1" t="s">
        <v>2465</v>
      </c>
      <c r="C755" s="1" t="s">
        <v>21</v>
      </c>
      <c r="D755" s="4" t="s">
        <v>2466</v>
      </c>
      <c r="E755" s="1" t="s">
        <v>2289</v>
      </c>
      <c r="F755" s="1" t="s">
        <v>2453</v>
      </c>
      <c r="G755" s="1" t="s">
        <v>2464</v>
      </c>
      <c r="H755" s="1" t="s">
        <v>379</v>
      </c>
      <c r="I755" s="1" t="str">
        <f t="shared" si="1"/>
        <v>x</v>
      </c>
      <c r="J755" s="5"/>
      <c r="K755" s="1" t="str">
        <f t="shared" si="2"/>
        <v>5</v>
      </c>
      <c r="L755" s="5"/>
      <c r="M755" s="2" t="str">
        <f t="shared" si="3"/>
        <v>1399</v>
      </c>
      <c r="N755" s="5"/>
      <c r="O755" s="2">
        <v>6.0</v>
      </c>
      <c r="P755" s="5"/>
      <c r="Q755" s="5"/>
      <c r="R755" s="6" t="s">
        <v>380</v>
      </c>
      <c r="S755" s="5"/>
      <c r="T755" s="1" t="str">
        <f>IFERROR(__xludf.DUMMYFUNCTION("INDEX(SPLIT(A755, ""/""), 2)"),"تشکل‌های اسلامی و سیاسی")</f>
        <v>تشکل‌های اسلامی و سیاسی</v>
      </c>
      <c r="U755" s="1" t="str">
        <f>IFERROR(__xludf.DUMMYFUNCTION("INDEX(SPLIT(A755, ""/""), 3)"),"هیئت الزهرا (س)")</f>
        <v>هیئت الزهرا (س)</v>
      </c>
      <c r="V755" s="1" t="str">
        <f>IFERROR(__xludf.DUMMYFUNCTION("INDEX(SPLIT(A755, ""/""), 4)"),"ریحانه")</f>
        <v>ریحانه</v>
      </c>
    </row>
    <row r="756">
      <c r="A756" s="1" t="s">
        <v>2450</v>
      </c>
      <c r="B756" s="1" t="s">
        <v>2467</v>
      </c>
      <c r="C756" s="1" t="s">
        <v>21</v>
      </c>
      <c r="D756" s="4" t="s">
        <v>2468</v>
      </c>
      <c r="E756" s="1" t="s">
        <v>2289</v>
      </c>
      <c r="F756" s="1" t="s">
        <v>2453</v>
      </c>
      <c r="G756" s="1" t="s">
        <v>2464</v>
      </c>
      <c r="H756" s="1" t="s">
        <v>383</v>
      </c>
      <c r="I756" s="1" t="str">
        <f t="shared" si="1"/>
        <v>x</v>
      </c>
      <c r="J756" s="5"/>
      <c r="K756" s="1" t="str">
        <f t="shared" si="2"/>
        <v>6</v>
      </c>
      <c r="L756" s="5"/>
      <c r="M756" s="2" t="str">
        <f t="shared" si="3"/>
        <v>1399</v>
      </c>
      <c r="N756" s="5"/>
      <c r="O756" s="2">
        <v>7.0</v>
      </c>
      <c r="P756" s="5"/>
      <c r="Q756" s="5"/>
      <c r="R756" s="6" t="s">
        <v>384</v>
      </c>
      <c r="S756" s="5"/>
      <c r="T756" s="1" t="str">
        <f>IFERROR(__xludf.DUMMYFUNCTION("INDEX(SPLIT(A756, ""/""), 2)"),"تشکل‌های اسلامی و سیاسی")</f>
        <v>تشکل‌های اسلامی و سیاسی</v>
      </c>
      <c r="U756" s="1" t="str">
        <f>IFERROR(__xludf.DUMMYFUNCTION("INDEX(SPLIT(A756, ""/""), 3)"),"هیئت الزهرا (س)")</f>
        <v>هیئت الزهرا (س)</v>
      </c>
      <c r="V756" s="1" t="str">
        <f>IFERROR(__xludf.DUMMYFUNCTION("INDEX(SPLIT(A756, ""/""), 4)"),"ریحانه")</f>
        <v>ریحانه</v>
      </c>
    </row>
    <row r="757">
      <c r="A757" s="1" t="s">
        <v>2450</v>
      </c>
      <c r="B757" s="1" t="s">
        <v>2469</v>
      </c>
      <c r="C757" s="1" t="s">
        <v>21</v>
      </c>
      <c r="D757" s="4" t="s">
        <v>2470</v>
      </c>
      <c r="E757" s="1" t="s">
        <v>2289</v>
      </c>
      <c r="F757" s="1" t="s">
        <v>2453</v>
      </c>
      <c r="G757" s="1" t="s">
        <v>2464</v>
      </c>
      <c r="H757" s="1" t="s">
        <v>44</v>
      </c>
      <c r="I757" s="1" t="str">
        <f t="shared" si="1"/>
        <v>x</v>
      </c>
      <c r="J757" s="5"/>
      <c r="K757" s="1" t="str">
        <f t="shared" si="2"/>
        <v>10</v>
      </c>
      <c r="L757" s="5"/>
      <c r="M757" s="2" t="str">
        <f t="shared" si="3"/>
        <v>1399</v>
      </c>
      <c r="N757" s="5"/>
      <c r="O757" s="2">
        <v>8.0</v>
      </c>
      <c r="P757" s="5"/>
      <c r="Q757" s="5"/>
      <c r="R757" s="6" t="s">
        <v>45</v>
      </c>
      <c r="S757" s="5"/>
      <c r="T757" s="1" t="str">
        <f>IFERROR(__xludf.DUMMYFUNCTION("INDEX(SPLIT(A757, ""/""), 2)"),"تشکل‌های اسلامی و سیاسی")</f>
        <v>تشکل‌های اسلامی و سیاسی</v>
      </c>
      <c r="U757" s="1" t="str">
        <f>IFERROR(__xludf.DUMMYFUNCTION("INDEX(SPLIT(A757, ""/""), 3)"),"هیئت الزهرا (س)")</f>
        <v>هیئت الزهرا (س)</v>
      </c>
      <c r="V757" s="1" t="str">
        <f>IFERROR(__xludf.DUMMYFUNCTION("INDEX(SPLIT(A757, ""/""), 4)"),"ریحانه")</f>
        <v>ریحانه</v>
      </c>
    </row>
    <row r="758">
      <c r="A758" s="1" t="s">
        <v>2450</v>
      </c>
      <c r="B758" s="1" t="s">
        <v>2471</v>
      </c>
      <c r="C758" s="1" t="s">
        <v>21</v>
      </c>
      <c r="D758" s="4" t="s">
        <v>2472</v>
      </c>
      <c r="E758" s="1" t="s">
        <v>2289</v>
      </c>
      <c r="F758" s="1" t="s">
        <v>2453</v>
      </c>
      <c r="G758" s="1" t="s">
        <v>2464</v>
      </c>
      <c r="H758" s="1" t="s">
        <v>119</v>
      </c>
      <c r="I758" s="1" t="str">
        <f t="shared" si="1"/>
        <v>x</v>
      </c>
      <c r="J758" s="5"/>
      <c r="K758" s="1" t="str">
        <f t="shared" si="2"/>
        <v>4</v>
      </c>
      <c r="L758" s="5"/>
      <c r="M758" s="2" t="str">
        <f t="shared" si="3"/>
        <v>1399</v>
      </c>
      <c r="N758" s="5"/>
      <c r="O758" s="2">
        <v>9.0</v>
      </c>
      <c r="P758" s="5"/>
      <c r="Q758" s="5"/>
      <c r="R758" s="6" t="s">
        <v>120</v>
      </c>
      <c r="S758" s="5"/>
      <c r="T758" s="1" t="str">
        <f>IFERROR(__xludf.DUMMYFUNCTION("INDEX(SPLIT(A758, ""/""), 2)"),"تشکل‌های اسلامی و سیاسی")</f>
        <v>تشکل‌های اسلامی و سیاسی</v>
      </c>
      <c r="U758" s="1" t="str">
        <f>IFERROR(__xludf.DUMMYFUNCTION("INDEX(SPLIT(A758, ""/""), 3)"),"هیئت الزهرا (س)")</f>
        <v>هیئت الزهرا (س)</v>
      </c>
      <c r="V758" s="1" t="str">
        <f>IFERROR(__xludf.DUMMYFUNCTION("INDEX(SPLIT(A758, ""/""), 4)"),"ریحانه")</f>
        <v>ریحانه</v>
      </c>
    </row>
    <row r="759">
      <c r="A759" s="1" t="s">
        <v>2450</v>
      </c>
      <c r="B759" s="1" t="s">
        <v>2473</v>
      </c>
      <c r="C759" s="1" t="s">
        <v>21</v>
      </c>
      <c r="D759" s="4" t="s">
        <v>2474</v>
      </c>
      <c r="E759" s="1" t="s">
        <v>2289</v>
      </c>
      <c r="F759" s="1" t="s">
        <v>2475</v>
      </c>
      <c r="G759" s="1" t="s">
        <v>2476</v>
      </c>
      <c r="H759" s="1" t="s">
        <v>414</v>
      </c>
      <c r="I759" s="1" t="str">
        <f t="shared" si="1"/>
        <v>x</v>
      </c>
      <c r="J759" s="5"/>
      <c r="K759" s="1" t="str">
        <f t="shared" si="2"/>
        <v>9</v>
      </c>
      <c r="L759" s="5"/>
      <c r="M759" s="2" t="str">
        <f t="shared" si="3"/>
        <v>1400</v>
      </c>
      <c r="N759" s="5"/>
      <c r="O759" s="2">
        <v>10.0</v>
      </c>
      <c r="P759" s="5"/>
      <c r="Q759" s="5"/>
      <c r="R759" s="6" t="s">
        <v>415</v>
      </c>
      <c r="S759" s="5"/>
      <c r="T759" s="1" t="str">
        <f>IFERROR(__xludf.DUMMYFUNCTION("INDEX(SPLIT(A759, ""/""), 2)"),"تشکل‌های اسلامی و سیاسی")</f>
        <v>تشکل‌های اسلامی و سیاسی</v>
      </c>
      <c r="U759" s="1" t="str">
        <f>IFERROR(__xludf.DUMMYFUNCTION("INDEX(SPLIT(A759, ""/""), 3)"),"هیئت الزهرا (س)")</f>
        <v>هیئت الزهرا (س)</v>
      </c>
      <c r="V759" s="1" t="str">
        <f>IFERROR(__xludf.DUMMYFUNCTION("INDEX(SPLIT(A759, ""/""), 4)"),"ریحانه")</f>
        <v>ریحانه</v>
      </c>
    </row>
    <row r="760">
      <c r="A760" s="1" t="s">
        <v>2450</v>
      </c>
      <c r="B760" s="1" t="s">
        <v>2477</v>
      </c>
      <c r="C760" s="1" t="s">
        <v>21</v>
      </c>
      <c r="D760" s="4" t="s">
        <v>2478</v>
      </c>
      <c r="E760" s="1" t="s">
        <v>2289</v>
      </c>
      <c r="F760" s="1" t="s">
        <v>2479</v>
      </c>
      <c r="G760" s="1" t="s">
        <v>2480</v>
      </c>
      <c r="H760" s="1" t="s">
        <v>155</v>
      </c>
      <c r="I760" s="1" t="str">
        <f t="shared" si="1"/>
        <v>x</v>
      </c>
      <c r="J760" s="5"/>
      <c r="K760" s="1" t="str">
        <f t="shared" si="2"/>
        <v>12</v>
      </c>
      <c r="L760" s="5"/>
      <c r="M760" s="2" t="str">
        <f t="shared" si="3"/>
        <v>1401</v>
      </c>
      <c r="N760" s="5"/>
      <c r="O760" s="2">
        <v>11.0</v>
      </c>
      <c r="P760" s="5"/>
      <c r="Q760" s="5"/>
      <c r="R760" s="6" t="s">
        <v>156</v>
      </c>
      <c r="S760" s="5"/>
      <c r="T760" s="1" t="str">
        <f>IFERROR(__xludf.DUMMYFUNCTION("INDEX(SPLIT(A760, ""/""), 2)"),"تشکل‌های اسلامی و سیاسی")</f>
        <v>تشکل‌های اسلامی و سیاسی</v>
      </c>
      <c r="U760" s="1" t="str">
        <f>IFERROR(__xludf.DUMMYFUNCTION("INDEX(SPLIT(A760, ""/""), 3)"),"هیئت الزهرا (س)")</f>
        <v>هیئت الزهرا (س)</v>
      </c>
      <c r="V760" s="1" t="str">
        <f>IFERROR(__xludf.DUMMYFUNCTION("INDEX(SPLIT(A760, ""/""), 4)"),"ریحانه")</f>
        <v>ریحانه</v>
      </c>
    </row>
    <row r="761">
      <c r="A761" s="1" t="s">
        <v>2450</v>
      </c>
      <c r="B761" s="1" t="s">
        <v>2481</v>
      </c>
      <c r="C761" s="1" t="s">
        <v>21</v>
      </c>
      <c r="D761" s="4" t="s">
        <v>2482</v>
      </c>
      <c r="E761" s="1" t="s">
        <v>2289</v>
      </c>
      <c r="F761" s="1" t="s">
        <v>2483</v>
      </c>
      <c r="G761" s="1" t="s">
        <v>752</v>
      </c>
      <c r="H761" s="1" t="s">
        <v>2425</v>
      </c>
      <c r="I761" s="1" t="str">
        <f t="shared" si="1"/>
        <v>x</v>
      </c>
      <c r="J761" s="5"/>
      <c r="K761" s="1" t="str">
        <f t="shared" si="2"/>
        <v>3</v>
      </c>
      <c r="L761" s="5"/>
      <c r="M761" s="2" t="str">
        <f t="shared" si="3"/>
        <v>1402</v>
      </c>
      <c r="N761" s="5"/>
      <c r="O761" s="2">
        <v>12.0</v>
      </c>
      <c r="P761" s="5"/>
      <c r="Q761" s="5"/>
      <c r="R761" s="6" t="s">
        <v>2426</v>
      </c>
      <c r="S761" s="5"/>
      <c r="T761" s="1" t="str">
        <f>IFERROR(__xludf.DUMMYFUNCTION("INDEX(SPLIT(A761, ""/""), 2)"),"تشکل‌های اسلامی و سیاسی")</f>
        <v>تشکل‌های اسلامی و سیاسی</v>
      </c>
      <c r="U761" s="1" t="str">
        <f>IFERROR(__xludf.DUMMYFUNCTION("INDEX(SPLIT(A761, ""/""), 3)"),"هیئت الزهرا (س)")</f>
        <v>هیئت الزهرا (س)</v>
      </c>
      <c r="V761" s="1" t="str">
        <f>IFERROR(__xludf.DUMMYFUNCTION("INDEX(SPLIT(A761, ""/""), 4)"),"ریحانه")</f>
        <v>ریحانه</v>
      </c>
    </row>
    <row r="762">
      <c r="A762" s="1" t="s">
        <v>2450</v>
      </c>
      <c r="B762" s="1" t="s">
        <v>2484</v>
      </c>
      <c r="C762" s="1" t="s">
        <v>21</v>
      </c>
      <c r="D762" s="4" t="s">
        <v>2485</v>
      </c>
      <c r="E762" s="1" t="s">
        <v>2289</v>
      </c>
      <c r="F762" s="1" t="s">
        <v>2483</v>
      </c>
      <c r="G762" s="1" t="s">
        <v>752</v>
      </c>
      <c r="H762" s="1" t="s">
        <v>1530</v>
      </c>
      <c r="I762" s="1" t="str">
        <f t="shared" si="1"/>
        <v>x</v>
      </c>
      <c r="J762" s="5"/>
      <c r="K762" s="1" t="str">
        <f t="shared" si="2"/>
        <v>6</v>
      </c>
      <c r="L762" s="5"/>
      <c r="M762" s="2" t="str">
        <f t="shared" si="3"/>
        <v>1402</v>
      </c>
      <c r="N762" s="5"/>
      <c r="O762" s="2">
        <v>13.0</v>
      </c>
      <c r="P762" s="5"/>
      <c r="Q762" s="5"/>
      <c r="R762" s="6" t="s">
        <v>1531</v>
      </c>
      <c r="S762" s="5"/>
      <c r="T762" s="1" t="str">
        <f>IFERROR(__xludf.DUMMYFUNCTION("INDEX(SPLIT(A762, ""/""), 2)"),"تشکل‌های اسلامی و سیاسی")</f>
        <v>تشکل‌های اسلامی و سیاسی</v>
      </c>
      <c r="U762" s="1" t="str">
        <f>IFERROR(__xludf.DUMMYFUNCTION("INDEX(SPLIT(A762, ""/""), 3)"),"هیئت الزهرا (س)")</f>
        <v>هیئت الزهرا (س)</v>
      </c>
      <c r="V762" s="1" t="str">
        <f>IFERROR(__xludf.DUMMYFUNCTION("INDEX(SPLIT(A762, ""/""), 4)"),"ریحانه")</f>
        <v>ریحانه</v>
      </c>
    </row>
    <row r="763">
      <c r="A763" s="1" t="s">
        <v>2450</v>
      </c>
      <c r="B763" s="1" t="s">
        <v>2486</v>
      </c>
      <c r="C763" s="1" t="s">
        <v>21</v>
      </c>
      <c r="D763" s="4" t="s">
        <v>2487</v>
      </c>
      <c r="E763" s="1" t="s">
        <v>2289</v>
      </c>
      <c r="F763" s="1" t="s">
        <v>2483</v>
      </c>
      <c r="G763" s="1" t="s">
        <v>2480</v>
      </c>
      <c r="H763" s="1" t="s">
        <v>462</v>
      </c>
      <c r="I763" s="1" t="str">
        <f t="shared" si="1"/>
        <v>x</v>
      </c>
      <c r="J763" s="5"/>
      <c r="K763" s="1" t="str">
        <f t="shared" si="2"/>
        <v>8</v>
      </c>
      <c r="L763" s="5"/>
      <c r="M763" s="2" t="str">
        <f t="shared" si="3"/>
        <v>1402</v>
      </c>
      <c r="N763" s="5"/>
      <c r="O763" s="2">
        <v>14.0</v>
      </c>
      <c r="P763" s="5"/>
      <c r="Q763" s="5"/>
      <c r="R763" s="6" t="s">
        <v>463</v>
      </c>
      <c r="S763" s="5"/>
      <c r="T763" s="1" t="str">
        <f>IFERROR(__xludf.DUMMYFUNCTION("INDEX(SPLIT(A763, ""/""), 2)"),"تشکل‌های اسلامی و سیاسی")</f>
        <v>تشکل‌های اسلامی و سیاسی</v>
      </c>
      <c r="U763" s="1" t="str">
        <f>IFERROR(__xludf.DUMMYFUNCTION("INDEX(SPLIT(A763, ""/""), 3)"),"هیئت الزهرا (س)")</f>
        <v>هیئت الزهرا (س)</v>
      </c>
      <c r="V763" s="1" t="str">
        <f>IFERROR(__xludf.DUMMYFUNCTION("INDEX(SPLIT(A763, ""/""), 4)"),"ریحانه")</f>
        <v>ریحانه</v>
      </c>
    </row>
    <row r="764">
      <c r="A764" s="1" t="s">
        <v>2488</v>
      </c>
      <c r="B764" s="1" t="s">
        <v>2489</v>
      </c>
      <c r="C764" s="1" t="s">
        <v>21</v>
      </c>
      <c r="D764" s="4" t="s">
        <v>2490</v>
      </c>
      <c r="E764" s="1" t="s">
        <v>2289</v>
      </c>
      <c r="F764" s="1" t="s">
        <v>2294</v>
      </c>
      <c r="G764" s="1" t="s">
        <v>2359</v>
      </c>
      <c r="H764" s="7" t="s">
        <v>2491</v>
      </c>
      <c r="I764" s="1" t="str">
        <f t="shared" si="1"/>
        <v>3</v>
      </c>
      <c r="J764" s="5"/>
      <c r="K764" s="1" t="str">
        <f t="shared" si="2"/>
        <v>3</v>
      </c>
      <c r="L764" s="5"/>
      <c r="M764" s="2" t="str">
        <f t="shared" si="3"/>
        <v>1398</v>
      </c>
      <c r="N764" s="5"/>
      <c r="O764" s="2">
        <v>1.0</v>
      </c>
      <c r="P764" s="5"/>
      <c r="Q764" s="5"/>
      <c r="R764" s="8" t="s">
        <v>2491</v>
      </c>
      <c r="S764" s="1" t="s">
        <v>2492</v>
      </c>
      <c r="T764" s="1" t="str">
        <f>IFERROR(__xludf.DUMMYFUNCTION("INDEX(SPLIT(A764, ""/""), 2)"),"تشکل‌های اسلامی و سیاسی")</f>
        <v>تشکل‌های اسلامی و سیاسی</v>
      </c>
      <c r="U764" s="1" t="str">
        <f>IFERROR(__xludf.DUMMYFUNCTION("INDEX(SPLIT(A764, ""/""), 3)"),"هیئت الزهرا (س)")</f>
        <v>هیئت الزهرا (س)</v>
      </c>
      <c r="V764" s="1" t="str">
        <f>IFERROR(__xludf.DUMMYFUNCTION("INDEX(SPLIT(A764, ""/""), 4)"),"منبر")</f>
        <v>منبر</v>
      </c>
    </row>
    <row r="765">
      <c r="A765" s="1" t="s">
        <v>2488</v>
      </c>
      <c r="B765" s="1" t="s">
        <v>2493</v>
      </c>
      <c r="C765" s="1" t="s">
        <v>21</v>
      </c>
      <c r="D765" s="4" t="s">
        <v>2494</v>
      </c>
      <c r="E765" s="1" t="s">
        <v>2289</v>
      </c>
      <c r="F765" s="1" t="s">
        <v>2294</v>
      </c>
      <c r="G765" s="1" t="s">
        <v>1844</v>
      </c>
      <c r="H765" s="1" t="s">
        <v>107</v>
      </c>
      <c r="I765" s="1" t="str">
        <f t="shared" si="1"/>
        <v>x</v>
      </c>
      <c r="J765" s="5"/>
      <c r="K765" s="1" t="str">
        <f t="shared" si="2"/>
        <v>x</v>
      </c>
      <c r="L765" s="5"/>
      <c r="M765" s="2" t="str">
        <f t="shared" si="3"/>
        <v>1398</v>
      </c>
      <c r="N765" s="5"/>
      <c r="O765" s="2">
        <v>2.0</v>
      </c>
      <c r="P765" s="1" t="s">
        <v>2495</v>
      </c>
      <c r="Q765" s="1" t="s">
        <v>2496</v>
      </c>
      <c r="R765" s="6" t="s">
        <v>1306</v>
      </c>
      <c r="S765" s="1" t="s">
        <v>2497</v>
      </c>
      <c r="T765" s="1" t="str">
        <f>IFERROR(__xludf.DUMMYFUNCTION("INDEX(SPLIT(A765, ""/""), 2)"),"تشکل‌های اسلامی و سیاسی")</f>
        <v>تشکل‌های اسلامی و سیاسی</v>
      </c>
      <c r="U765" s="1" t="str">
        <f>IFERROR(__xludf.DUMMYFUNCTION("INDEX(SPLIT(A765, ""/""), 3)"),"هیئت الزهرا (س)")</f>
        <v>هیئت الزهرا (س)</v>
      </c>
      <c r="V765" s="1" t="str">
        <f>IFERROR(__xludf.DUMMYFUNCTION("INDEX(SPLIT(A765, ""/""), 4)"),"منبر")</f>
        <v>منبر</v>
      </c>
    </row>
    <row r="766">
      <c r="A766" s="1" t="s">
        <v>2488</v>
      </c>
      <c r="B766" s="1" t="s">
        <v>2498</v>
      </c>
      <c r="C766" s="1" t="s">
        <v>21</v>
      </c>
      <c r="D766" s="4" t="s">
        <v>2499</v>
      </c>
      <c r="E766" s="1" t="s">
        <v>2289</v>
      </c>
      <c r="F766" s="1" t="s">
        <v>2500</v>
      </c>
      <c r="G766" s="1" t="s">
        <v>2501</v>
      </c>
      <c r="H766" s="7" t="s">
        <v>2502</v>
      </c>
      <c r="I766" s="1" t="str">
        <f t="shared" si="1"/>
        <v>11</v>
      </c>
      <c r="J766" s="5"/>
      <c r="K766" s="1" t="str">
        <f t="shared" si="2"/>
        <v>6</v>
      </c>
      <c r="L766" s="5"/>
      <c r="M766" s="2" t="str">
        <f t="shared" si="3"/>
        <v>1398</v>
      </c>
      <c r="N766" s="5"/>
      <c r="O766" s="2">
        <v>3.0</v>
      </c>
      <c r="P766" s="5"/>
      <c r="Q766" s="5"/>
      <c r="R766" s="8" t="s">
        <v>2502</v>
      </c>
      <c r="S766" s="1" t="s">
        <v>2503</v>
      </c>
      <c r="T766" s="1" t="str">
        <f>IFERROR(__xludf.DUMMYFUNCTION("INDEX(SPLIT(A766, ""/""), 2)"),"تشکل‌های اسلامی و سیاسی")</f>
        <v>تشکل‌های اسلامی و سیاسی</v>
      </c>
      <c r="U766" s="1" t="str">
        <f>IFERROR(__xludf.DUMMYFUNCTION("INDEX(SPLIT(A766, ""/""), 3)"),"هیئت الزهرا (س)")</f>
        <v>هیئت الزهرا (س)</v>
      </c>
      <c r="V766" s="1" t="str">
        <f>IFERROR(__xludf.DUMMYFUNCTION("INDEX(SPLIT(A766, ""/""), 4)"),"منبر")</f>
        <v>منبر</v>
      </c>
    </row>
    <row r="767">
      <c r="A767" s="1" t="s">
        <v>2488</v>
      </c>
      <c r="B767" s="1" t="s">
        <v>2504</v>
      </c>
      <c r="C767" s="1" t="s">
        <v>21</v>
      </c>
      <c r="D767" s="4" t="s">
        <v>2505</v>
      </c>
      <c r="E767" s="1" t="s">
        <v>2289</v>
      </c>
      <c r="F767" s="1" t="s">
        <v>2294</v>
      </c>
      <c r="G767" s="1" t="s">
        <v>2501</v>
      </c>
      <c r="H767" s="1" t="s">
        <v>2506</v>
      </c>
      <c r="I767" s="1" t="str">
        <f t="shared" si="1"/>
        <v>13</v>
      </c>
      <c r="J767" s="5"/>
      <c r="K767" s="1" t="str">
        <f t="shared" si="2"/>
        <v>6</v>
      </c>
      <c r="L767" s="5"/>
      <c r="M767" s="2" t="str">
        <f t="shared" si="3"/>
        <v>1398</v>
      </c>
      <c r="N767" s="5"/>
      <c r="O767" s="2">
        <v>4.0</v>
      </c>
      <c r="P767" s="5"/>
      <c r="Q767" s="5"/>
      <c r="R767" s="6" t="s">
        <v>2506</v>
      </c>
      <c r="S767" s="1" t="s">
        <v>2507</v>
      </c>
      <c r="T767" s="1" t="str">
        <f>IFERROR(__xludf.DUMMYFUNCTION("INDEX(SPLIT(A767, ""/""), 2)"),"تشکل‌های اسلامی و سیاسی")</f>
        <v>تشکل‌های اسلامی و سیاسی</v>
      </c>
      <c r="U767" s="1" t="str">
        <f>IFERROR(__xludf.DUMMYFUNCTION("INDEX(SPLIT(A767, ""/""), 3)"),"هیئت الزهرا (س)")</f>
        <v>هیئت الزهرا (س)</v>
      </c>
      <c r="V767" s="1" t="str">
        <f>IFERROR(__xludf.DUMMYFUNCTION("INDEX(SPLIT(A767, ""/""), 4)"),"منبر")</f>
        <v>منبر</v>
      </c>
    </row>
    <row r="768">
      <c r="A768" s="1" t="s">
        <v>2488</v>
      </c>
      <c r="B768" s="1" t="s">
        <v>2508</v>
      </c>
      <c r="C768" s="1" t="s">
        <v>21</v>
      </c>
      <c r="D768" s="4" t="s">
        <v>2509</v>
      </c>
      <c r="E768" s="1" t="s">
        <v>2289</v>
      </c>
      <c r="F768" s="1" t="s">
        <v>2294</v>
      </c>
      <c r="G768" s="1" t="s">
        <v>2501</v>
      </c>
      <c r="H768" s="1" t="s">
        <v>2510</v>
      </c>
      <c r="I768" s="1" t="str">
        <f t="shared" si="1"/>
        <v>16</v>
      </c>
      <c r="J768" s="5"/>
      <c r="K768" s="1" t="str">
        <f t="shared" si="2"/>
        <v>6</v>
      </c>
      <c r="L768" s="5"/>
      <c r="M768" s="2" t="str">
        <f t="shared" si="3"/>
        <v>1398</v>
      </c>
      <c r="N768" s="5"/>
      <c r="O768" s="2">
        <v>5.0</v>
      </c>
      <c r="P768" s="5"/>
      <c r="Q768" s="5"/>
      <c r="R768" s="6" t="s">
        <v>2510</v>
      </c>
      <c r="S768" s="1" t="s">
        <v>2511</v>
      </c>
      <c r="T768" s="1" t="str">
        <f>IFERROR(__xludf.DUMMYFUNCTION("INDEX(SPLIT(A768, ""/""), 2)"),"تشکل‌های اسلامی و سیاسی")</f>
        <v>تشکل‌های اسلامی و سیاسی</v>
      </c>
      <c r="U768" s="1" t="str">
        <f>IFERROR(__xludf.DUMMYFUNCTION("INDEX(SPLIT(A768, ""/""), 3)"),"هیئت الزهرا (س)")</f>
        <v>هیئت الزهرا (س)</v>
      </c>
      <c r="V768" s="1" t="str">
        <f>IFERROR(__xludf.DUMMYFUNCTION("INDEX(SPLIT(A768, ""/""), 4)"),"منبر")</f>
        <v>منبر</v>
      </c>
    </row>
    <row r="769">
      <c r="A769" s="1" t="s">
        <v>2488</v>
      </c>
      <c r="B769" s="1" t="s">
        <v>2512</v>
      </c>
      <c r="C769" s="1" t="s">
        <v>21</v>
      </c>
      <c r="D769" s="4" t="s">
        <v>2513</v>
      </c>
      <c r="E769" s="1" t="s">
        <v>2289</v>
      </c>
      <c r="F769" s="1" t="s">
        <v>2294</v>
      </c>
      <c r="G769" s="1" t="s">
        <v>2501</v>
      </c>
      <c r="H769" s="1" t="s">
        <v>2514</v>
      </c>
      <c r="I769" s="1" t="str">
        <f t="shared" si="1"/>
        <v>18</v>
      </c>
      <c r="J769" s="5"/>
      <c r="K769" s="1" t="str">
        <f t="shared" si="2"/>
        <v>6</v>
      </c>
      <c r="L769" s="5"/>
      <c r="M769" s="2" t="str">
        <f t="shared" si="3"/>
        <v>1398</v>
      </c>
      <c r="N769" s="5"/>
      <c r="O769" s="2">
        <v>6.0</v>
      </c>
      <c r="P769" s="5"/>
      <c r="Q769" s="5"/>
      <c r="R769" s="6" t="s">
        <v>2514</v>
      </c>
      <c r="S769" s="1" t="s">
        <v>2515</v>
      </c>
      <c r="T769" s="1" t="str">
        <f>IFERROR(__xludf.DUMMYFUNCTION("INDEX(SPLIT(A769, ""/""), 2)"),"تشکل‌های اسلامی و سیاسی")</f>
        <v>تشکل‌های اسلامی و سیاسی</v>
      </c>
      <c r="U769" s="1" t="str">
        <f>IFERROR(__xludf.DUMMYFUNCTION("INDEX(SPLIT(A769, ""/""), 3)"),"هیئت الزهرا (س)")</f>
        <v>هیئت الزهرا (س)</v>
      </c>
      <c r="V769" s="1" t="str">
        <f>IFERROR(__xludf.DUMMYFUNCTION("INDEX(SPLIT(A769, ""/""), 4)"),"منبر")</f>
        <v>منبر</v>
      </c>
    </row>
    <row r="770">
      <c r="A770" s="1" t="s">
        <v>2488</v>
      </c>
      <c r="B770" s="1" t="s">
        <v>2516</v>
      </c>
      <c r="C770" s="1" t="s">
        <v>21</v>
      </c>
      <c r="D770" s="4" t="s">
        <v>2517</v>
      </c>
      <c r="E770" s="1" t="s">
        <v>2289</v>
      </c>
      <c r="F770" s="1" t="s">
        <v>2294</v>
      </c>
      <c r="G770" s="1" t="s">
        <v>2501</v>
      </c>
      <c r="H770" s="1" t="s">
        <v>2518</v>
      </c>
      <c r="I770" s="1" t="str">
        <f t="shared" si="1"/>
        <v>27</v>
      </c>
      <c r="J770" s="5"/>
      <c r="K770" s="1" t="str">
        <f t="shared" si="2"/>
        <v>7</v>
      </c>
      <c r="L770" s="5"/>
      <c r="M770" s="2" t="str">
        <f t="shared" si="3"/>
        <v>1398</v>
      </c>
      <c r="N770" s="5"/>
      <c r="O770" s="2">
        <v>7.0</v>
      </c>
      <c r="P770" s="5"/>
      <c r="Q770" s="5"/>
      <c r="R770" s="6" t="s">
        <v>2518</v>
      </c>
      <c r="S770" s="1" t="s">
        <v>2519</v>
      </c>
      <c r="T770" s="1" t="str">
        <f>IFERROR(__xludf.DUMMYFUNCTION("INDEX(SPLIT(A770, ""/""), 2)"),"تشکل‌های اسلامی و سیاسی")</f>
        <v>تشکل‌های اسلامی و سیاسی</v>
      </c>
      <c r="U770" s="1" t="str">
        <f>IFERROR(__xludf.DUMMYFUNCTION("INDEX(SPLIT(A770, ""/""), 3)"),"هیئت الزهرا (س)")</f>
        <v>هیئت الزهرا (س)</v>
      </c>
      <c r="V770" s="1" t="str">
        <f>IFERROR(__xludf.DUMMYFUNCTION("INDEX(SPLIT(A770, ""/""), 4)"),"منبر")</f>
        <v>منبر</v>
      </c>
    </row>
    <row r="771">
      <c r="A771" s="1" t="s">
        <v>2488</v>
      </c>
      <c r="B771" s="1" t="s">
        <v>2520</v>
      </c>
      <c r="C771" s="1" t="s">
        <v>21</v>
      </c>
      <c r="D771" s="4" t="s">
        <v>2521</v>
      </c>
      <c r="E771" s="1" t="s">
        <v>2289</v>
      </c>
      <c r="F771" s="1" t="s">
        <v>2294</v>
      </c>
      <c r="G771" s="1" t="s">
        <v>2522</v>
      </c>
      <c r="H771" s="7" t="s">
        <v>2523</v>
      </c>
      <c r="I771" s="1" t="str">
        <f t="shared" si="1"/>
        <v>8</v>
      </c>
      <c r="J771" s="5"/>
      <c r="K771" s="1" t="str">
        <f t="shared" si="2"/>
        <v>11</v>
      </c>
      <c r="L771" s="5"/>
      <c r="M771" s="2" t="str">
        <f t="shared" si="3"/>
        <v>1398</v>
      </c>
      <c r="N771" s="5"/>
      <c r="O771" s="2">
        <v>8.0</v>
      </c>
      <c r="P771" s="5"/>
      <c r="Q771" s="5"/>
      <c r="R771" s="8" t="s">
        <v>2523</v>
      </c>
      <c r="S771" s="1" t="s">
        <v>2524</v>
      </c>
      <c r="T771" s="1" t="str">
        <f>IFERROR(__xludf.DUMMYFUNCTION("INDEX(SPLIT(A771, ""/""), 2)"),"تشکل‌های اسلامی و سیاسی")</f>
        <v>تشکل‌های اسلامی و سیاسی</v>
      </c>
      <c r="U771" s="1" t="str">
        <f>IFERROR(__xludf.DUMMYFUNCTION("INDEX(SPLIT(A771, ""/""), 3)"),"هیئت الزهرا (س)")</f>
        <v>هیئت الزهرا (س)</v>
      </c>
      <c r="V771" s="1" t="str">
        <f>IFERROR(__xludf.DUMMYFUNCTION("INDEX(SPLIT(A771, ""/""), 4)"),"منبر")</f>
        <v>منبر</v>
      </c>
    </row>
    <row r="772">
      <c r="A772" s="1" t="s">
        <v>2488</v>
      </c>
      <c r="B772" s="1" t="s">
        <v>2525</v>
      </c>
      <c r="C772" s="1" t="s">
        <v>21</v>
      </c>
      <c r="D772" s="4" t="s">
        <v>2526</v>
      </c>
      <c r="E772" s="1" t="s">
        <v>2289</v>
      </c>
      <c r="F772" s="1" t="s">
        <v>2294</v>
      </c>
      <c r="G772" s="1" t="s">
        <v>2522</v>
      </c>
      <c r="H772" s="7" t="s">
        <v>1828</v>
      </c>
      <c r="I772" s="1" t="str">
        <f t="shared" si="1"/>
        <v>1</v>
      </c>
      <c r="J772" s="5"/>
      <c r="K772" s="1" t="str">
        <f t="shared" si="2"/>
        <v>2</v>
      </c>
      <c r="L772" s="5"/>
      <c r="M772" s="2" t="str">
        <f t="shared" si="3"/>
        <v>1399</v>
      </c>
      <c r="N772" s="5"/>
      <c r="O772" s="2">
        <v>9.0</v>
      </c>
      <c r="P772" s="5"/>
      <c r="Q772" s="5"/>
      <c r="R772" s="8" t="s">
        <v>1828</v>
      </c>
      <c r="S772" s="1" t="s">
        <v>2527</v>
      </c>
      <c r="T772" s="1" t="str">
        <f>IFERROR(__xludf.DUMMYFUNCTION("INDEX(SPLIT(A772, ""/""), 2)"),"تشکل‌های اسلامی و سیاسی")</f>
        <v>تشکل‌های اسلامی و سیاسی</v>
      </c>
      <c r="U772" s="1" t="str">
        <f>IFERROR(__xludf.DUMMYFUNCTION("INDEX(SPLIT(A772, ""/""), 3)"),"هیئت الزهرا (س)")</f>
        <v>هیئت الزهرا (س)</v>
      </c>
      <c r="V772" s="1" t="str">
        <f>IFERROR(__xludf.DUMMYFUNCTION("INDEX(SPLIT(A772, ""/""), 4)"),"منبر")</f>
        <v>منبر</v>
      </c>
    </row>
    <row r="773">
      <c r="A773" s="1" t="s">
        <v>2488</v>
      </c>
      <c r="B773" s="1" t="s">
        <v>2528</v>
      </c>
      <c r="C773" s="1" t="s">
        <v>21</v>
      </c>
      <c r="D773" s="4" t="s">
        <v>2529</v>
      </c>
      <c r="E773" s="1" t="s">
        <v>2289</v>
      </c>
      <c r="F773" s="1" t="s">
        <v>2294</v>
      </c>
      <c r="G773" s="1" t="s">
        <v>2522</v>
      </c>
      <c r="H773" s="1" t="s">
        <v>371</v>
      </c>
      <c r="I773" s="1" t="str">
        <f t="shared" si="1"/>
        <v>x</v>
      </c>
      <c r="J773" s="5"/>
      <c r="K773" s="1" t="str">
        <f t="shared" si="2"/>
        <v>2</v>
      </c>
      <c r="L773" s="5"/>
      <c r="M773" s="2" t="str">
        <f t="shared" si="3"/>
        <v>1399</v>
      </c>
      <c r="N773" s="5"/>
      <c r="O773" s="2">
        <v>10.0</v>
      </c>
      <c r="P773" s="1" t="s">
        <v>2530</v>
      </c>
      <c r="Q773" s="7" t="s">
        <v>2531</v>
      </c>
      <c r="R773" s="8" t="s">
        <v>2532</v>
      </c>
      <c r="S773" s="1" t="s">
        <v>2533</v>
      </c>
      <c r="T773" s="1" t="str">
        <f>IFERROR(__xludf.DUMMYFUNCTION("INDEX(SPLIT(A773, ""/""), 2)"),"تشکل‌های اسلامی و سیاسی")</f>
        <v>تشکل‌های اسلامی و سیاسی</v>
      </c>
      <c r="U773" s="1" t="str">
        <f>IFERROR(__xludf.DUMMYFUNCTION("INDEX(SPLIT(A773, ""/""), 3)"),"هیئت الزهرا (س)")</f>
        <v>هیئت الزهرا (س)</v>
      </c>
      <c r="V773" s="1" t="str">
        <f>IFERROR(__xludf.DUMMYFUNCTION("INDEX(SPLIT(A773, ""/""), 4)"),"منبر")</f>
        <v>منبر</v>
      </c>
    </row>
    <row r="774">
      <c r="A774" s="1" t="s">
        <v>2488</v>
      </c>
      <c r="B774" s="1" t="s">
        <v>2534</v>
      </c>
      <c r="C774" s="1" t="s">
        <v>21</v>
      </c>
      <c r="D774" s="4" t="s">
        <v>2535</v>
      </c>
      <c r="E774" s="1" t="s">
        <v>2289</v>
      </c>
      <c r="F774" s="1" t="s">
        <v>2294</v>
      </c>
      <c r="G774" s="1" t="s">
        <v>2536</v>
      </c>
      <c r="H774" s="1" t="s">
        <v>2537</v>
      </c>
      <c r="I774" s="1" t="str">
        <f t="shared" si="1"/>
        <v>18</v>
      </c>
      <c r="J774" s="5"/>
      <c r="K774" s="1" t="str">
        <f t="shared" si="2"/>
        <v>5</v>
      </c>
      <c r="L774" s="5"/>
      <c r="M774" s="2" t="str">
        <f t="shared" si="3"/>
        <v>1399</v>
      </c>
      <c r="N774" s="5"/>
      <c r="O774" s="2">
        <v>11.0</v>
      </c>
      <c r="P774" s="5"/>
      <c r="Q774" s="5"/>
      <c r="R774" s="6" t="s">
        <v>2537</v>
      </c>
      <c r="S774" s="1" t="s">
        <v>2538</v>
      </c>
      <c r="T774" s="1" t="str">
        <f>IFERROR(__xludf.DUMMYFUNCTION("INDEX(SPLIT(A774, ""/""), 2)"),"تشکل‌های اسلامی و سیاسی")</f>
        <v>تشکل‌های اسلامی و سیاسی</v>
      </c>
      <c r="U774" s="1" t="str">
        <f>IFERROR(__xludf.DUMMYFUNCTION("INDEX(SPLIT(A774, ""/""), 3)"),"هیئت الزهرا (س)")</f>
        <v>هیئت الزهرا (س)</v>
      </c>
      <c r="V774" s="1" t="str">
        <f>IFERROR(__xludf.DUMMYFUNCTION("INDEX(SPLIT(A774, ""/""), 4)"),"منبر")</f>
        <v>منبر</v>
      </c>
    </row>
    <row r="775">
      <c r="A775" s="1" t="s">
        <v>2488</v>
      </c>
      <c r="B775" s="1" t="s">
        <v>2539</v>
      </c>
      <c r="C775" s="1" t="s">
        <v>21</v>
      </c>
      <c r="D775" s="4" t="s">
        <v>2540</v>
      </c>
      <c r="E775" s="1" t="s">
        <v>2289</v>
      </c>
      <c r="F775" s="1" t="s">
        <v>2294</v>
      </c>
      <c r="G775" s="1" t="s">
        <v>2536</v>
      </c>
      <c r="H775" s="7" t="s">
        <v>1828</v>
      </c>
      <c r="I775" s="1" t="str">
        <f t="shared" si="1"/>
        <v>1</v>
      </c>
      <c r="J775" s="5"/>
      <c r="K775" s="1" t="str">
        <f t="shared" si="2"/>
        <v>2</v>
      </c>
      <c r="L775" s="5"/>
      <c r="M775" s="2" t="str">
        <f t="shared" si="3"/>
        <v>1399</v>
      </c>
      <c r="N775" s="5"/>
      <c r="O775" s="2">
        <v>12.0</v>
      </c>
      <c r="P775" s="5"/>
      <c r="Q775" s="5"/>
      <c r="R775" s="8" t="s">
        <v>1828</v>
      </c>
      <c r="S775" s="1" t="s">
        <v>2541</v>
      </c>
      <c r="T775" s="1" t="str">
        <f>IFERROR(__xludf.DUMMYFUNCTION("INDEX(SPLIT(A775, ""/""), 2)"),"تشکل‌های اسلامی و سیاسی")</f>
        <v>تشکل‌های اسلامی و سیاسی</v>
      </c>
      <c r="U775" s="1" t="str">
        <f>IFERROR(__xludf.DUMMYFUNCTION("INDEX(SPLIT(A775, ""/""), 3)"),"هیئت الزهرا (س)")</f>
        <v>هیئت الزهرا (س)</v>
      </c>
      <c r="V775" s="1" t="str">
        <f>IFERROR(__xludf.DUMMYFUNCTION("INDEX(SPLIT(A775, ""/""), 4)"),"منبر")</f>
        <v>منبر</v>
      </c>
    </row>
    <row r="776">
      <c r="A776" s="1" t="s">
        <v>2488</v>
      </c>
      <c r="B776" s="1" t="s">
        <v>2542</v>
      </c>
      <c r="C776" s="1" t="s">
        <v>21</v>
      </c>
      <c r="D776" s="4" t="s">
        <v>2543</v>
      </c>
      <c r="E776" s="1" t="s">
        <v>2289</v>
      </c>
      <c r="F776" s="1" t="s">
        <v>2294</v>
      </c>
      <c r="G776" s="1" t="s">
        <v>2536</v>
      </c>
      <c r="H776" s="7" t="s">
        <v>2544</v>
      </c>
      <c r="I776" s="1" t="str">
        <f t="shared" si="1"/>
        <v>3</v>
      </c>
      <c r="J776" s="5"/>
      <c r="K776" s="1" t="str">
        <f t="shared" si="2"/>
        <v>2</v>
      </c>
      <c r="L776" s="5"/>
      <c r="M776" s="2" t="str">
        <f t="shared" si="3"/>
        <v>1399</v>
      </c>
      <c r="N776" s="5"/>
      <c r="O776" s="2">
        <v>13.0</v>
      </c>
      <c r="P776" s="5"/>
      <c r="Q776" s="5"/>
      <c r="R776" s="8" t="s">
        <v>2544</v>
      </c>
      <c r="S776" s="1" t="s">
        <v>2545</v>
      </c>
      <c r="T776" s="1" t="str">
        <f>IFERROR(__xludf.DUMMYFUNCTION("INDEX(SPLIT(A776, ""/""), 2)"),"تشکل‌های اسلامی و سیاسی")</f>
        <v>تشکل‌های اسلامی و سیاسی</v>
      </c>
      <c r="U776" s="1" t="str">
        <f>IFERROR(__xludf.DUMMYFUNCTION("INDEX(SPLIT(A776, ""/""), 3)"),"هیئت الزهرا (س)")</f>
        <v>هیئت الزهرا (س)</v>
      </c>
      <c r="V776" s="1" t="str">
        <f>IFERROR(__xludf.DUMMYFUNCTION("INDEX(SPLIT(A776, ""/""), 4)"),"منبر")</f>
        <v>منبر</v>
      </c>
    </row>
    <row r="777">
      <c r="A777" s="1" t="s">
        <v>2488</v>
      </c>
      <c r="B777" s="1" t="s">
        <v>2546</v>
      </c>
      <c r="C777" s="1" t="s">
        <v>21</v>
      </c>
      <c r="D777" s="4" t="s">
        <v>2547</v>
      </c>
      <c r="E777" s="1" t="s">
        <v>2289</v>
      </c>
      <c r="F777" s="1" t="s">
        <v>2294</v>
      </c>
      <c r="G777" s="1" t="s">
        <v>2536</v>
      </c>
      <c r="H777" s="7" t="s">
        <v>2548</v>
      </c>
      <c r="I777" s="1" t="str">
        <f t="shared" si="1"/>
        <v>5</v>
      </c>
      <c r="J777" s="5"/>
      <c r="K777" s="1" t="str">
        <f t="shared" si="2"/>
        <v>2</v>
      </c>
      <c r="L777" s="5"/>
      <c r="M777" s="2" t="str">
        <f t="shared" si="3"/>
        <v>1399</v>
      </c>
      <c r="N777" s="5"/>
      <c r="O777" s="2">
        <v>14.0</v>
      </c>
      <c r="P777" s="5"/>
      <c r="Q777" s="5"/>
      <c r="R777" s="8" t="s">
        <v>2548</v>
      </c>
      <c r="S777" s="1" t="s">
        <v>2549</v>
      </c>
      <c r="T777" s="1" t="str">
        <f>IFERROR(__xludf.DUMMYFUNCTION("INDEX(SPLIT(A777, ""/""), 2)"),"تشکل‌های اسلامی و سیاسی")</f>
        <v>تشکل‌های اسلامی و سیاسی</v>
      </c>
      <c r="U777" s="1" t="str">
        <f>IFERROR(__xludf.DUMMYFUNCTION("INDEX(SPLIT(A777, ""/""), 3)"),"هیئت الزهرا (س)")</f>
        <v>هیئت الزهرا (س)</v>
      </c>
      <c r="V777" s="1" t="str">
        <f>IFERROR(__xludf.DUMMYFUNCTION("INDEX(SPLIT(A777, ""/""), 4)"),"منبر")</f>
        <v>منبر</v>
      </c>
    </row>
    <row r="778">
      <c r="A778" s="1" t="s">
        <v>2488</v>
      </c>
      <c r="B778" s="1" t="s">
        <v>2550</v>
      </c>
      <c r="C778" s="1" t="s">
        <v>21</v>
      </c>
      <c r="D778" s="4" t="s">
        <v>2551</v>
      </c>
      <c r="E778" s="1" t="s">
        <v>2289</v>
      </c>
      <c r="F778" s="1" t="s">
        <v>2294</v>
      </c>
      <c r="G778" s="1" t="s">
        <v>2536</v>
      </c>
      <c r="H778" s="7" t="s">
        <v>2552</v>
      </c>
      <c r="I778" s="1" t="str">
        <f t="shared" si="1"/>
        <v>7</v>
      </c>
      <c r="J778" s="5"/>
      <c r="K778" s="1" t="str">
        <f t="shared" si="2"/>
        <v>2</v>
      </c>
      <c r="L778" s="5"/>
      <c r="M778" s="2" t="str">
        <f t="shared" si="3"/>
        <v>1399</v>
      </c>
      <c r="N778" s="5"/>
      <c r="O778" s="2">
        <v>15.0</v>
      </c>
      <c r="P778" s="5"/>
      <c r="Q778" s="5"/>
      <c r="R778" s="8" t="s">
        <v>2552</v>
      </c>
      <c r="S778" s="1" t="s">
        <v>2553</v>
      </c>
      <c r="T778" s="1" t="str">
        <f>IFERROR(__xludf.DUMMYFUNCTION("INDEX(SPLIT(A778, ""/""), 2)"),"تشکل‌های اسلامی و سیاسی")</f>
        <v>تشکل‌های اسلامی و سیاسی</v>
      </c>
      <c r="U778" s="1" t="str">
        <f>IFERROR(__xludf.DUMMYFUNCTION("INDEX(SPLIT(A778, ""/""), 3)"),"هیئت الزهرا (س)")</f>
        <v>هیئت الزهرا (س)</v>
      </c>
      <c r="V778" s="1" t="str">
        <f>IFERROR(__xludf.DUMMYFUNCTION("INDEX(SPLIT(A778, ""/""), 4)"),"منبر")</f>
        <v>منبر</v>
      </c>
    </row>
    <row r="779">
      <c r="A779" s="1" t="s">
        <v>2488</v>
      </c>
      <c r="B779" s="1" t="s">
        <v>2554</v>
      </c>
      <c r="C779" s="1" t="s">
        <v>21</v>
      </c>
      <c r="D779" s="4" t="s">
        <v>2555</v>
      </c>
      <c r="E779" s="1" t="s">
        <v>2289</v>
      </c>
      <c r="F779" s="1" t="s">
        <v>2522</v>
      </c>
      <c r="G779" s="1" t="s">
        <v>2536</v>
      </c>
      <c r="H779" s="1" t="s">
        <v>2556</v>
      </c>
      <c r="I779" s="1" t="str">
        <f t="shared" si="1"/>
        <v>28</v>
      </c>
      <c r="J779" s="5"/>
      <c r="K779" s="1" t="str">
        <f t="shared" si="2"/>
        <v>10</v>
      </c>
      <c r="L779" s="5"/>
      <c r="M779" s="2" t="str">
        <f t="shared" si="3"/>
        <v>1399</v>
      </c>
      <c r="N779" s="5"/>
      <c r="O779" s="2">
        <v>16.0</v>
      </c>
      <c r="P779" s="5"/>
      <c r="Q779" s="5"/>
      <c r="R779" s="6" t="s">
        <v>2556</v>
      </c>
      <c r="S779" s="1" t="s">
        <v>2557</v>
      </c>
      <c r="T779" s="1" t="str">
        <f>IFERROR(__xludf.DUMMYFUNCTION("INDEX(SPLIT(A779, ""/""), 2)"),"تشکل‌های اسلامی و سیاسی")</f>
        <v>تشکل‌های اسلامی و سیاسی</v>
      </c>
      <c r="U779" s="1" t="str">
        <f>IFERROR(__xludf.DUMMYFUNCTION("INDEX(SPLIT(A779, ""/""), 3)"),"هیئت الزهرا (س)")</f>
        <v>هیئت الزهرا (س)</v>
      </c>
      <c r="V779" s="1" t="str">
        <f>IFERROR(__xludf.DUMMYFUNCTION("INDEX(SPLIT(A779, ""/""), 4)"),"منبر")</f>
        <v>منبر</v>
      </c>
    </row>
    <row r="780">
      <c r="A780" s="1" t="s">
        <v>2488</v>
      </c>
      <c r="B780" s="1" t="s">
        <v>2558</v>
      </c>
      <c r="C780" s="1" t="s">
        <v>21</v>
      </c>
      <c r="D780" s="4" t="s">
        <v>2559</v>
      </c>
      <c r="E780" s="1" t="s">
        <v>2289</v>
      </c>
      <c r="F780" s="1" t="s">
        <v>2522</v>
      </c>
      <c r="G780" s="1" t="s">
        <v>2536</v>
      </c>
      <c r="H780" s="1" t="s">
        <v>66</v>
      </c>
      <c r="I780" s="1" t="str">
        <f t="shared" si="1"/>
        <v>x</v>
      </c>
      <c r="J780" s="1">
        <v>1.0</v>
      </c>
      <c r="K780" s="1" t="str">
        <f t="shared" si="2"/>
        <v>3</v>
      </c>
      <c r="L780" s="5"/>
      <c r="M780" s="2" t="str">
        <f t="shared" si="3"/>
        <v>1400</v>
      </c>
      <c r="N780" s="5"/>
      <c r="O780" s="2">
        <v>17.0</v>
      </c>
      <c r="P780" s="5"/>
      <c r="Q780" s="5"/>
      <c r="R780" s="6" t="s">
        <v>67</v>
      </c>
      <c r="S780" s="1"/>
      <c r="T780" s="1" t="str">
        <f>IFERROR(__xludf.DUMMYFUNCTION("INDEX(SPLIT(A780, ""/""), 2)"),"تشکل‌های اسلامی و سیاسی")</f>
        <v>تشکل‌های اسلامی و سیاسی</v>
      </c>
      <c r="U780" s="1" t="str">
        <f>IFERROR(__xludf.DUMMYFUNCTION("INDEX(SPLIT(A780, ""/""), 3)"),"هیئت الزهرا (س)")</f>
        <v>هیئت الزهرا (س)</v>
      </c>
      <c r="V780" s="1" t="str">
        <f>IFERROR(__xludf.DUMMYFUNCTION("INDEX(SPLIT(A780, ""/""), 4)"),"منبر")</f>
        <v>منبر</v>
      </c>
    </row>
    <row r="781">
      <c r="A781" s="1" t="s">
        <v>2488</v>
      </c>
      <c r="B781" s="1" t="s">
        <v>2560</v>
      </c>
      <c r="C781" s="1" t="s">
        <v>21</v>
      </c>
      <c r="D781" s="4" t="s">
        <v>2561</v>
      </c>
      <c r="E781" s="1" t="s">
        <v>2289</v>
      </c>
      <c r="F781" s="1" t="s">
        <v>2359</v>
      </c>
      <c r="G781" s="1" t="s">
        <v>2562</v>
      </c>
      <c r="H781" s="1" t="s">
        <v>742</v>
      </c>
      <c r="I781" s="1" t="str">
        <f t="shared" si="1"/>
        <v>x</v>
      </c>
      <c r="J781" s="5"/>
      <c r="K781" s="1" t="str">
        <f t="shared" si="2"/>
        <v>x</v>
      </c>
      <c r="L781" s="5"/>
      <c r="M781" s="2" t="str">
        <f t="shared" si="3"/>
        <v>1400</v>
      </c>
      <c r="N781" s="5"/>
      <c r="O781" s="2">
        <v>18.0</v>
      </c>
      <c r="P781" s="1" t="s">
        <v>2563</v>
      </c>
      <c r="Q781" s="1" t="s">
        <v>2564</v>
      </c>
      <c r="R781" s="8" t="s">
        <v>2565</v>
      </c>
      <c r="S781" s="1" t="s">
        <v>2566</v>
      </c>
      <c r="T781" s="1" t="str">
        <f>IFERROR(__xludf.DUMMYFUNCTION("INDEX(SPLIT(A781, ""/""), 2)"),"تشکل‌های اسلامی و سیاسی")</f>
        <v>تشکل‌های اسلامی و سیاسی</v>
      </c>
      <c r="U781" s="1" t="str">
        <f>IFERROR(__xludf.DUMMYFUNCTION("INDEX(SPLIT(A781, ""/""), 3)"),"هیئت الزهرا (س)")</f>
        <v>هیئت الزهرا (س)</v>
      </c>
      <c r="V781" s="1" t="str">
        <f>IFERROR(__xludf.DUMMYFUNCTION("INDEX(SPLIT(A781, ""/""), 4)"),"منبر")</f>
        <v>منبر</v>
      </c>
    </row>
    <row r="782">
      <c r="A782" s="1" t="s">
        <v>2488</v>
      </c>
      <c r="B782" s="1" t="s">
        <v>2567</v>
      </c>
      <c r="C782" s="1" t="s">
        <v>21</v>
      </c>
      <c r="D782" s="4" t="s">
        <v>2568</v>
      </c>
      <c r="E782" s="1" t="s">
        <v>2289</v>
      </c>
      <c r="F782" s="1" t="s">
        <v>2359</v>
      </c>
      <c r="G782" s="1" t="s">
        <v>2562</v>
      </c>
      <c r="H782" s="1" t="s">
        <v>138</v>
      </c>
      <c r="I782" s="1" t="str">
        <f t="shared" si="1"/>
        <v>x</v>
      </c>
      <c r="J782" s="5"/>
      <c r="K782" s="1" t="str">
        <f t="shared" si="2"/>
        <v>8</v>
      </c>
      <c r="L782" s="5"/>
      <c r="M782" s="2" t="str">
        <f t="shared" si="3"/>
        <v>1400</v>
      </c>
      <c r="N782" s="5"/>
      <c r="O782" s="2">
        <v>19.0</v>
      </c>
      <c r="P782" s="5"/>
      <c r="Q782" s="5"/>
      <c r="R782" s="6" t="s">
        <v>139</v>
      </c>
      <c r="S782" s="1" t="s">
        <v>2569</v>
      </c>
      <c r="T782" s="1" t="str">
        <f>IFERROR(__xludf.DUMMYFUNCTION("INDEX(SPLIT(A782, ""/""), 2)"),"تشکل‌های اسلامی و سیاسی")</f>
        <v>تشکل‌های اسلامی و سیاسی</v>
      </c>
      <c r="U782" s="1" t="str">
        <f>IFERROR(__xludf.DUMMYFUNCTION("INDEX(SPLIT(A782, ""/""), 3)"),"هیئت الزهرا (س)")</f>
        <v>هیئت الزهرا (س)</v>
      </c>
      <c r="V782" s="1" t="str">
        <f>IFERROR(__xludf.DUMMYFUNCTION("INDEX(SPLIT(A782, ""/""), 4)"),"منبر")</f>
        <v>منبر</v>
      </c>
    </row>
    <row r="783">
      <c r="A783" s="1" t="s">
        <v>2488</v>
      </c>
      <c r="B783" s="1" t="s">
        <v>2570</v>
      </c>
      <c r="C783" s="1" t="s">
        <v>21</v>
      </c>
      <c r="D783" s="4" t="s">
        <v>2571</v>
      </c>
      <c r="E783" s="1" t="s">
        <v>2289</v>
      </c>
      <c r="F783" s="1" t="s">
        <v>2359</v>
      </c>
      <c r="G783" s="1" t="s">
        <v>2562</v>
      </c>
      <c r="H783" s="1" t="s">
        <v>712</v>
      </c>
      <c r="I783" s="1" t="str">
        <f t="shared" si="1"/>
        <v>x</v>
      </c>
      <c r="J783" s="1">
        <v>2.0</v>
      </c>
      <c r="K783" s="1" t="str">
        <f t="shared" si="2"/>
        <v>10</v>
      </c>
      <c r="L783" s="5"/>
      <c r="M783" s="2" t="str">
        <f t="shared" si="3"/>
        <v>1400</v>
      </c>
      <c r="N783" s="5"/>
      <c r="O783" s="2">
        <v>20.0</v>
      </c>
      <c r="P783" s="5"/>
      <c r="Q783" s="5"/>
      <c r="R783" s="6" t="s">
        <v>713</v>
      </c>
      <c r="S783" s="1" t="s">
        <v>2572</v>
      </c>
      <c r="T783" s="1" t="str">
        <f>IFERROR(__xludf.DUMMYFUNCTION("INDEX(SPLIT(A783, ""/""), 2)"),"تشکل‌های اسلامی و سیاسی")</f>
        <v>تشکل‌های اسلامی و سیاسی</v>
      </c>
      <c r="U783" s="1" t="str">
        <f>IFERROR(__xludf.DUMMYFUNCTION("INDEX(SPLIT(A783, ""/""), 3)"),"هیئت الزهرا (س)")</f>
        <v>هیئت الزهرا (س)</v>
      </c>
      <c r="V783" s="1" t="str">
        <f>IFERROR(__xludf.DUMMYFUNCTION("INDEX(SPLIT(A783, ""/""), 4)"),"منبر")</f>
        <v>منبر</v>
      </c>
    </row>
    <row r="784">
      <c r="A784" s="1" t="s">
        <v>2488</v>
      </c>
      <c r="B784" s="1" t="s">
        <v>2573</v>
      </c>
      <c r="C784" s="1" t="s">
        <v>21</v>
      </c>
      <c r="D784" s="4" t="s">
        <v>2574</v>
      </c>
      <c r="E784" s="1" t="s">
        <v>2289</v>
      </c>
      <c r="F784" s="1" t="s">
        <v>2359</v>
      </c>
      <c r="G784" s="1" t="s">
        <v>2562</v>
      </c>
      <c r="H784" s="1" t="s">
        <v>712</v>
      </c>
      <c r="I784" s="1" t="str">
        <f t="shared" si="1"/>
        <v>x</v>
      </c>
      <c r="J784" s="1">
        <v>2.0</v>
      </c>
      <c r="K784" s="1" t="str">
        <f t="shared" si="2"/>
        <v>10</v>
      </c>
      <c r="L784" s="5"/>
      <c r="M784" s="2" t="str">
        <f t="shared" si="3"/>
        <v>1400</v>
      </c>
      <c r="N784" s="5"/>
      <c r="O784" s="2">
        <v>21.0</v>
      </c>
      <c r="P784" s="5"/>
      <c r="Q784" s="5"/>
      <c r="R784" s="6" t="s">
        <v>713</v>
      </c>
      <c r="S784" s="1" t="s">
        <v>2572</v>
      </c>
      <c r="T784" s="1" t="str">
        <f>IFERROR(__xludf.DUMMYFUNCTION("INDEX(SPLIT(A784, ""/""), 2)"),"تشکل‌های اسلامی و سیاسی")</f>
        <v>تشکل‌های اسلامی و سیاسی</v>
      </c>
      <c r="U784" s="1" t="str">
        <f>IFERROR(__xludf.DUMMYFUNCTION("INDEX(SPLIT(A784, ""/""), 3)"),"هیئت الزهرا (س)")</f>
        <v>هیئت الزهرا (س)</v>
      </c>
      <c r="V784" s="1" t="str">
        <f>IFERROR(__xludf.DUMMYFUNCTION("INDEX(SPLIT(A784, ""/""), 4)"),"منبر")</f>
        <v>منبر</v>
      </c>
    </row>
    <row r="785">
      <c r="A785" s="1" t="s">
        <v>2488</v>
      </c>
      <c r="B785" s="1" t="s">
        <v>2575</v>
      </c>
      <c r="C785" s="1" t="s">
        <v>21</v>
      </c>
      <c r="D785" s="4" t="s">
        <v>2576</v>
      </c>
      <c r="E785" s="1" t="s">
        <v>2289</v>
      </c>
      <c r="F785" s="1" t="s">
        <v>2359</v>
      </c>
      <c r="G785" s="1" t="s">
        <v>2562</v>
      </c>
      <c r="H785" s="1" t="s">
        <v>142</v>
      </c>
      <c r="I785" s="1" t="str">
        <f t="shared" si="1"/>
        <v>x</v>
      </c>
      <c r="J785" s="5"/>
      <c r="K785" s="1" t="str">
        <f t="shared" si="2"/>
        <v>12</v>
      </c>
      <c r="L785" s="5"/>
      <c r="M785" s="2" t="str">
        <f t="shared" si="3"/>
        <v>1400</v>
      </c>
      <c r="N785" s="5"/>
      <c r="O785" s="2">
        <v>22.0</v>
      </c>
      <c r="P785" s="5"/>
      <c r="Q785" s="5"/>
      <c r="R785" s="6" t="s">
        <v>143</v>
      </c>
      <c r="S785" s="1"/>
      <c r="T785" s="1" t="str">
        <f>IFERROR(__xludf.DUMMYFUNCTION("INDEX(SPLIT(A785, ""/""), 2)"),"تشکل‌های اسلامی و سیاسی")</f>
        <v>تشکل‌های اسلامی و سیاسی</v>
      </c>
      <c r="U785" s="1" t="str">
        <f>IFERROR(__xludf.DUMMYFUNCTION("INDEX(SPLIT(A785, ""/""), 3)"),"هیئت الزهرا (س)")</f>
        <v>هیئت الزهرا (س)</v>
      </c>
      <c r="V785" s="1" t="str">
        <f>IFERROR(__xludf.DUMMYFUNCTION("INDEX(SPLIT(A785, ""/""), 4)"),"منبر")</f>
        <v>منبر</v>
      </c>
    </row>
    <row r="786">
      <c r="A786" s="1" t="s">
        <v>2488</v>
      </c>
      <c r="B786" s="1" t="s">
        <v>2577</v>
      </c>
      <c r="C786" s="1" t="s">
        <v>21</v>
      </c>
      <c r="D786" s="4" t="s">
        <v>2578</v>
      </c>
      <c r="E786" s="1" t="s">
        <v>2289</v>
      </c>
      <c r="F786" s="1" t="s">
        <v>2359</v>
      </c>
      <c r="G786" s="1" t="s">
        <v>2579</v>
      </c>
      <c r="H786" s="1" t="s">
        <v>209</v>
      </c>
      <c r="I786" s="1" t="str">
        <f t="shared" si="1"/>
        <v>x</v>
      </c>
      <c r="J786" s="1">
        <v>1.0</v>
      </c>
      <c r="K786" s="1" t="str">
        <f t="shared" si="2"/>
        <v>10</v>
      </c>
      <c r="L786" s="1"/>
      <c r="M786" s="2" t="str">
        <f t="shared" si="3"/>
        <v>1401</v>
      </c>
      <c r="N786" s="5"/>
      <c r="O786" s="2">
        <v>23.0</v>
      </c>
      <c r="P786" s="5"/>
      <c r="Q786" s="5"/>
      <c r="R786" s="6" t="s">
        <v>210</v>
      </c>
      <c r="S786" s="1" t="s">
        <v>2580</v>
      </c>
      <c r="T786" s="1" t="str">
        <f>IFERROR(__xludf.DUMMYFUNCTION("INDEX(SPLIT(A786, ""/""), 2)"),"تشکل‌های اسلامی و سیاسی")</f>
        <v>تشکل‌های اسلامی و سیاسی</v>
      </c>
      <c r="U786" s="1" t="str">
        <f>IFERROR(__xludf.DUMMYFUNCTION("INDEX(SPLIT(A786, ""/""), 3)"),"هیئت الزهرا (س)")</f>
        <v>هیئت الزهرا (س)</v>
      </c>
      <c r="V786" s="1" t="str">
        <f>IFERROR(__xludf.DUMMYFUNCTION("INDEX(SPLIT(A786, ""/""), 4)"),"منبر")</f>
        <v>منبر</v>
      </c>
    </row>
    <row r="787">
      <c r="A787" s="1" t="s">
        <v>2488</v>
      </c>
      <c r="B787" s="1" t="s">
        <v>2581</v>
      </c>
      <c r="C787" s="1" t="s">
        <v>21</v>
      </c>
      <c r="D787" s="4" t="s">
        <v>2582</v>
      </c>
      <c r="E787" s="1" t="s">
        <v>2289</v>
      </c>
      <c r="F787" s="1" t="s">
        <v>2359</v>
      </c>
      <c r="G787" s="1" t="s">
        <v>2579</v>
      </c>
      <c r="H787" s="1" t="s">
        <v>209</v>
      </c>
      <c r="I787" s="1" t="str">
        <f t="shared" si="1"/>
        <v>x</v>
      </c>
      <c r="J787" s="1">
        <v>2.0</v>
      </c>
      <c r="K787" s="1" t="str">
        <f t="shared" si="2"/>
        <v>10</v>
      </c>
      <c r="L787" s="1"/>
      <c r="M787" s="2" t="str">
        <f t="shared" si="3"/>
        <v>1401</v>
      </c>
      <c r="N787" s="5"/>
      <c r="O787" s="2">
        <v>24.0</v>
      </c>
      <c r="P787" s="5"/>
      <c r="Q787" s="5"/>
      <c r="R787" s="6" t="s">
        <v>210</v>
      </c>
      <c r="S787" s="1" t="s">
        <v>2580</v>
      </c>
      <c r="T787" s="1" t="str">
        <f>IFERROR(__xludf.DUMMYFUNCTION("INDEX(SPLIT(A787, ""/""), 2)"),"تشکل‌های اسلامی و سیاسی")</f>
        <v>تشکل‌های اسلامی و سیاسی</v>
      </c>
      <c r="U787" s="1" t="str">
        <f>IFERROR(__xludf.DUMMYFUNCTION("INDEX(SPLIT(A787, ""/""), 3)"),"هیئت الزهرا (س)")</f>
        <v>هیئت الزهرا (س)</v>
      </c>
      <c r="V787" s="1" t="str">
        <f>IFERROR(__xludf.DUMMYFUNCTION("INDEX(SPLIT(A787, ""/""), 4)"),"منبر")</f>
        <v>منبر</v>
      </c>
    </row>
    <row r="788">
      <c r="A788" s="1" t="s">
        <v>2488</v>
      </c>
      <c r="B788" s="1" t="s">
        <v>2583</v>
      </c>
      <c r="C788" s="1" t="s">
        <v>21</v>
      </c>
      <c r="D788" s="4" t="s">
        <v>2584</v>
      </c>
      <c r="E788" s="1" t="s">
        <v>2289</v>
      </c>
      <c r="F788" s="1" t="s">
        <v>2359</v>
      </c>
      <c r="G788" s="1" t="s">
        <v>2579</v>
      </c>
      <c r="H788" s="1" t="s">
        <v>2585</v>
      </c>
      <c r="I788" s="1" t="str">
        <f t="shared" si="1"/>
        <v>16</v>
      </c>
      <c r="J788" s="5"/>
      <c r="K788" s="1" t="str">
        <f t="shared" si="2"/>
        <v>12</v>
      </c>
      <c r="L788" s="5"/>
      <c r="M788" s="2" t="str">
        <f t="shared" si="3"/>
        <v>1401</v>
      </c>
      <c r="N788" s="5"/>
      <c r="O788" s="2">
        <v>25.0</v>
      </c>
      <c r="P788" s="5"/>
      <c r="Q788" s="5"/>
      <c r="R788" s="6" t="s">
        <v>2585</v>
      </c>
      <c r="S788" s="1" t="s">
        <v>2586</v>
      </c>
      <c r="T788" s="1" t="str">
        <f>IFERROR(__xludf.DUMMYFUNCTION("INDEX(SPLIT(A788, ""/""), 2)"),"تشکل‌های اسلامی و سیاسی")</f>
        <v>تشکل‌های اسلامی و سیاسی</v>
      </c>
      <c r="U788" s="1" t="str">
        <f>IFERROR(__xludf.DUMMYFUNCTION("INDEX(SPLIT(A788, ""/""), 3)"),"هیئت الزهرا (س)")</f>
        <v>هیئت الزهرا (س)</v>
      </c>
      <c r="V788" s="1" t="str">
        <f>IFERROR(__xludf.DUMMYFUNCTION("INDEX(SPLIT(A788, ""/""), 4)"),"منبر")</f>
        <v>منبر</v>
      </c>
    </row>
    <row r="789">
      <c r="A789" s="1" t="s">
        <v>2488</v>
      </c>
      <c r="B789" s="1" t="s">
        <v>2587</v>
      </c>
      <c r="C789" s="1" t="s">
        <v>21</v>
      </c>
      <c r="D789" s="4" t="s">
        <v>2588</v>
      </c>
      <c r="E789" s="1" t="s">
        <v>2289</v>
      </c>
      <c r="F789" s="1" t="s">
        <v>2359</v>
      </c>
      <c r="G789" s="1" t="s">
        <v>2579</v>
      </c>
      <c r="H789" s="1" t="s">
        <v>447</v>
      </c>
      <c r="I789" s="1" t="str">
        <f t="shared" si="1"/>
        <v>x</v>
      </c>
      <c r="J789" s="5"/>
      <c r="K789" s="1" t="str">
        <f t="shared" si="2"/>
        <v>1</v>
      </c>
      <c r="L789" s="5"/>
      <c r="M789" s="2" t="str">
        <f t="shared" si="3"/>
        <v>1402</v>
      </c>
      <c r="N789" s="5"/>
      <c r="O789" s="2">
        <v>26.0</v>
      </c>
      <c r="P789" s="5"/>
      <c r="Q789" s="5"/>
      <c r="R789" s="6" t="s">
        <v>448</v>
      </c>
      <c r="S789" s="1" t="s">
        <v>2589</v>
      </c>
      <c r="T789" s="1" t="str">
        <f>IFERROR(__xludf.DUMMYFUNCTION("INDEX(SPLIT(A789, ""/""), 2)"),"تشکل‌های اسلامی و سیاسی")</f>
        <v>تشکل‌های اسلامی و سیاسی</v>
      </c>
      <c r="U789" s="1" t="str">
        <f>IFERROR(__xludf.DUMMYFUNCTION("INDEX(SPLIT(A789, ""/""), 3)"),"هیئت الزهرا (س)")</f>
        <v>هیئت الزهرا (س)</v>
      </c>
      <c r="V789" s="1" t="str">
        <f>IFERROR(__xludf.DUMMYFUNCTION("INDEX(SPLIT(A789, ""/""), 4)"),"منبر")</f>
        <v>منبر</v>
      </c>
    </row>
    <row r="790">
      <c r="A790" s="1" t="s">
        <v>2488</v>
      </c>
      <c r="B790" s="1" t="s">
        <v>2590</v>
      </c>
      <c r="C790" s="1" t="s">
        <v>21</v>
      </c>
      <c r="D790" s="4" t="s">
        <v>2591</v>
      </c>
      <c r="E790" s="1" t="s">
        <v>2289</v>
      </c>
      <c r="F790" s="1" t="s">
        <v>2359</v>
      </c>
      <c r="G790" s="1" t="s">
        <v>2579</v>
      </c>
      <c r="H790" s="1" t="s">
        <v>447</v>
      </c>
      <c r="I790" s="1" t="str">
        <f t="shared" si="1"/>
        <v>x</v>
      </c>
      <c r="J790" s="1">
        <v>4.0</v>
      </c>
      <c r="K790" s="1" t="str">
        <f t="shared" si="2"/>
        <v>1</v>
      </c>
      <c r="L790" s="5"/>
      <c r="M790" s="2" t="str">
        <f t="shared" si="3"/>
        <v>1402</v>
      </c>
      <c r="N790" s="5"/>
      <c r="O790" s="2">
        <v>27.0</v>
      </c>
      <c r="P790" s="5"/>
      <c r="Q790" s="5"/>
      <c r="R790" s="6" t="s">
        <v>448</v>
      </c>
      <c r="S790" s="1" t="s">
        <v>2592</v>
      </c>
      <c r="T790" s="1" t="str">
        <f>IFERROR(__xludf.DUMMYFUNCTION("INDEX(SPLIT(A790, ""/""), 2)"),"تشکل‌های اسلامی و سیاسی")</f>
        <v>تشکل‌های اسلامی و سیاسی</v>
      </c>
      <c r="U790" s="1" t="str">
        <f>IFERROR(__xludf.DUMMYFUNCTION("INDEX(SPLIT(A790, ""/""), 3)"),"هیئت الزهرا (س)")</f>
        <v>هیئت الزهرا (س)</v>
      </c>
      <c r="V790" s="1" t="str">
        <f>IFERROR(__xludf.DUMMYFUNCTION("INDEX(SPLIT(A790, ""/""), 4)"),"منبر")</f>
        <v>منبر</v>
      </c>
    </row>
    <row r="791">
      <c r="A791" s="1" t="s">
        <v>2488</v>
      </c>
      <c r="B791" s="1" t="s">
        <v>2593</v>
      </c>
      <c r="C791" s="1" t="s">
        <v>21</v>
      </c>
      <c r="D791" s="4" t="s">
        <v>2594</v>
      </c>
      <c r="E791" s="1" t="s">
        <v>2289</v>
      </c>
      <c r="F791" s="1" t="s">
        <v>2359</v>
      </c>
      <c r="G791" s="1" t="s">
        <v>2579</v>
      </c>
      <c r="H791" s="1" t="s">
        <v>2595</v>
      </c>
      <c r="I791" s="1" t="str">
        <f t="shared" si="1"/>
        <v>20</v>
      </c>
      <c r="J791" s="5"/>
      <c r="K791" s="1" t="str">
        <f t="shared" si="2"/>
        <v>4</v>
      </c>
      <c r="L791" s="5"/>
      <c r="M791" s="2" t="str">
        <f t="shared" si="3"/>
        <v>1402</v>
      </c>
      <c r="N791" s="5"/>
      <c r="O791" s="2">
        <v>28.0</v>
      </c>
      <c r="P791" s="5"/>
      <c r="Q791" s="5"/>
      <c r="R791" s="6" t="s">
        <v>2595</v>
      </c>
      <c r="S791" s="1" t="s">
        <v>2596</v>
      </c>
      <c r="T791" s="1" t="str">
        <f>IFERROR(__xludf.DUMMYFUNCTION("INDEX(SPLIT(A791, ""/""), 2)"),"تشکل‌های اسلامی و سیاسی")</f>
        <v>تشکل‌های اسلامی و سیاسی</v>
      </c>
      <c r="U791" s="1" t="str">
        <f>IFERROR(__xludf.DUMMYFUNCTION("INDEX(SPLIT(A791, ""/""), 3)"),"هیئت الزهرا (س)")</f>
        <v>هیئت الزهرا (س)</v>
      </c>
      <c r="V791" s="1" t="str">
        <f>IFERROR(__xludf.DUMMYFUNCTION("INDEX(SPLIT(A791, ""/""), 4)"),"منبر")</f>
        <v>منبر</v>
      </c>
    </row>
    <row r="792">
      <c r="A792" s="1" t="s">
        <v>2488</v>
      </c>
      <c r="B792" s="1" t="s">
        <v>2597</v>
      </c>
      <c r="C792" s="1" t="s">
        <v>21</v>
      </c>
      <c r="D792" s="4" t="s">
        <v>2598</v>
      </c>
      <c r="E792" s="1" t="s">
        <v>2289</v>
      </c>
      <c r="F792" s="1" t="s">
        <v>2359</v>
      </c>
      <c r="G792" s="1" t="s">
        <v>2579</v>
      </c>
      <c r="H792" s="7" t="s">
        <v>2599</v>
      </c>
      <c r="I792" s="1" t="str">
        <f t="shared" si="1"/>
        <v>4</v>
      </c>
      <c r="J792" s="5"/>
      <c r="K792" s="1" t="str">
        <f t="shared" si="2"/>
        <v>5</v>
      </c>
      <c r="L792" s="5"/>
      <c r="M792" s="2" t="str">
        <f t="shared" si="3"/>
        <v>1402</v>
      </c>
      <c r="N792" s="5"/>
      <c r="O792" s="2">
        <v>29.0</v>
      </c>
      <c r="P792" s="5"/>
      <c r="Q792" s="5"/>
      <c r="R792" s="8" t="s">
        <v>2599</v>
      </c>
      <c r="S792" s="1" t="s">
        <v>2600</v>
      </c>
      <c r="T792" s="1" t="str">
        <f>IFERROR(__xludf.DUMMYFUNCTION("INDEX(SPLIT(A792, ""/""), 2)"),"تشکل‌های اسلامی و سیاسی")</f>
        <v>تشکل‌های اسلامی و سیاسی</v>
      </c>
      <c r="U792" s="1" t="str">
        <f>IFERROR(__xludf.DUMMYFUNCTION("INDEX(SPLIT(A792, ""/""), 3)"),"هیئت الزهرا (س)")</f>
        <v>هیئت الزهرا (س)</v>
      </c>
      <c r="V792" s="1" t="str">
        <f>IFERROR(__xludf.DUMMYFUNCTION("INDEX(SPLIT(A792, ""/""), 4)"),"منبر")</f>
        <v>منبر</v>
      </c>
    </row>
    <row r="793">
      <c r="A793" s="1" t="s">
        <v>2488</v>
      </c>
      <c r="B793" s="1" t="s">
        <v>2601</v>
      </c>
      <c r="C793" s="1" t="s">
        <v>21</v>
      </c>
      <c r="D793" s="4" t="s">
        <v>2602</v>
      </c>
      <c r="E793" s="1" t="s">
        <v>2289</v>
      </c>
      <c r="F793" s="1" t="s">
        <v>2359</v>
      </c>
      <c r="G793" s="1" t="s">
        <v>2579</v>
      </c>
      <c r="H793" s="7" t="s">
        <v>2603</v>
      </c>
      <c r="I793" s="1" t="str">
        <f t="shared" si="1"/>
        <v>5</v>
      </c>
      <c r="J793" s="5"/>
      <c r="K793" s="1" t="str">
        <f t="shared" si="2"/>
        <v>5</v>
      </c>
      <c r="L793" s="5"/>
      <c r="M793" s="2" t="str">
        <f t="shared" si="3"/>
        <v>1402</v>
      </c>
      <c r="N793" s="5"/>
      <c r="O793" s="2">
        <v>30.0</v>
      </c>
      <c r="P793" s="5"/>
      <c r="Q793" s="5"/>
      <c r="R793" s="8" t="s">
        <v>2603</v>
      </c>
      <c r="S793" s="1" t="s">
        <v>2604</v>
      </c>
      <c r="T793" s="1" t="str">
        <f>IFERROR(__xludf.DUMMYFUNCTION("INDEX(SPLIT(A793, ""/""), 2)"),"تشکل‌های اسلامی و سیاسی")</f>
        <v>تشکل‌های اسلامی و سیاسی</v>
      </c>
      <c r="U793" s="1" t="str">
        <f>IFERROR(__xludf.DUMMYFUNCTION("INDEX(SPLIT(A793, ""/""), 3)"),"هیئت الزهرا (س)")</f>
        <v>هیئت الزهرا (س)</v>
      </c>
      <c r="V793" s="1" t="str">
        <f>IFERROR(__xludf.DUMMYFUNCTION("INDEX(SPLIT(A793, ""/""), 4)"),"منبر")</f>
        <v>منبر</v>
      </c>
    </row>
    <row r="794">
      <c r="A794" s="1" t="s">
        <v>2488</v>
      </c>
      <c r="B794" s="1" t="s">
        <v>2605</v>
      </c>
      <c r="C794" s="1" t="s">
        <v>21</v>
      </c>
      <c r="D794" s="4" t="s">
        <v>2606</v>
      </c>
      <c r="E794" s="1" t="s">
        <v>2289</v>
      </c>
      <c r="F794" s="1" t="s">
        <v>2522</v>
      </c>
      <c r="G794" s="1" t="s">
        <v>2536</v>
      </c>
      <c r="H794" s="1" t="s">
        <v>2607</v>
      </c>
      <c r="I794" s="1" t="str">
        <f t="shared" si="1"/>
        <v>24</v>
      </c>
      <c r="J794" s="5"/>
      <c r="K794" s="1" t="str">
        <f t="shared" si="2"/>
        <v>6</v>
      </c>
      <c r="L794" s="5"/>
      <c r="M794" s="2" t="str">
        <f t="shared" si="3"/>
        <v>1402</v>
      </c>
      <c r="N794" s="5"/>
      <c r="O794" s="2">
        <v>31.0</v>
      </c>
      <c r="P794" s="5"/>
      <c r="Q794" s="5"/>
      <c r="R794" s="6" t="s">
        <v>2607</v>
      </c>
      <c r="S794" s="1" t="s">
        <v>2608</v>
      </c>
      <c r="T794" s="1" t="str">
        <f>IFERROR(__xludf.DUMMYFUNCTION("INDEX(SPLIT(A794, ""/""), 2)"),"تشکل‌های اسلامی و سیاسی")</f>
        <v>تشکل‌های اسلامی و سیاسی</v>
      </c>
      <c r="U794" s="1" t="str">
        <f>IFERROR(__xludf.DUMMYFUNCTION("INDEX(SPLIT(A794, ""/""), 3)"),"هیئت الزهرا (س)")</f>
        <v>هیئت الزهرا (س)</v>
      </c>
      <c r="V794" s="1" t="str">
        <f>IFERROR(__xludf.DUMMYFUNCTION("INDEX(SPLIT(A794, ""/""), 4)"),"منبر")</f>
        <v>منبر</v>
      </c>
    </row>
    <row r="795">
      <c r="A795" s="1" t="s">
        <v>2488</v>
      </c>
      <c r="B795" s="1" t="s">
        <v>2609</v>
      </c>
      <c r="C795" s="1" t="s">
        <v>21</v>
      </c>
      <c r="D795" s="4" t="s">
        <v>2610</v>
      </c>
      <c r="E795" s="1" t="s">
        <v>2289</v>
      </c>
      <c r="F795" s="1" t="s">
        <v>2611</v>
      </c>
      <c r="G795" s="1" t="s">
        <v>2612</v>
      </c>
      <c r="H795" s="7" t="s">
        <v>2613</v>
      </c>
      <c r="I795" s="1" t="str">
        <f t="shared" si="1"/>
        <v>6</v>
      </c>
      <c r="J795" s="5"/>
      <c r="K795" s="1" t="str">
        <f t="shared" si="2"/>
        <v>12</v>
      </c>
      <c r="L795" s="5"/>
      <c r="M795" s="2" t="str">
        <f t="shared" si="3"/>
        <v>1402</v>
      </c>
      <c r="N795" s="5"/>
      <c r="O795" s="2">
        <v>32.0</v>
      </c>
      <c r="P795" s="5"/>
      <c r="Q795" s="5"/>
      <c r="R795" s="8" t="s">
        <v>2613</v>
      </c>
      <c r="S795" s="1" t="s">
        <v>2586</v>
      </c>
      <c r="T795" s="1" t="str">
        <f>IFERROR(__xludf.DUMMYFUNCTION("INDEX(SPLIT(A795, ""/""), 2)"),"تشکل‌های اسلامی و سیاسی")</f>
        <v>تشکل‌های اسلامی و سیاسی</v>
      </c>
      <c r="U795" s="1" t="str">
        <f>IFERROR(__xludf.DUMMYFUNCTION("INDEX(SPLIT(A795, ""/""), 3)"),"هیئت الزهرا (س)")</f>
        <v>هیئت الزهرا (س)</v>
      </c>
      <c r="V795" s="1" t="str">
        <f>IFERROR(__xludf.DUMMYFUNCTION("INDEX(SPLIT(A795, ""/""), 4)"),"منبر")</f>
        <v>منبر</v>
      </c>
    </row>
    <row r="796">
      <c r="A796" s="1" t="s">
        <v>2488</v>
      </c>
      <c r="B796" s="1" t="s">
        <v>2446</v>
      </c>
      <c r="C796" s="1" t="s">
        <v>21</v>
      </c>
      <c r="D796" s="4" t="s">
        <v>2614</v>
      </c>
      <c r="E796" s="1" t="s">
        <v>2289</v>
      </c>
      <c r="F796" s="1" t="s">
        <v>71</v>
      </c>
      <c r="G796" s="1" t="s">
        <v>71</v>
      </c>
      <c r="H796" s="5"/>
      <c r="I796" s="1" t="str">
        <f t="shared" si="1"/>
        <v>#VALUE!</v>
      </c>
      <c r="J796" s="5"/>
      <c r="K796" s="1" t="str">
        <f t="shared" si="2"/>
        <v>#VALUE!</v>
      </c>
      <c r="L796" s="5"/>
      <c r="M796" s="2" t="str">
        <f t="shared" si="3"/>
        <v>#VALUE!</v>
      </c>
      <c r="N796" s="5"/>
      <c r="O796" s="2" t="s">
        <v>2449</v>
      </c>
      <c r="P796" s="5"/>
      <c r="Q796" s="5"/>
      <c r="R796" s="10"/>
      <c r="S796" s="5"/>
      <c r="T796" s="1" t="str">
        <f>IFERROR(__xludf.DUMMYFUNCTION("INDEX(SPLIT(A796, ""/""), 2)"),"تشکل‌های اسلامی و سیاسی")</f>
        <v>تشکل‌های اسلامی و سیاسی</v>
      </c>
      <c r="U796" s="1" t="str">
        <f>IFERROR(__xludf.DUMMYFUNCTION("INDEX(SPLIT(A796, ""/""), 3)"),"هیئت الزهرا (س)")</f>
        <v>هیئت الزهرا (س)</v>
      </c>
      <c r="V796" s="1" t="str">
        <f>IFERROR(__xludf.DUMMYFUNCTION("INDEX(SPLIT(A796, ""/""), 4)"),"منبر")</f>
        <v>منبر</v>
      </c>
    </row>
    <row r="797">
      <c r="A797" s="1" t="s">
        <v>2615</v>
      </c>
      <c r="B797" s="1" t="s">
        <v>2616</v>
      </c>
      <c r="C797" s="1" t="s">
        <v>21</v>
      </c>
      <c r="D797" s="4" t="s">
        <v>2617</v>
      </c>
      <c r="E797" s="1" t="s">
        <v>71</v>
      </c>
      <c r="F797" s="1" t="s">
        <v>2618</v>
      </c>
      <c r="G797" s="1" t="s">
        <v>2619</v>
      </c>
      <c r="H797" s="1" t="s">
        <v>2620</v>
      </c>
      <c r="I797" s="1" t="str">
        <f t="shared" si="1"/>
        <v>x</v>
      </c>
      <c r="J797" s="5"/>
      <c r="K797" s="1" t="str">
        <f t="shared" si="2"/>
        <v>x</v>
      </c>
      <c r="L797" s="1">
        <v>3.0</v>
      </c>
      <c r="M797" s="2" t="str">
        <f t="shared" si="3"/>
        <v>1380</v>
      </c>
      <c r="N797" s="5"/>
      <c r="O797" s="2">
        <v>1.0</v>
      </c>
      <c r="P797" s="1"/>
      <c r="Q797" s="1"/>
      <c r="R797" s="11" t="s">
        <v>2621</v>
      </c>
      <c r="S797" s="5"/>
      <c r="T797" s="1" t="str">
        <f>IFERROR(__xludf.DUMMYFUNCTION("INDEX(SPLIT(A797, ""/""), 2)"),"انجمن‌های علمی و نشریات وابسته به دانشکده‌ها")</f>
        <v>انجمن‌های علمی و نشریات وابسته به دانشکده‌ها</v>
      </c>
      <c r="U797" s="1" t="str">
        <f>IFERROR(__xludf.DUMMYFUNCTION("INDEX(SPLIT(A797, ""/""), 3)"),"دانشکده فیزیک")</f>
        <v>دانشکده فیزیک</v>
      </c>
      <c r="V797" s="1" t="str">
        <f>IFERROR(__xludf.DUMMYFUNCTION("INDEX(SPLIT(A797, ""/""), 4)"),"تکانه")</f>
        <v>تکانه</v>
      </c>
    </row>
    <row r="798">
      <c r="A798" s="1" t="s">
        <v>2615</v>
      </c>
      <c r="B798" s="1" t="s">
        <v>2622</v>
      </c>
      <c r="C798" s="1" t="s">
        <v>21</v>
      </c>
      <c r="D798" s="4" t="s">
        <v>2623</v>
      </c>
      <c r="E798" s="1" t="s">
        <v>71</v>
      </c>
      <c r="F798" s="1" t="s">
        <v>2618</v>
      </c>
      <c r="G798" s="1" t="s">
        <v>2619</v>
      </c>
      <c r="H798" s="1" t="s">
        <v>2624</v>
      </c>
      <c r="I798" s="1" t="str">
        <f t="shared" si="1"/>
        <v>x</v>
      </c>
      <c r="J798" s="5"/>
      <c r="K798" s="1" t="str">
        <f t="shared" si="2"/>
        <v>12</v>
      </c>
      <c r="L798" s="5"/>
      <c r="M798" s="2" t="str">
        <f t="shared" si="3"/>
        <v>1380</v>
      </c>
      <c r="N798" s="5"/>
      <c r="O798" s="2">
        <v>2.0</v>
      </c>
      <c r="P798" s="5"/>
      <c r="Q798" s="5"/>
      <c r="R798" s="6" t="s">
        <v>2625</v>
      </c>
      <c r="S798" s="5"/>
      <c r="T798" s="1" t="str">
        <f>IFERROR(__xludf.DUMMYFUNCTION("INDEX(SPLIT(A798, ""/""), 2)"),"انجمن‌های علمی و نشریات وابسته به دانشکده‌ها")</f>
        <v>انجمن‌های علمی و نشریات وابسته به دانشکده‌ها</v>
      </c>
      <c r="U798" s="1" t="str">
        <f>IFERROR(__xludf.DUMMYFUNCTION("INDEX(SPLIT(A798, ""/""), 3)"),"دانشکده فیزیک")</f>
        <v>دانشکده فیزیک</v>
      </c>
      <c r="V798" s="1" t="str">
        <f>IFERROR(__xludf.DUMMYFUNCTION("INDEX(SPLIT(A798, ""/""), 4)"),"تکانه")</f>
        <v>تکانه</v>
      </c>
    </row>
    <row r="799">
      <c r="A799" s="1" t="s">
        <v>2615</v>
      </c>
      <c r="B799" s="1" t="s">
        <v>2626</v>
      </c>
      <c r="C799" s="1" t="s">
        <v>21</v>
      </c>
      <c r="D799" s="4" t="s">
        <v>2627</v>
      </c>
      <c r="E799" s="1" t="s">
        <v>71</v>
      </c>
      <c r="F799" s="1" t="s">
        <v>2618</v>
      </c>
      <c r="G799" s="1" t="s">
        <v>2619</v>
      </c>
      <c r="H799" s="1" t="s">
        <v>2628</v>
      </c>
      <c r="I799" s="1" t="str">
        <f t="shared" si="1"/>
        <v>x</v>
      </c>
      <c r="J799" s="5"/>
      <c r="K799" s="1" t="str">
        <f t="shared" si="2"/>
        <v>8</v>
      </c>
      <c r="L799" s="5"/>
      <c r="M799" s="2" t="str">
        <f t="shared" si="3"/>
        <v>1381</v>
      </c>
      <c r="N799" s="5"/>
      <c r="O799" s="2">
        <v>3.0</v>
      </c>
      <c r="P799" s="5"/>
      <c r="Q799" s="5"/>
      <c r="R799" s="6" t="s">
        <v>2629</v>
      </c>
      <c r="S799" s="5"/>
      <c r="T799" s="1" t="str">
        <f>IFERROR(__xludf.DUMMYFUNCTION("INDEX(SPLIT(A799, ""/""), 2)"),"انجمن‌های علمی و نشریات وابسته به دانشکده‌ها")</f>
        <v>انجمن‌های علمی و نشریات وابسته به دانشکده‌ها</v>
      </c>
      <c r="U799" s="1" t="str">
        <f>IFERROR(__xludf.DUMMYFUNCTION("INDEX(SPLIT(A799, ""/""), 3)"),"دانشکده فیزیک")</f>
        <v>دانشکده فیزیک</v>
      </c>
      <c r="V799" s="1" t="str">
        <f>IFERROR(__xludf.DUMMYFUNCTION("INDEX(SPLIT(A799, ""/""), 4)"),"تکانه")</f>
        <v>تکانه</v>
      </c>
    </row>
    <row r="800">
      <c r="A800" s="1" t="s">
        <v>2615</v>
      </c>
      <c r="B800" s="1" t="s">
        <v>2630</v>
      </c>
      <c r="C800" s="1" t="s">
        <v>21</v>
      </c>
      <c r="D800" s="4" t="s">
        <v>2631</v>
      </c>
      <c r="E800" s="1" t="s">
        <v>71</v>
      </c>
      <c r="F800" s="1" t="s">
        <v>2618</v>
      </c>
      <c r="G800" s="1" t="s">
        <v>2619</v>
      </c>
      <c r="H800" s="1" t="s">
        <v>838</v>
      </c>
      <c r="I800" s="1" t="str">
        <f t="shared" si="1"/>
        <v>x</v>
      </c>
      <c r="J800" s="5"/>
      <c r="K800" s="1" t="str">
        <f t="shared" si="2"/>
        <v>1</v>
      </c>
      <c r="L800" s="5"/>
      <c r="M800" s="2" t="str">
        <f t="shared" si="3"/>
        <v>1382</v>
      </c>
      <c r="N800" s="5"/>
      <c r="O800" s="2">
        <v>4.0</v>
      </c>
      <c r="P800" s="5"/>
      <c r="Q800" s="5"/>
      <c r="R800" s="6" t="s">
        <v>839</v>
      </c>
      <c r="S800" s="5"/>
      <c r="T800" s="1" t="str">
        <f>IFERROR(__xludf.DUMMYFUNCTION("INDEX(SPLIT(A800, ""/""), 2)"),"انجمن‌های علمی و نشریات وابسته به دانشکده‌ها")</f>
        <v>انجمن‌های علمی و نشریات وابسته به دانشکده‌ها</v>
      </c>
      <c r="U800" s="1" t="str">
        <f>IFERROR(__xludf.DUMMYFUNCTION("INDEX(SPLIT(A800, ""/""), 3)"),"دانشکده فیزیک")</f>
        <v>دانشکده فیزیک</v>
      </c>
      <c r="V800" s="1" t="str">
        <f>IFERROR(__xludf.DUMMYFUNCTION("INDEX(SPLIT(A800, ""/""), 4)"),"تکانه")</f>
        <v>تکانه</v>
      </c>
    </row>
    <row r="801">
      <c r="A801" s="1" t="s">
        <v>2615</v>
      </c>
      <c r="B801" s="1" t="s">
        <v>2632</v>
      </c>
      <c r="C801" s="1" t="s">
        <v>21</v>
      </c>
      <c r="D801" s="4" t="s">
        <v>2633</v>
      </c>
      <c r="E801" s="1" t="s">
        <v>71</v>
      </c>
      <c r="F801" s="1" t="s">
        <v>2634</v>
      </c>
      <c r="G801" s="1" t="s">
        <v>752</v>
      </c>
      <c r="H801" s="1" t="s">
        <v>2635</v>
      </c>
      <c r="I801" s="1" t="str">
        <f t="shared" si="1"/>
        <v>x</v>
      </c>
      <c r="J801" s="5"/>
      <c r="K801" s="1" t="str">
        <f t="shared" si="2"/>
        <v>6</v>
      </c>
      <c r="L801" s="5"/>
      <c r="M801" s="2" t="str">
        <f t="shared" si="3"/>
        <v>1382</v>
      </c>
      <c r="N801" s="5"/>
      <c r="O801" s="2">
        <v>5.0</v>
      </c>
      <c r="P801" s="5"/>
      <c r="Q801" s="5"/>
      <c r="R801" s="6" t="s">
        <v>2636</v>
      </c>
      <c r="S801" s="5"/>
      <c r="T801" s="1" t="str">
        <f>IFERROR(__xludf.DUMMYFUNCTION("INDEX(SPLIT(A801, ""/""), 2)"),"انجمن‌های علمی و نشریات وابسته به دانشکده‌ها")</f>
        <v>انجمن‌های علمی و نشریات وابسته به دانشکده‌ها</v>
      </c>
      <c r="U801" s="1" t="str">
        <f>IFERROR(__xludf.DUMMYFUNCTION("INDEX(SPLIT(A801, ""/""), 3)"),"دانشکده فیزیک")</f>
        <v>دانشکده فیزیک</v>
      </c>
      <c r="V801" s="1" t="str">
        <f>IFERROR(__xludf.DUMMYFUNCTION("INDEX(SPLIT(A801, ""/""), 4)"),"تکانه")</f>
        <v>تکانه</v>
      </c>
    </row>
    <row r="802">
      <c r="A802" s="1" t="s">
        <v>2615</v>
      </c>
      <c r="B802" s="1" t="s">
        <v>2637</v>
      </c>
      <c r="C802" s="1" t="s">
        <v>21</v>
      </c>
      <c r="D802" s="4" t="s">
        <v>2638</v>
      </c>
      <c r="E802" s="1" t="s">
        <v>71</v>
      </c>
      <c r="F802" s="1" t="s">
        <v>2634</v>
      </c>
      <c r="G802" s="1" t="s">
        <v>752</v>
      </c>
      <c r="H802" s="1" t="s">
        <v>2639</v>
      </c>
      <c r="I802" s="1" t="str">
        <f t="shared" si="1"/>
        <v>x</v>
      </c>
      <c r="J802" s="5"/>
      <c r="K802" s="1" t="str">
        <f t="shared" si="2"/>
        <v>12</v>
      </c>
      <c r="L802" s="5"/>
      <c r="M802" s="2" t="str">
        <f t="shared" si="3"/>
        <v>1382</v>
      </c>
      <c r="N802" s="5"/>
      <c r="O802" s="2">
        <v>6.0</v>
      </c>
      <c r="P802" s="5"/>
      <c r="Q802" s="5"/>
      <c r="R802" s="6" t="s">
        <v>2640</v>
      </c>
      <c r="S802" s="5"/>
      <c r="T802" s="1" t="str">
        <f>IFERROR(__xludf.DUMMYFUNCTION("INDEX(SPLIT(A802, ""/""), 2)"),"انجمن‌های علمی و نشریات وابسته به دانشکده‌ها")</f>
        <v>انجمن‌های علمی و نشریات وابسته به دانشکده‌ها</v>
      </c>
      <c r="U802" s="1" t="str">
        <f>IFERROR(__xludf.DUMMYFUNCTION("INDEX(SPLIT(A802, ""/""), 3)"),"دانشکده فیزیک")</f>
        <v>دانشکده فیزیک</v>
      </c>
      <c r="V802" s="1" t="str">
        <f>IFERROR(__xludf.DUMMYFUNCTION("INDEX(SPLIT(A802, ""/""), 4)"),"تکانه")</f>
        <v>تکانه</v>
      </c>
    </row>
    <row r="803">
      <c r="A803" s="1" t="s">
        <v>2615</v>
      </c>
      <c r="B803" s="1" t="s">
        <v>2641</v>
      </c>
      <c r="C803" s="1" t="s">
        <v>21</v>
      </c>
      <c r="D803" s="4" t="s">
        <v>2642</v>
      </c>
      <c r="E803" s="1" t="s">
        <v>71</v>
      </c>
      <c r="F803" s="1" t="s">
        <v>2634</v>
      </c>
      <c r="G803" s="1" t="s">
        <v>752</v>
      </c>
      <c r="H803" s="1" t="s">
        <v>2643</v>
      </c>
      <c r="I803" s="1" t="str">
        <f t="shared" si="1"/>
        <v>x</v>
      </c>
      <c r="J803" s="5"/>
      <c r="K803" s="1" t="str">
        <f t="shared" si="2"/>
        <v>3</v>
      </c>
      <c r="L803" s="5"/>
      <c r="M803" s="2" t="str">
        <f t="shared" si="3"/>
        <v>1383</v>
      </c>
      <c r="N803" s="5"/>
      <c r="O803" s="2">
        <v>7.0</v>
      </c>
      <c r="P803" s="5"/>
      <c r="Q803" s="5"/>
      <c r="R803" s="6" t="s">
        <v>2644</v>
      </c>
      <c r="S803" s="5"/>
      <c r="T803" s="1" t="str">
        <f>IFERROR(__xludf.DUMMYFUNCTION("INDEX(SPLIT(A803, ""/""), 2)"),"انجمن‌های علمی و نشریات وابسته به دانشکده‌ها")</f>
        <v>انجمن‌های علمی و نشریات وابسته به دانشکده‌ها</v>
      </c>
      <c r="U803" s="1" t="str">
        <f>IFERROR(__xludf.DUMMYFUNCTION("INDEX(SPLIT(A803, ""/""), 3)"),"دانشکده فیزیک")</f>
        <v>دانشکده فیزیک</v>
      </c>
      <c r="V803" s="1" t="str">
        <f>IFERROR(__xludf.DUMMYFUNCTION("INDEX(SPLIT(A803, ""/""), 4)"),"تکانه")</f>
        <v>تکانه</v>
      </c>
    </row>
    <row r="804">
      <c r="A804" s="1" t="s">
        <v>2615</v>
      </c>
      <c r="B804" s="1" t="s">
        <v>2645</v>
      </c>
      <c r="C804" s="1" t="s">
        <v>21</v>
      </c>
      <c r="D804" s="4" t="s">
        <v>2646</v>
      </c>
      <c r="E804" s="1" t="s">
        <v>71</v>
      </c>
      <c r="F804" s="1" t="s">
        <v>2634</v>
      </c>
      <c r="G804" s="1" t="s">
        <v>752</v>
      </c>
      <c r="H804" s="1" t="s">
        <v>2647</v>
      </c>
      <c r="I804" s="1" t="str">
        <f t="shared" si="1"/>
        <v>x</v>
      </c>
      <c r="J804" s="5"/>
      <c r="K804" s="1" t="str">
        <f t="shared" si="2"/>
        <v>x</v>
      </c>
      <c r="L804" s="1">
        <v>2.0</v>
      </c>
      <c r="M804" s="2" t="str">
        <f t="shared" si="3"/>
        <v>1383</v>
      </c>
      <c r="N804" s="5"/>
      <c r="O804" s="2">
        <v>8.0</v>
      </c>
      <c r="P804" s="1"/>
      <c r="Q804" s="1"/>
      <c r="R804" s="8" t="s">
        <v>2648</v>
      </c>
      <c r="S804" s="5"/>
      <c r="T804" s="1" t="str">
        <f>IFERROR(__xludf.DUMMYFUNCTION("INDEX(SPLIT(A804, ""/""), 2)"),"انجمن‌های علمی و نشریات وابسته به دانشکده‌ها")</f>
        <v>انجمن‌های علمی و نشریات وابسته به دانشکده‌ها</v>
      </c>
      <c r="U804" s="1" t="str">
        <f>IFERROR(__xludf.DUMMYFUNCTION("INDEX(SPLIT(A804, ""/""), 3)"),"دانشکده فیزیک")</f>
        <v>دانشکده فیزیک</v>
      </c>
      <c r="V804" s="1" t="str">
        <f>IFERROR(__xludf.DUMMYFUNCTION("INDEX(SPLIT(A804, ""/""), 4)"),"تکانه")</f>
        <v>تکانه</v>
      </c>
    </row>
    <row r="805">
      <c r="A805" s="1" t="s">
        <v>2615</v>
      </c>
      <c r="B805" s="1" t="s">
        <v>2649</v>
      </c>
      <c r="C805" s="1" t="s">
        <v>21</v>
      </c>
      <c r="D805" s="4" t="s">
        <v>2650</v>
      </c>
      <c r="E805" s="1" t="s">
        <v>71</v>
      </c>
      <c r="F805" s="1" t="s">
        <v>2634</v>
      </c>
      <c r="G805" s="1" t="s">
        <v>752</v>
      </c>
      <c r="H805" s="1" t="s">
        <v>2647</v>
      </c>
      <c r="I805" s="1" t="str">
        <f t="shared" si="1"/>
        <v>x</v>
      </c>
      <c r="J805" s="5"/>
      <c r="K805" s="1" t="str">
        <f t="shared" si="2"/>
        <v>x</v>
      </c>
      <c r="L805" s="1">
        <v>4.0</v>
      </c>
      <c r="M805" s="2" t="str">
        <f t="shared" si="3"/>
        <v>1383</v>
      </c>
      <c r="N805" s="5"/>
      <c r="O805" s="2">
        <v>9.0</v>
      </c>
      <c r="P805" s="1"/>
      <c r="Q805" s="1"/>
      <c r="R805" s="8" t="s">
        <v>2648</v>
      </c>
      <c r="S805" s="5"/>
      <c r="T805" s="1" t="str">
        <f>IFERROR(__xludf.DUMMYFUNCTION("INDEX(SPLIT(A805, ""/""), 2)"),"انجمن‌های علمی و نشریات وابسته به دانشکده‌ها")</f>
        <v>انجمن‌های علمی و نشریات وابسته به دانشکده‌ها</v>
      </c>
      <c r="U805" s="1" t="str">
        <f>IFERROR(__xludf.DUMMYFUNCTION("INDEX(SPLIT(A805, ""/""), 3)"),"دانشکده فیزیک")</f>
        <v>دانشکده فیزیک</v>
      </c>
      <c r="V805" s="1" t="str">
        <f>IFERROR(__xludf.DUMMYFUNCTION("INDEX(SPLIT(A805, ""/""), 4)"),"تکانه")</f>
        <v>تکانه</v>
      </c>
    </row>
    <row r="806">
      <c r="A806" s="1" t="s">
        <v>2615</v>
      </c>
      <c r="B806" s="1" t="s">
        <v>2651</v>
      </c>
      <c r="C806" s="1" t="s">
        <v>21</v>
      </c>
      <c r="D806" s="4" t="s">
        <v>2652</v>
      </c>
      <c r="E806" s="1" t="s">
        <v>71</v>
      </c>
      <c r="F806" s="1" t="s">
        <v>2634</v>
      </c>
      <c r="G806" s="1" t="s">
        <v>2653</v>
      </c>
      <c r="H806" s="1" t="s">
        <v>2654</v>
      </c>
      <c r="I806" s="1" t="str">
        <f t="shared" si="1"/>
        <v>x</v>
      </c>
      <c r="J806" s="5"/>
      <c r="K806" s="1" t="str">
        <f t="shared" si="2"/>
        <v>6</v>
      </c>
      <c r="L806" s="5"/>
      <c r="M806" s="2" t="str">
        <f t="shared" si="3"/>
        <v>1384</v>
      </c>
      <c r="N806" s="5"/>
      <c r="O806" s="2" t="s">
        <v>2655</v>
      </c>
      <c r="P806" s="5"/>
      <c r="Q806" s="5"/>
      <c r="R806" s="6" t="s">
        <v>2656</v>
      </c>
      <c r="S806" s="5"/>
      <c r="T806" s="1" t="str">
        <f>IFERROR(__xludf.DUMMYFUNCTION("INDEX(SPLIT(A806, ""/""), 2)"),"انجمن‌های علمی و نشریات وابسته به دانشکده‌ها")</f>
        <v>انجمن‌های علمی و نشریات وابسته به دانشکده‌ها</v>
      </c>
      <c r="U806" s="1" t="str">
        <f>IFERROR(__xludf.DUMMYFUNCTION("INDEX(SPLIT(A806, ""/""), 3)"),"دانشکده فیزیک")</f>
        <v>دانشکده فیزیک</v>
      </c>
      <c r="V806" s="1" t="str">
        <f>IFERROR(__xludf.DUMMYFUNCTION("INDEX(SPLIT(A806, ""/""), 4)"),"تکانه")</f>
        <v>تکانه</v>
      </c>
    </row>
    <row r="807">
      <c r="A807" s="1" t="s">
        <v>2615</v>
      </c>
      <c r="B807" s="1" t="s">
        <v>2657</v>
      </c>
      <c r="C807" s="1" t="s">
        <v>21</v>
      </c>
      <c r="D807" s="4" t="s">
        <v>2658</v>
      </c>
      <c r="E807" s="1" t="s">
        <v>71</v>
      </c>
      <c r="F807" s="1" t="s">
        <v>2634</v>
      </c>
      <c r="G807" s="1" t="s">
        <v>2653</v>
      </c>
      <c r="H807" s="1" t="s">
        <v>906</v>
      </c>
      <c r="I807" s="1" t="str">
        <f t="shared" si="1"/>
        <v>x</v>
      </c>
      <c r="J807" s="5"/>
      <c r="K807" s="1" t="str">
        <f t="shared" si="2"/>
        <v>x</v>
      </c>
      <c r="L807" s="1">
        <v>2.0</v>
      </c>
      <c r="M807" s="2" t="str">
        <f t="shared" si="3"/>
        <v>1384</v>
      </c>
      <c r="N807" s="5"/>
      <c r="O807" s="2">
        <v>10.0</v>
      </c>
      <c r="P807" s="1"/>
      <c r="Q807" s="1"/>
      <c r="R807" s="8" t="s">
        <v>2659</v>
      </c>
      <c r="S807" s="5"/>
      <c r="T807" s="1" t="str">
        <f>IFERROR(__xludf.DUMMYFUNCTION("INDEX(SPLIT(A807, ""/""), 2)"),"انجمن‌های علمی و نشریات وابسته به دانشکده‌ها")</f>
        <v>انجمن‌های علمی و نشریات وابسته به دانشکده‌ها</v>
      </c>
      <c r="U807" s="1" t="str">
        <f>IFERROR(__xludf.DUMMYFUNCTION("INDEX(SPLIT(A807, ""/""), 3)"),"دانشکده فیزیک")</f>
        <v>دانشکده فیزیک</v>
      </c>
      <c r="V807" s="1" t="str">
        <f>IFERROR(__xludf.DUMMYFUNCTION("INDEX(SPLIT(A807, ""/""), 4)"),"تکانه")</f>
        <v>تکانه</v>
      </c>
    </row>
    <row r="808">
      <c r="A808" s="1" t="s">
        <v>2615</v>
      </c>
      <c r="B808" s="1" t="s">
        <v>2660</v>
      </c>
      <c r="C808" s="1" t="s">
        <v>21</v>
      </c>
      <c r="D808" s="4" t="s">
        <v>2661</v>
      </c>
      <c r="E808" s="1" t="s">
        <v>71</v>
      </c>
      <c r="F808" s="1" t="s">
        <v>2634</v>
      </c>
      <c r="G808" s="1" t="s">
        <v>2653</v>
      </c>
      <c r="H808" s="1" t="s">
        <v>2662</v>
      </c>
      <c r="I808" s="1" t="str">
        <f t="shared" si="1"/>
        <v>x</v>
      </c>
      <c r="J808" s="5"/>
      <c r="K808" s="1" t="str">
        <f t="shared" si="2"/>
        <v>x</v>
      </c>
      <c r="L808" s="1">
        <v>1.0</v>
      </c>
      <c r="M808" s="2" t="str">
        <f t="shared" si="3"/>
        <v>1385</v>
      </c>
      <c r="N808" s="5"/>
      <c r="O808" s="2">
        <v>11.0</v>
      </c>
      <c r="P808" s="1"/>
      <c r="Q808" s="1"/>
      <c r="R808" s="8" t="s">
        <v>2663</v>
      </c>
      <c r="S808" s="5"/>
      <c r="T808" s="1" t="str">
        <f>IFERROR(__xludf.DUMMYFUNCTION("INDEX(SPLIT(A808, ""/""), 2)"),"انجمن‌های علمی و نشریات وابسته به دانشکده‌ها")</f>
        <v>انجمن‌های علمی و نشریات وابسته به دانشکده‌ها</v>
      </c>
      <c r="U808" s="1" t="str">
        <f>IFERROR(__xludf.DUMMYFUNCTION("INDEX(SPLIT(A808, ""/""), 3)"),"دانشکده فیزیک")</f>
        <v>دانشکده فیزیک</v>
      </c>
      <c r="V808" s="1" t="str">
        <f>IFERROR(__xludf.DUMMYFUNCTION("INDEX(SPLIT(A808, ""/""), 4)"),"تکانه")</f>
        <v>تکانه</v>
      </c>
    </row>
    <row r="809">
      <c r="A809" s="1" t="s">
        <v>2615</v>
      </c>
      <c r="B809" s="1" t="s">
        <v>2664</v>
      </c>
      <c r="C809" s="1" t="s">
        <v>21</v>
      </c>
      <c r="D809" s="4" t="s">
        <v>2665</v>
      </c>
      <c r="E809" s="1" t="s">
        <v>71</v>
      </c>
      <c r="F809" s="1" t="s">
        <v>2634</v>
      </c>
      <c r="G809" s="1" t="s">
        <v>2653</v>
      </c>
      <c r="H809" s="1" t="s">
        <v>2662</v>
      </c>
      <c r="I809" s="1" t="str">
        <f t="shared" si="1"/>
        <v>x</v>
      </c>
      <c r="J809" s="5"/>
      <c r="K809" s="1" t="str">
        <f t="shared" si="2"/>
        <v>x</v>
      </c>
      <c r="L809" s="1">
        <v>3.0</v>
      </c>
      <c r="M809" s="2" t="str">
        <f t="shared" si="3"/>
        <v>1385</v>
      </c>
      <c r="N809" s="5"/>
      <c r="O809" s="2">
        <v>12.0</v>
      </c>
      <c r="P809" s="1"/>
      <c r="Q809" s="1"/>
      <c r="R809" s="8" t="s">
        <v>2663</v>
      </c>
      <c r="S809" s="5"/>
      <c r="T809" s="1" t="str">
        <f>IFERROR(__xludf.DUMMYFUNCTION("INDEX(SPLIT(A809, ""/""), 2)"),"انجمن‌های علمی و نشریات وابسته به دانشکده‌ها")</f>
        <v>انجمن‌های علمی و نشریات وابسته به دانشکده‌ها</v>
      </c>
      <c r="U809" s="1" t="str">
        <f>IFERROR(__xludf.DUMMYFUNCTION("INDEX(SPLIT(A809, ""/""), 3)"),"دانشکده فیزیک")</f>
        <v>دانشکده فیزیک</v>
      </c>
      <c r="V809" s="1" t="str">
        <f>IFERROR(__xludf.DUMMYFUNCTION("INDEX(SPLIT(A809, ""/""), 4)"),"تکانه")</f>
        <v>تکانه</v>
      </c>
    </row>
    <row r="810">
      <c r="A810" s="1" t="s">
        <v>2615</v>
      </c>
      <c r="B810" s="1" t="s">
        <v>2666</v>
      </c>
      <c r="C810" s="1" t="s">
        <v>21</v>
      </c>
      <c r="D810" s="4" t="s">
        <v>2667</v>
      </c>
      <c r="E810" s="1" t="s">
        <v>71</v>
      </c>
      <c r="F810" s="1" t="s">
        <v>2634</v>
      </c>
      <c r="G810" s="1" t="s">
        <v>752</v>
      </c>
      <c r="H810" s="1" t="s">
        <v>2668</v>
      </c>
      <c r="I810" s="1" t="str">
        <f t="shared" si="1"/>
        <v>x</v>
      </c>
      <c r="J810" s="5"/>
      <c r="K810" s="1" t="str">
        <f t="shared" si="2"/>
        <v>x</v>
      </c>
      <c r="L810" s="1">
        <v>3.0</v>
      </c>
      <c r="M810" s="2" t="str">
        <f t="shared" si="3"/>
        <v>1386</v>
      </c>
      <c r="N810" s="5"/>
      <c r="O810" s="2">
        <v>13.0</v>
      </c>
      <c r="P810" s="1"/>
      <c r="Q810" s="1"/>
      <c r="R810" s="8" t="s">
        <v>2669</v>
      </c>
      <c r="S810" s="5"/>
      <c r="T810" s="1" t="str">
        <f>IFERROR(__xludf.DUMMYFUNCTION("INDEX(SPLIT(A810, ""/""), 2)"),"انجمن‌های علمی و نشریات وابسته به دانشکده‌ها")</f>
        <v>انجمن‌های علمی و نشریات وابسته به دانشکده‌ها</v>
      </c>
      <c r="U810" s="1" t="str">
        <f>IFERROR(__xludf.DUMMYFUNCTION("INDEX(SPLIT(A810, ""/""), 3)"),"دانشکده فیزیک")</f>
        <v>دانشکده فیزیک</v>
      </c>
      <c r="V810" s="1" t="str">
        <f>IFERROR(__xludf.DUMMYFUNCTION("INDEX(SPLIT(A810, ""/""), 4)"),"تکانه")</f>
        <v>تکانه</v>
      </c>
    </row>
    <row r="811">
      <c r="A811" s="1" t="s">
        <v>2615</v>
      </c>
      <c r="B811" s="1" t="s">
        <v>2670</v>
      </c>
      <c r="C811" s="1" t="s">
        <v>21</v>
      </c>
      <c r="D811" s="4" t="s">
        <v>2671</v>
      </c>
      <c r="E811" s="1" t="s">
        <v>71</v>
      </c>
      <c r="F811" s="1" t="s">
        <v>2634</v>
      </c>
      <c r="G811" s="1" t="s">
        <v>752</v>
      </c>
      <c r="H811" s="1" t="s">
        <v>2672</v>
      </c>
      <c r="I811" s="1" t="str">
        <f t="shared" si="1"/>
        <v>x</v>
      </c>
      <c r="J811" s="5"/>
      <c r="K811" s="1" t="str">
        <f t="shared" si="2"/>
        <v>x</v>
      </c>
      <c r="L811" s="1">
        <v>3.0</v>
      </c>
      <c r="M811" s="2" t="str">
        <f t="shared" si="3"/>
        <v>1388</v>
      </c>
      <c r="N811" s="5"/>
      <c r="O811" s="2">
        <v>14.0</v>
      </c>
      <c r="P811" s="1"/>
      <c r="Q811" s="1"/>
      <c r="R811" s="8" t="s">
        <v>2673</v>
      </c>
      <c r="S811" s="5"/>
      <c r="T811" s="1" t="str">
        <f>IFERROR(__xludf.DUMMYFUNCTION("INDEX(SPLIT(A811, ""/""), 2)"),"انجمن‌های علمی و نشریات وابسته به دانشکده‌ها")</f>
        <v>انجمن‌های علمی و نشریات وابسته به دانشکده‌ها</v>
      </c>
      <c r="U811" s="1" t="str">
        <f>IFERROR(__xludf.DUMMYFUNCTION("INDEX(SPLIT(A811, ""/""), 3)"),"دانشکده فیزیک")</f>
        <v>دانشکده فیزیک</v>
      </c>
      <c r="V811" s="1" t="str">
        <f>IFERROR(__xludf.DUMMYFUNCTION("INDEX(SPLIT(A811, ""/""), 4)"),"تکانه")</f>
        <v>تکانه</v>
      </c>
    </row>
    <row r="812">
      <c r="A812" s="1" t="s">
        <v>2615</v>
      </c>
      <c r="B812" s="1" t="s">
        <v>2674</v>
      </c>
      <c r="C812" s="1" t="s">
        <v>21</v>
      </c>
      <c r="D812" s="4" t="s">
        <v>2675</v>
      </c>
      <c r="E812" s="1" t="s">
        <v>71</v>
      </c>
      <c r="F812" s="1" t="s">
        <v>2634</v>
      </c>
      <c r="G812" s="1" t="s">
        <v>752</v>
      </c>
      <c r="H812" s="1" t="s">
        <v>2672</v>
      </c>
      <c r="I812" s="1" t="str">
        <f t="shared" si="1"/>
        <v>x</v>
      </c>
      <c r="J812" s="5"/>
      <c r="K812" s="1" t="str">
        <f t="shared" si="2"/>
        <v>x</v>
      </c>
      <c r="L812" s="1">
        <v>4.0</v>
      </c>
      <c r="M812" s="2" t="str">
        <f t="shared" si="3"/>
        <v>1388</v>
      </c>
      <c r="N812" s="5"/>
      <c r="O812" s="2">
        <v>15.0</v>
      </c>
      <c r="P812" s="1"/>
      <c r="Q812" s="1"/>
      <c r="R812" s="8" t="s">
        <v>2673</v>
      </c>
      <c r="S812" s="5"/>
      <c r="T812" s="1" t="str">
        <f>IFERROR(__xludf.DUMMYFUNCTION("INDEX(SPLIT(A812, ""/""), 2)"),"انجمن‌های علمی و نشریات وابسته به دانشکده‌ها")</f>
        <v>انجمن‌های علمی و نشریات وابسته به دانشکده‌ها</v>
      </c>
      <c r="U812" s="1" t="str">
        <f>IFERROR(__xludf.DUMMYFUNCTION("INDEX(SPLIT(A812, ""/""), 3)"),"دانشکده فیزیک")</f>
        <v>دانشکده فیزیک</v>
      </c>
      <c r="V812" s="1" t="str">
        <f>IFERROR(__xludf.DUMMYFUNCTION("INDEX(SPLIT(A812, ""/""), 4)"),"تکانه")</f>
        <v>تکانه</v>
      </c>
    </row>
    <row r="813">
      <c r="A813" s="1" t="s">
        <v>2615</v>
      </c>
      <c r="B813" s="1" t="s">
        <v>2676</v>
      </c>
      <c r="C813" s="1" t="s">
        <v>21</v>
      </c>
      <c r="D813" s="4" t="s">
        <v>2677</v>
      </c>
      <c r="E813" s="1" t="s">
        <v>71</v>
      </c>
      <c r="F813" s="1" t="s">
        <v>2634</v>
      </c>
      <c r="G813" s="1" t="s">
        <v>752</v>
      </c>
      <c r="H813" s="1" t="s">
        <v>2672</v>
      </c>
      <c r="I813" s="1" t="str">
        <f t="shared" si="1"/>
        <v>x</v>
      </c>
      <c r="J813" s="5"/>
      <c r="K813" s="1" t="str">
        <f t="shared" si="2"/>
        <v>x</v>
      </c>
      <c r="L813" s="1">
        <v>4.0</v>
      </c>
      <c r="M813" s="2" t="str">
        <f t="shared" si="3"/>
        <v>1388</v>
      </c>
      <c r="N813" s="5"/>
      <c r="O813" s="2">
        <v>16.0</v>
      </c>
      <c r="P813" s="1"/>
      <c r="Q813" s="1"/>
      <c r="R813" s="8" t="s">
        <v>2673</v>
      </c>
      <c r="S813" s="5"/>
      <c r="T813" s="1" t="str">
        <f>IFERROR(__xludf.DUMMYFUNCTION("INDEX(SPLIT(A813, ""/""), 2)"),"انجمن‌های علمی و نشریات وابسته به دانشکده‌ها")</f>
        <v>انجمن‌های علمی و نشریات وابسته به دانشکده‌ها</v>
      </c>
      <c r="U813" s="1" t="str">
        <f>IFERROR(__xludf.DUMMYFUNCTION("INDEX(SPLIT(A813, ""/""), 3)"),"دانشکده فیزیک")</f>
        <v>دانشکده فیزیک</v>
      </c>
      <c r="V813" s="1" t="str">
        <f>IFERROR(__xludf.DUMMYFUNCTION("INDEX(SPLIT(A813, ""/""), 4)"),"تکانه")</f>
        <v>تکانه</v>
      </c>
    </row>
    <row r="814">
      <c r="A814" s="1" t="s">
        <v>2615</v>
      </c>
      <c r="B814" s="1" t="s">
        <v>2678</v>
      </c>
      <c r="C814" s="1" t="s">
        <v>21</v>
      </c>
      <c r="D814" s="4" t="s">
        <v>2679</v>
      </c>
      <c r="E814" s="1" t="s">
        <v>71</v>
      </c>
      <c r="F814" s="1" t="s">
        <v>2634</v>
      </c>
      <c r="G814" s="1" t="s">
        <v>752</v>
      </c>
      <c r="H814" s="1" t="s">
        <v>2680</v>
      </c>
      <c r="I814" s="1" t="str">
        <f t="shared" si="1"/>
        <v>x</v>
      </c>
      <c r="J814" s="5"/>
      <c r="K814" s="1" t="str">
        <f t="shared" si="2"/>
        <v>x</v>
      </c>
      <c r="L814" s="1">
        <v>4.0</v>
      </c>
      <c r="M814" s="2" t="str">
        <f t="shared" si="3"/>
        <v>1389</v>
      </c>
      <c r="N814" s="5"/>
      <c r="O814" s="2">
        <v>17.0</v>
      </c>
      <c r="P814" s="1"/>
      <c r="Q814" s="1"/>
      <c r="R814" s="8" t="s">
        <v>2681</v>
      </c>
      <c r="S814" s="5"/>
      <c r="T814" s="1" t="str">
        <f>IFERROR(__xludf.DUMMYFUNCTION("INDEX(SPLIT(A814, ""/""), 2)"),"انجمن‌های علمی و نشریات وابسته به دانشکده‌ها")</f>
        <v>انجمن‌های علمی و نشریات وابسته به دانشکده‌ها</v>
      </c>
      <c r="U814" s="1" t="str">
        <f>IFERROR(__xludf.DUMMYFUNCTION("INDEX(SPLIT(A814, ""/""), 3)"),"دانشکده فیزیک")</f>
        <v>دانشکده فیزیک</v>
      </c>
      <c r="V814" s="1" t="str">
        <f>IFERROR(__xludf.DUMMYFUNCTION("INDEX(SPLIT(A814, ""/""), 4)"),"تکانه")</f>
        <v>تکانه</v>
      </c>
    </row>
    <row r="815">
      <c r="A815" s="1" t="s">
        <v>2615</v>
      </c>
      <c r="B815" s="1" t="s">
        <v>2682</v>
      </c>
      <c r="C815" s="1" t="s">
        <v>21</v>
      </c>
      <c r="D815" s="4" t="s">
        <v>2683</v>
      </c>
      <c r="E815" s="1" t="s">
        <v>71</v>
      </c>
      <c r="F815" s="1" t="s">
        <v>2634</v>
      </c>
      <c r="G815" s="1" t="s">
        <v>752</v>
      </c>
      <c r="H815" s="1" t="s">
        <v>2684</v>
      </c>
      <c r="I815" s="1" t="str">
        <f t="shared" si="1"/>
        <v>x</v>
      </c>
      <c r="J815" s="5"/>
      <c r="K815" s="1" t="str">
        <f t="shared" si="2"/>
        <v>x</v>
      </c>
      <c r="L815" s="1">
        <v>4.0</v>
      </c>
      <c r="M815" s="2" t="str">
        <f t="shared" si="3"/>
        <v>1390</v>
      </c>
      <c r="N815" s="5"/>
      <c r="O815" s="2">
        <v>18.0</v>
      </c>
      <c r="P815" s="1"/>
      <c r="Q815" s="1"/>
      <c r="R815" s="8" t="s">
        <v>2685</v>
      </c>
      <c r="S815" s="5"/>
      <c r="T815" s="1" t="str">
        <f>IFERROR(__xludf.DUMMYFUNCTION("INDEX(SPLIT(A815, ""/""), 2)"),"انجمن‌های علمی و نشریات وابسته به دانشکده‌ها")</f>
        <v>انجمن‌های علمی و نشریات وابسته به دانشکده‌ها</v>
      </c>
      <c r="U815" s="1" t="str">
        <f>IFERROR(__xludf.DUMMYFUNCTION("INDEX(SPLIT(A815, ""/""), 3)"),"دانشکده فیزیک")</f>
        <v>دانشکده فیزیک</v>
      </c>
      <c r="V815" s="1" t="str">
        <f>IFERROR(__xludf.DUMMYFUNCTION("INDEX(SPLIT(A815, ""/""), 4)"),"تکانه")</f>
        <v>تکانه</v>
      </c>
    </row>
    <row r="816">
      <c r="A816" s="1" t="s">
        <v>2615</v>
      </c>
      <c r="B816" s="1" t="s">
        <v>2686</v>
      </c>
      <c r="C816" s="1" t="s">
        <v>21</v>
      </c>
      <c r="D816" s="4" t="s">
        <v>2687</v>
      </c>
      <c r="E816" s="1" t="s">
        <v>71</v>
      </c>
      <c r="F816" s="1" t="s">
        <v>2634</v>
      </c>
      <c r="G816" s="1" t="s">
        <v>752</v>
      </c>
      <c r="H816" s="1" t="s">
        <v>2684</v>
      </c>
      <c r="I816" s="1" t="str">
        <f t="shared" si="1"/>
        <v>x</v>
      </c>
      <c r="J816" s="5"/>
      <c r="K816" s="1" t="str">
        <f t="shared" si="2"/>
        <v>x</v>
      </c>
      <c r="L816" s="1">
        <v>4.0</v>
      </c>
      <c r="M816" s="2" t="str">
        <f t="shared" si="3"/>
        <v>1390</v>
      </c>
      <c r="N816" s="5"/>
      <c r="O816" s="2">
        <v>19.0</v>
      </c>
      <c r="P816" s="1"/>
      <c r="Q816" s="1"/>
      <c r="R816" s="8" t="s">
        <v>2685</v>
      </c>
      <c r="S816" s="5"/>
      <c r="T816" s="1" t="str">
        <f>IFERROR(__xludf.DUMMYFUNCTION("INDEX(SPLIT(A816, ""/""), 2)"),"انجمن‌های علمی و نشریات وابسته به دانشکده‌ها")</f>
        <v>انجمن‌های علمی و نشریات وابسته به دانشکده‌ها</v>
      </c>
      <c r="U816" s="1" t="str">
        <f>IFERROR(__xludf.DUMMYFUNCTION("INDEX(SPLIT(A816, ""/""), 3)"),"دانشکده فیزیک")</f>
        <v>دانشکده فیزیک</v>
      </c>
      <c r="V816" s="1" t="str">
        <f>IFERROR(__xludf.DUMMYFUNCTION("INDEX(SPLIT(A816, ""/""), 4)"),"تکانه")</f>
        <v>تکانه</v>
      </c>
    </row>
    <row r="817">
      <c r="A817" s="1" t="s">
        <v>2615</v>
      </c>
      <c r="B817" s="1" t="s">
        <v>2688</v>
      </c>
      <c r="C817" s="1" t="s">
        <v>21</v>
      </c>
      <c r="D817" s="4" t="s">
        <v>2689</v>
      </c>
      <c r="E817" s="1" t="s">
        <v>71</v>
      </c>
      <c r="F817" s="1" t="s">
        <v>2634</v>
      </c>
      <c r="G817" s="1" t="s">
        <v>752</v>
      </c>
      <c r="H817" s="1" t="s">
        <v>2690</v>
      </c>
      <c r="I817" s="1" t="str">
        <f t="shared" si="1"/>
        <v>x</v>
      </c>
      <c r="J817" s="5"/>
      <c r="K817" s="1" t="str">
        <f t="shared" si="2"/>
        <v>x</v>
      </c>
      <c r="L817" s="1">
        <v>3.0</v>
      </c>
      <c r="M817" s="2" t="str">
        <f t="shared" si="3"/>
        <v>1391</v>
      </c>
      <c r="N817" s="5"/>
      <c r="O817" s="2">
        <v>20.0</v>
      </c>
      <c r="P817" s="1"/>
      <c r="Q817" s="1"/>
      <c r="R817" s="8" t="s">
        <v>1710</v>
      </c>
      <c r="S817" s="5"/>
      <c r="T817" s="1" t="str">
        <f>IFERROR(__xludf.DUMMYFUNCTION("INDEX(SPLIT(A817, ""/""), 2)"),"انجمن‌های علمی و نشریات وابسته به دانشکده‌ها")</f>
        <v>انجمن‌های علمی و نشریات وابسته به دانشکده‌ها</v>
      </c>
      <c r="U817" s="1" t="str">
        <f>IFERROR(__xludf.DUMMYFUNCTION("INDEX(SPLIT(A817, ""/""), 3)"),"دانشکده فیزیک")</f>
        <v>دانشکده فیزیک</v>
      </c>
      <c r="V817" s="1" t="str">
        <f>IFERROR(__xludf.DUMMYFUNCTION("INDEX(SPLIT(A817, ""/""), 4)"),"تکانه")</f>
        <v>تکانه</v>
      </c>
    </row>
    <row r="818">
      <c r="A818" s="1" t="s">
        <v>2615</v>
      </c>
      <c r="B818" s="1" t="s">
        <v>2691</v>
      </c>
      <c r="C818" s="1" t="s">
        <v>21</v>
      </c>
      <c r="D818" s="4" t="s">
        <v>2692</v>
      </c>
      <c r="E818" s="1" t="s">
        <v>71</v>
      </c>
      <c r="F818" s="1" t="s">
        <v>2634</v>
      </c>
      <c r="G818" s="1" t="s">
        <v>2693</v>
      </c>
      <c r="H818" s="1" t="s">
        <v>1862</v>
      </c>
      <c r="I818" s="1" t="str">
        <f t="shared" si="1"/>
        <v>x</v>
      </c>
      <c r="J818" s="5"/>
      <c r="K818" s="1" t="str">
        <f t="shared" si="2"/>
        <v>x</v>
      </c>
      <c r="L818" s="1">
        <v>1.0</v>
      </c>
      <c r="M818" s="2" t="str">
        <f t="shared" si="3"/>
        <v>1392</v>
      </c>
      <c r="N818" s="5"/>
      <c r="O818" s="2" t="s">
        <v>698</v>
      </c>
      <c r="P818" s="1"/>
      <c r="Q818" s="1"/>
      <c r="R818" s="8" t="s">
        <v>1718</v>
      </c>
      <c r="S818" s="5"/>
      <c r="T818" s="1" t="str">
        <f>IFERROR(__xludf.DUMMYFUNCTION("INDEX(SPLIT(A818, ""/""), 2)"),"انجمن‌های علمی و نشریات وابسته به دانشکده‌ها")</f>
        <v>انجمن‌های علمی و نشریات وابسته به دانشکده‌ها</v>
      </c>
      <c r="U818" s="1" t="str">
        <f>IFERROR(__xludf.DUMMYFUNCTION("INDEX(SPLIT(A818, ""/""), 3)"),"دانشکده فیزیک")</f>
        <v>دانشکده فیزیک</v>
      </c>
      <c r="V818" s="1" t="str">
        <f>IFERROR(__xludf.DUMMYFUNCTION("INDEX(SPLIT(A818, ""/""), 4)"),"تکانه")</f>
        <v>تکانه</v>
      </c>
    </row>
    <row r="819">
      <c r="A819" s="1" t="s">
        <v>2615</v>
      </c>
      <c r="B819" s="1" t="s">
        <v>2694</v>
      </c>
      <c r="C819" s="1" t="s">
        <v>21</v>
      </c>
      <c r="D819" s="4" t="s">
        <v>2695</v>
      </c>
      <c r="E819" s="1" t="s">
        <v>71</v>
      </c>
      <c r="F819" s="1" t="s">
        <v>2634</v>
      </c>
      <c r="G819" s="1" t="s">
        <v>2693</v>
      </c>
      <c r="H819" s="1" t="s">
        <v>1862</v>
      </c>
      <c r="I819" s="1" t="str">
        <f t="shared" si="1"/>
        <v>x</v>
      </c>
      <c r="J819" s="5"/>
      <c r="K819" s="1" t="str">
        <f t="shared" si="2"/>
        <v>x</v>
      </c>
      <c r="L819" s="1">
        <v>3.0</v>
      </c>
      <c r="M819" s="2" t="str">
        <f t="shared" si="3"/>
        <v>1392</v>
      </c>
      <c r="N819" s="5"/>
      <c r="O819" s="2">
        <v>21.0</v>
      </c>
      <c r="P819" s="1"/>
      <c r="Q819" s="1"/>
      <c r="R819" s="8" t="s">
        <v>1718</v>
      </c>
      <c r="S819" s="5"/>
      <c r="T819" s="1" t="str">
        <f>IFERROR(__xludf.DUMMYFUNCTION("INDEX(SPLIT(A819, ""/""), 2)"),"انجمن‌های علمی و نشریات وابسته به دانشکده‌ها")</f>
        <v>انجمن‌های علمی و نشریات وابسته به دانشکده‌ها</v>
      </c>
      <c r="U819" s="1" t="str">
        <f>IFERROR(__xludf.DUMMYFUNCTION("INDEX(SPLIT(A819, ""/""), 3)"),"دانشکده فیزیک")</f>
        <v>دانشکده فیزیک</v>
      </c>
      <c r="V819" s="1" t="str">
        <f>IFERROR(__xludf.DUMMYFUNCTION("INDEX(SPLIT(A819, ""/""), 4)"),"تکانه")</f>
        <v>تکانه</v>
      </c>
    </row>
    <row r="820">
      <c r="A820" s="1" t="s">
        <v>2615</v>
      </c>
      <c r="B820" s="1" t="s">
        <v>2696</v>
      </c>
      <c r="C820" s="1" t="s">
        <v>21</v>
      </c>
      <c r="D820" s="4" t="s">
        <v>2697</v>
      </c>
      <c r="E820" s="1" t="s">
        <v>71</v>
      </c>
      <c r="F820" s="1" t="s">
        <v>2634</v>
      </c>
      <c r="G820" s="1" t="s">
        <v>2693</v>
      </c>
      <c r="H820" s="1" t="s">
        <v>1862</v>
      </c>
      <c r="I820" s="1" t="str">
        <f t="shared" si="1"/>
        <v>x</v>
      </c>
      <c r="J820" s="5"/>
      <c r="K820" s="1" t="str">
        <f t="shared" si="2"/>
        <v>x</v>
      </c>
      <c r="L820" s="1">
        <v>4.0</v>
      </c>
      <c r="M820" s="2" t="str">
        <f t="shared" si="3"/>
        <v>1392</v>
      </c>
      <c r="N820" s="5"/>
      <c r="O820" s="2">
        <v>22.0</v>
      </c>
      <c r="P820" s="1"/>
      <c r="Q820" s="1"/>
      <c r="R820" s="8" t="s">
        <v>1718</v>
      </c>
      <c r="S820" s="5"/>
      <c r="T820" s="1" t="str">
        <f>IFERROR(__xludf.DUMMYFUNCTION("INDEX(SPLIT(A820, ""/""), 2)"),"انجمن‌های علمی و نشریات وابسته به دانشکده‌ها")</f>
        <v>انجمن‌های علمی و نشریات وابسته به دانشکده‌ها</v>
      </c>
      <c r="U820" s="1" t="str">
        <f>IFERROR(__xludf.DUMMYFUNCTION("INDEX(SPLIT(A820, ""/""), 3)"),"دانشکده فیزیک")</f>
        <v>دانشکده فیزیک</v>
      </c>
      <c r="V820" s="1" t="str">
        <f>IFERROR(__xludf.DUMMYFUNCTION("INDEX(SPLIT(A820, ""/""), 4)"),"تکانه")</f>
        <v>تکانه</v>
      </c>
    </row>
    <row r="821">
      <c r="A821" s="1" t="s">
        <v>2615</v>
      </c>
      <c r="B821" s="1" t="s">
        <v>2698</v>
      </c>
      <c r="C821" s="1" t="s">
        <v>21</v>
      </c>
      <c r="D821" s="4" t="s">
        <v>2699</v>
      </c>
      <c r="E821" s="1" t="s">
        <v>71</v>
      </c>
      <c r="F821" s="1" t="s">
        <v>2634</v>
      </c>
      <c r="G821" s="1" t="s">
        <v>2693</v>
      </c>
      <c r="H821" s="1" t="s">
        <v>291</v>
      </c>
      <c r="I821" s="1" t="str">
        <f t="shared" si="1"/>
        <v>x</v>
      </c>
      <c r="J821" s="5"/>
      <c r="K821" s="1" t="str">
        <f t="shared" si="2"/>
        <v>x</v>
      </c>
      <c r="L821" s="5"/>
      <c r="M821" s="2" t="str">
        <f t="shared" si="3"/>
        <v>x</v>
      </c>
      <c r="N821" s="5"/>
      <c r="O821" s="2">
        <v>23.0</v>
      </c>
      <c r="P821" s="7" t="s">
        <v>2700</v>
      </c>
      <c r="Q821" s="7" t="s">
        <v>2701</v>
      </c>
      <c r="R821" s="6" t="s">
        <v>2702</v>
      </c>
      <c r="S821" s="5"/>
      <c r="T821" s="1" t="str">
        <f>IFERROR(__xludf.DUMMYFUNCTION("INDEX(SPLIT(A821, ""/""), 2)"),"انجمن‌های علمی و نشریات وابسته به دانشکده‌ها")</f>
        <v>انجمن‌های علمی و نشریات وابسته به دانشکده‌ها</v>
      </c>
      <c r="U821" s="1" t="str">
        <f>IFERROR(__xludf.DUMMYFUNCTION("INDEX(SPLIT(A821, ""/""), 3)"),"دانشکده فیزیک")</f>
        <v>دانشکده فیزیک</v>
      </c>
      <c r="V821" s="1" t="str">
        <f>IFERROR(__xludf.DUMMYFUNCTION("INDEX(SPLIT(A821, ""/""), 4)"),"تکانه")</f>
        <v>تکانه</v>
      </c>
    </row>
    <row r="822">
      <c r="A822" s="1" t="s">
        <v>2615</v>
      </c>
      <c r="B822" s="1" t="s">
        <v>2703</v>
      </c>
      <c r="C822" s="1" t="s">
        <v>21</v>
      </c>
      <c r="D822" s="4" t="s">
        <v>2704</v>
      </c>
      <c r="E822" s="1" t="s">
        <v>71</v>
      </c>
      <c r="F822" s="1" t="s">
        <v>2634</v>
      </c>
      <c r="G822" s="1" t="s">
        <v>2705</v>
      </c>
      <c r="H822" s="1" t="s">
        <v>2706</v>
      </c>
      <c r="I822" s="1" t="str">
        <f t="shared" si="1"/>
        <v>x</v>
      </c>
      <c r="J822" s="5"/>
      <c r="K822" s="1" t="str">
        <f t="shared" si="2"/>
        <v>x</v>
      </c>
      <c r="L822" s="1">
        <v>1.0</v>
      </c>
      <c r="M822" s="2" t="str">
        <f t="shared" si="3"/>
        <v>1394</v>
      </c>
      <c r="N822" s="5"/>
      <c r="O822" s="2">
        <v>24.0</v>
      </c>
      <c r="P822" s="1"/>
      <c r="Q822" s="1"/>
      <c r="R822" s="8" t="s">
        <v>2707</v>
      </c>
      <c r="S822" s="5"/>
      <c r="T822" s="1" t="str">
        <f>IFERROR(__xludf.DUMMYFUNCTION("INDEX(SPLIT(A822, ""/""), 2)"),"انجمن‌های علمی و نشریات وابسته به دانشکده‌ها")</f>
        <v>انجمن‌های علمی و نشریات وابسته به دانشکده‌ها</v>
      </c>
      <c r="U822" s="1" t="str">
        <f>IFERROR(__xludf.DUMMYFUNCTION("INDEX(SPLIT(A822, ""/""), 3)"),"دانشکده فیزیک")</f>
        <v>دانشکده فیزیک</v>
      </c>
      <c r="V822" s="1" t="str">
        <f>IFERROR(__xludf.DUMMYFUNCTION("INDEX(SPLIT(A822, ""/""), 4)"),"تکانه")</f>
        <v>تکانه</v>
      </c>
    </row>
    <row r="823">
      <c r="A823" s="1" t="s">
        <v>2615</v>
      </c>
      <c r="B823" s="1" t="s">
        <v>2708</v>
      </c>
      <c r="C823" s="1" t="s">
        <v>21</v>
      </c>
      <c r="D823" s="4" t="s">
        <v>2709</v>
      </c>
      <c r="E823" s="1" t="s">
        <v>71</v>
      </c>
      <c r="F823" s="1" t="s">
        <v>2634</v>
      </c>
      <c r="G823" s="1" t="s">
        <v>2705</v>
      </c>
      <c r="H823" s="1" t="s">
        <v>2706</v>
      </c>
      <c r="I823" s="1" t="str">
        <f t="shared" si="1"/>
        <v>x</v>
      </c>
      <c r="J823" s="5"/>
      <c r="K823" s="1" t="str">
        <f t="shared" si="2"/>
        <v>x</v>
      </c>
      <c r="L823" s="1">
        <v>3.0</v>
      </c>
      <c r="M823" s="2" t="str">
        <f t="shared" si="3"/>
        <v>1394</v>
      </c>
      <c r="N823" s="5"/>
      <c r="O823" s="2">
        <v>25.0</v>
      </c>
      <c r="P823" s="1"/>
      <c r="Q823" s="1"/>
      <c r="R823" s="8" t="s">
        <v>2707</v>
      </c>
      <c r="S823" s="5"/>
      <c r="T823" s="1" t="str">
        <f>IFERROR(__xludf.DUMMYFUNCTION("INDEX(SPLIT(A823, ""/""), 2)"),"انجمن‌های علمی و نشریات وابسته به دانشکده‌ها")</f>
        <v>انجمن‌های علمی و نشریات وابسته به دانشکده‌ها</v>
      </c>
      <c r="U823" s="1" t="str">
        <f>IFERROR(__xludf.DUMMYFUNCTION("INDEX(SPLIT(A823, ""/""), 3)"),"دانشکده فیزیک")</f>
        <v>دانشکده فیزیک</v>
      </c>
      <c r="V823" s="1" t="str">
        <f>IFERROR(__xludf.DUMMYFUNCTION("INDEX(SPLIT(A823, ""/""), 4)"),"تکانه")</f>
        <v>تکانه</v>
      </c>
    </row>
    <row r="824">
      <c r="A824" s="1" t="s">
        <v>2615</v>
      </c>
      <c r="B824" s="1" t="s">
        <v>2710</v>
      </c>
      <c r="C824" s="1" t="s">
        <v>21</v>
      </c>
      <c r="D824" s="4" t="s">
        <v>2711</v>
      </c>
      <c r="E824" s="1" t="s">
        <v>71</v>
      </c>
      <c r="F824" s="1" t="s">
        <v>2634</v>
      </c>
      <c r="G824" s="1" t="s">
        <v>2705</v>
      </c>
      <c r="H824" s="1" t="s">
        <v>2712</v>
      </c>
      <c r="I824" s="1" t="str">
        <f t="shared" si="1"/>
        <v>x</v>
      </c>
      <c r="J824" s="5"/>
      <c r="K824" s="1" t="str">
        <f t="shared" si="2"/>
        <v>x</v>
      </c>
      <c r="L824" s="1">
        <v>3.0</v>
      </c>
      <c r="M824" s="2" t="str">
        <f t="shared" si="3"/>
        <v>1395</v>
      </c>
      <c r="N824" s="5"/>
      <c r="O824" s="2">
        <v>26.0</v>
      </c>
      <c r="P824" s="1"/>
      <c r="Q824" s="1"/>
      <c r="R824" s="8" t="s">
        <v>2713</v>
      </c>
      <c r="S824" s="5"/>
      <c r="T824" s="1" t="str">
        <f>IFERROR(__xludf.DUMMYFUNCTION("INDEX(SPLIT(A824, ""/""), 2)"),"انجمن‌های علمی و نشریات وابسته به دانشکده‌ها")</f>
        <v>انجمن‌های علمی و نشریات وابسته به دانشکده‌ها</v>
      </c>
      <c r="U824" s="1" t="str">
        <f>IFERROR(__xludf.DUMMYFUNCTION("INDEX(SPLIT(A824, ""/""), 3)"),"دانشکده فیزیک")</f>
        <v>دانشکده فیزیک</v>
      </c>
      <c r="V824" s="1" t="str">
        <f>IFERROR(__xludf.DUMMYFUNCTION("INDEX(SPLIT(A824, ""/""), 4)"),"تکانه")</f>
        <v>تکانه</v>
      </c>
    </row>
    <row r="825">
      <c r="A825" s="1" t="s">
        <v>2615</v>
      </c>
      <c r="B825" s="1" t="s">
        <v>2714</v>
      </c>
      <c r="C825" s="1" t="s">
        <v>21</v>
      </c>
      <c r="D825" s="4" t="s">
        <v>2715</v>
      </c>
      <c r="E825" s="1" t="s">
        <v>71</v>
      </c>
      <c r="F825" s="1" t="s">
        <v>2634</v>
      </c>
      <c r="G825" s="1" t="s">
        <v>2705</v>
      </c>
      <c r="H825" s="1" t="s">
        <v>291</v>
      </c>
      <c r="I825" s="1" t="str">
        <f t="shared" si="1"/>
        <v>x</v>
      </c>
      <c r="J825" s="5"/>
      <c r="K825" s="1" t="str">
        <f t="shared" si="2"/>
        <v>x</v>
      </c>
      <c r="L825" s="5"/>
      <c r="M825" s="2" t="str">
        <f t="shared" si="3"/>
        <v>x</v>
      </c>
      <c r="N825" s="5"/>
      <c r="O825" s="2">
        <v>27.0</v>
      </c>
      <c r="P825" s="7" t="s">
        <v>2713</v>
      </c>
      <c r="Q825" s="7" t="s">
        <v>2716</v>
      </c>
      <c r="R825" s="6" t="s">
        <v>275</v>
      </c>
      <c r="S825" s="5"/>
      <c r="T825" s="1" t="str">
        <f>IFERROR(__xludf.DUMMYFUNCTION("INDEX(SPLIT(A825, ""/""), 2)"),"انجمن‌های علمی و نشریات وابسته به دانشکده‌ها")</f>
        <v>انجمن‌های علمی و نشریات وابسته به دانشکده‌ها</v>
      </c>
      <c r="U825" s="1" t="str">
        <f>IFERROR(__xludf.DUMMYFUNCTION("INDEX(SPLIT(A825, ""/""), 3)"),"دانشکده فیزیک")</f>
        <v>دانشکده فیزیک</v>
      </c>
      <c r="V825" s="1" t="str">
        <f>IFERROR(__xludf.DUMMYFUNCTION("INDEX(SPLIT(A825, ""/""), 4)"),"تکانه")</f>
        <v>تکانه</v>
      </c>
    </row>
    <row r="826">
      <c r="A826" s="1" t="s">
        <v>2615</v>
      </c>
      <c r="B826" s="1" t="s">
        <v>2717</v>
      </c>
      <c r="C826" s="1" t="s">
        <v>21</v>
      </c>
      <c r="D826" s="4" t="s">
        <v>2718</v>
      </c>
      <c r="E826" s="1" t="s">
        <v>71</v>
      </c>
      <c r="F826" s="1" t="s">
        <v>2634</v>
      </c>
      <c r="G826" s="1" t="s">
        <v>2705</v>
      </c>
      <c r="H826" s="1" t="s">
        <v>2719</v>
      </c>
      <c r="I826" s="1" t="str">
        <f t="shared" si="1"/>
        <v>x</v>
      </c>
      <c r="J826" s="5"/>
      <c r="K826" s="1" t="str">
        <f t="shared" si="2"/>
        <v>x</v>
      </c>
      <c r="L826" s="1">
        <v>4.0</v>
      </c>
      <c r="M826" s="2" t="str">
        <f t="shared" si="3"/>
        <v>1397</v>
      </c>
      <c r="N826" s="5"/>
      <c r="O826" s="2">
        <v>28.0</v>
      </c>
      <c r="P826" s="1"/>
      <c r="Q826" s="1"/>
      <c r="R826" s="8" t="s">
        <v>2023</v>
      </c>
      <c r="S826" s="5"/>
      <c r="T826" s="1" t="str">
        <f>IFERROR(__xludf.DUMMYFUNCTION("INDEX(SPLIT(A826, ""/""), 2)"),"انجمن‌های علمی و نشریات وابسته به دانشکده‌ها")</f>
        <v>انجمن‌های علمی و نشریات وابسته به دانشکده‌ها</v>
      </c>
      <c r="U826" s="1" t="str">
        <f>IFERROR(__xludf.DUMMYFUNCTION("INDEX(SPLIT(A826, ""/""), 3)"),"دانشکده فیزیک")</f>
        <v>دانشکده فیزیک</v>
      </c>
      <c r="V826" s="1" t="str">
        <f>IFERROR(__xludf.DUMMYFUNCTION("INDEX(SPLIT(A826, ""/""), 4)"),"تکانه")</f>
        <v>تکانه</v>
      </c>
    </row>
    <row r="827">
      <c r="A827" s="1" t="s">
        <v>2615</v>
      </c>
      <c r="B827" s="1" t="s">
        <v>2720</v>
      </c>
      <c r="C827" s="1" t="s">
        <v>21</v>
      </c>
      <c r="D827" s="4" t="s">
        <v>2721</v>
      </c>
      <c r="E827" s="1" t="s">
        <v>71</v>
      </c>
      <c r="F827" s="1" t="s">
        <v>2634</v>
      </c>
      <c r="G827" s="1" t="s">
        <v>2722</v>
      </c>
      <c r="H827" s="1" t="s">
        <v>115</v>
      </c>
      <c r="I827" s="1" t="str">
        <f t="shared" si="1"/>
        <v>x</v>
      </c>
      <c r="J827" s="5"/>
      <c r="K827" s="1" t="str">
        <f t="shared" si="2"/>
        <v>x</v>
      </c>
      <c r="L827" s="1">
        <v>1.0</v>
      </c>
      <c r="M827" s="2" t="str">
        <f t="shared" si="3"/>
        <v>1399</v>
      </c>
      <c r="N827" s="5"/>
      <c r="O827" s="2">
        <v>29.0</v>
      </c>
      <c r="P827" s="1"/>
      <c r="Q827" s="1"/>
      <c r="R827" s="8" t="s">
        <v>116</v>
      </c>
      <c r="S827" s="5"/>
      <c r="T827" s="1" t="str">
        <f>IFERROR(__xludf.DUMMYFUNCTION("INDEX(SPLIT(A827, ""/""), 2)"),"انجمن‌های علمی و نشریات وابسته به دانشکده‌ها")</f>
        <v>انجمن‌های علمی و نشریات وابسته به دانشکده‌ها</v>
      </c>
      <c r="U827" s="1" t="str">
        <f>IFERROR(__xludf.DUMMYFUNCTION("INDEX(SPLIT(A827, ""/""), 3)"),"دانشکده فیزیک")</f>
        <v>دانشکده فیزیک</v>
      </c>
      <c r="V827" s="1" t="str">
        <f>IFERROR(__xludf.DUMMYFUNCTION("INDEX(SPLIT(A827, ""/""), 4)"),"تکانه")</f>
        <v>تکانه</v>
      </c>
    </row>
    <row r="828">
      <c r="A828" s="1" t="s">
        <v>2615</v>
      </c>
      <c r="B828" s="1" t="s">
        <v>2723</v>
      </c>
      <c r="C828" s="1" t="s">
        <v>21</v>
      </c>
      <c r="D828" s="4" t="s">
        <v>2724</v>
      </c>
      <c r="E828" s="1" t="s">
        <v>71</v>
      </c>
      <c r="F828" s="1" t="s">
        <v>2634</v>
      </c>
      <c r="G828" s="1" t="s">
        <v>2725</v>
      </c>
      <c r="H828" s="1" t="s">
        <v>115</v>
      </c>
      <c r="I828" s="1" t="str">
        <f t="shared" si="1"/>
        <v>x</v>
      </c>
      <c r="J828" s="5"/>
      <c r="K828" s="1" t="str">
        <f t="shared" si="2"/>
        <v>x</v>
      </c>
      <c r="L828" s="1">
        <v>3.0</v>
      </c>
      <c r="M828" s="2" t="str">
        <f t="shared" si="3"/>
        <v>1399</v>
      </c>
      <c r="N828" s="5"/>
      <c r="O828" s="2">
        <v>30.0</v>
      </c>
      <c r="P828" s="1"/>
      <c r="Q828" s="1"/>
      <c r="R828" s="8" t="s">
        <v>116</v>
      </c>
      <c r="S828" s="5"/>
      <c r="T828" s="1" t="str">
        <f>IFERROR(__xludf.DUMMYFUNCTION("INDEX(SPLIT(A828, ""/""), 2)"),"انجمن‌های علمی و نشریات وابسته به دانشکده‌ها")</f>
        <v>انجمن‌های علمی و نشریات وابسته به دانشکده‌ها</v>
      </c>
      <c r="U828" s="1" t="str">
        <f>IFERROR(__xludf.DUMMYFUNCTION("INDEX(SPLIT(A828, ""/""), 3)"),"دانشکده فیزیک")</f>
        <v>دانشکده فیزیک</v>
      </c>
      <c r="V828" s="1" t="str">
        <f>IFERROR(__xludf.DUMMYFUNCTION("INDEX(SPLIT(A828, ""/""), 4)"),"تکانه")</f>
        <v>تکانه</v>
      </c>
    </row>
    <row r="829">
      <c r="A829" s="1" t="s">
        <v>2615</v>
      </c>
      <c r="B829" s="1" t="s">
        <v>2726</v>
      </c>
      <c r="C829" s="1" t="s">
        <v>21</v>
      </c>
      <c r="D829" s="4" t="s">
        <v>2727</v>
      </c>
      <c r="E829" s="1" t="s">
        <v>71</v>
      </c>
      <c r="F829" s="1" t="s">
        <v>2634</v>
      </c>
      <c r="G829" s="1" t="s">
        <v>2725</v>
      </c>
      <c r="H829" s="1" t="s">
        <v>742</v>
      </c>
      <c r="I829" s="1" t="str">
        <f t="shared" si="1"/>
        <v>x</v>
      </c>
      <c r="J829" s="5"/>
      <c r="K829" s="1" t="str">
        <f t="shared" si="2"/>
        <v>x</v>
      </c>
      <c r="L829" s="1">
        <v>2.0</v>
      </c>
      <c r="M829" s="2" t="str">
        <f t="shared" si="3"/>
        <v>1400</v>
      </c>
      <c r="N829" s="5"/>
      <c r="O829" s="2">
        <v>31.0</v>
      </c>
      <c r="P829" s="1"/>
      <c r="Q829" s="1"/>
      <c r="R829" s="8" t="s">
        <v>744</v>
      </c>
      <c r="S829" s="5"/>
      <c r="T829" s="1" t="str">
        <f>IFERROR(__xludf.DUMMYFUNCTION("INDEX(SPLIT(A829, ""/""), 2)"),"انجمن‌های علمی و نشریات وابسته به دانشکده‌ها")</f>
        <v>انجمن‌های علمی و نشریات وابسته به دانشکده‌ها</v>
      </c>
      <c r="U829" s="1" t="str">
        <f>IFERROR(__xludf.DUMMYFUNCTION("INDEX(SPLIT(A829, ""/""), 3)"),"دانشکده فیزیک")</f>
        <v>دانشکده فیزیک</v>
      </c>
      <c r="V829" s="1" t="str">
        <f>IFERROR(__xludf.DUMMYFUNCTION("INDEX(SPLIT(A829, ""/""), 4)"),"تکانه")</f>
        <v>تکانه</v>
      </c>
    </row>
    <row r="830">
      <c r="A830" s="1" t="s">
        <v>2615</v>
      </c>
      <c r="B830" s="1" t="s">
        <v>2728</v>
      </c>
      <c r="C830" s="1" t="s">
        <v>21</v>
      </c>
      <c r="D830" s="4" t="s">
        <v>2729</v>
      </c>
      <c r="E830" s="1" t="s">
        <v>71</v>
      </c>
      <c r="F830" s="1" t="s">
        <v>2634</v>
      </c>
      <c r="G830" s="1" t="s">
        <v>2730</v>
      </c>
      <c r="H830" s="1" t="s">
        <v>155</v>
      </c>
      <c r="I830" s="1" t="str">
        <f t="shared" si="1"/>
        <v>x</v>
      </c>
      <c r="J830" s="5"/>
      <c r="K830" s="1" t="str">
        <f t="shared" si="2"/>
        <v>12</v>
      </c>
      <c r="L830" s="5"/>
      <c r="M830" s="2" t="str">
        <f t="shared" si="3"/>
        <v>1401</v>
      </c>
      <c r="N830" s="5"/>
      <c r="O830" s="2">
        <v>32.0</v>
      </c>
      <c r="P830" s="5"/>
      <c r="Q830" s="5"/>
      <c r="R830" s="6" t="s">
        <v>156</v>
      </c>
      <c r="S830" s="5"/>
      <c r="T830" s="1" t="str">
        <f>IFERROR(__xludf.DUMMYFUNCTION("INDEX(SPLIT(A830, ""/""), 2)"),"انجمن‌های علمی و نشریات وابسته به دانشکده‌ها")</f>
        <v>انجمن‌های علمی و نشریات وابسته به دانشکده‌ها</v>
      </c>
      <c r="U830" s="1" t="str">
        <f>IFERROR(__xludf.DUMMYFUNCTION("INDEX(SPLIT(A830, ""/""), 3)"),"دانشکده فیزیک")</f>
        <v>دانشکده فیزیک</v>
      </c>
      <c r="V830" s="1" t="str">
        <f>IFERROR(__xludf.DUMMYFUNCTION("INDEX(SPLIT(A830, ""/""), 4)"),"تکانه")</f>
        <v>تکانه</v>
      </c>
    </row>
    <row r="831">
      <c r="A831" s="1" t="s">
        <v>2615</v>
      </c>
      <c r="B831" s="1" t="s">
        <v>2731</v>
      </c>
      <c r="C831" s="1" t="s">
        <v>21</v>
      </c>
      <c r="D831" s="4" t="s">
        <v>2732</v>
      </c>
      <c r="E831" s="1" t="s">
        <v>71</v>
      </c>
      <c r="F831" s="1" t="s">
        <v>2634</v>
      </c>
      <c r="G831" s="1" t="s">
        <v>2733</v>
      </c>
      <c r="H831" s="1" t="s">
        <v>2734</v>
      </c>
      <c r="I831" s="1" t="str">
        <f t="shared" si="1"/>
        <v>x</v>
      </c>
      <c r="J831" s="5"/>
      <c r="K831" s="1" t="str">
        <f t="shared" si="2"/>
        <v>x</v>
      </c>
      <c r="L831" s="1">
        <v>1.0</v>
      </c>
      <c r="M831" s="2" t="str">
        <f t="shared" si="3"/>
        <v>1403</v>
      </c>
      <c r="N831" s="5"/>
      <c r="O831" s="2">
        <v>33.0</v>
      </c>
      <c r="P831" s="1"/>
      <c r="Q831" s="1"/>
      <c r="R831" s="8" t="s">
        <v>2735</v>
      </c>
      <c r="S831" s="5"/>
      <c r="T831" s="1" t="str">
        <f>IFERROR(__xludf.DUMMYFUNCTION("INDEX(SPLIT(A831, ""/""), 2)"),"انجمن‌های علمی و نشریات وابسته به دانشکده‌ها")</f>
        <v>انجمن‌های علمی و نشریات وابسته به دانشکده‌ها</v>
      </c>
      <c r="U831" s="1" t="str">
        <f>IFERROR(__xludf.DUMMYFUNCTION("INDEX(SPLIT(A831, ""/""), 3)"),"دانشکده فیزیک")</f>
        <v>دانشکده فیزیک</v>
      </c>
      <c r="V831" s="1" t="str">
        <f>IFERROR(__xludf.DUMMYFUNCTION("INDEX(SPLIT(A831, ""/""), 4)"),"تکانه")</f>
        <v>تکانه</v>
      </c>
    </row>
    <row r="832">
      <c r="A832" s="1" t="s">
        <v>2736</v>
      </c>
      <c r="B832" s="1" t="s">
        <v>2737</v>
      </c>
      <c r="C832" s="1" t="s">
        <v>21</v>
      </c>
      <c r="D832" s="4" t="s">
        <v>2738</v>
      </c>
      <c r="E832" s="1" t="s">
        <v>2739</v>
      </c>
      <c r="F832" s="1" t="s">
        <v>2740</v>
      </c>
      <c r="G832" s="1" t="s">
        <v>2741</v>
      </c>
      <c r="H832" s="1" t="s">
        <v>608</v>
      </c>
      <c r="I832" s="1" t="str">
        <f t="shared" si="1"/>
        <v>x</v>
      </c>
      <c r="J832" s="5"/>
      <c r="K832" s="1" t="str">
        <f t="shared" si="2"/>
        <v>11</v>
      </c>
      <c r="L832" s="5"/>
      <c r="M832" s="2" t="str">
        <f t="shared" si="3"/>
        <v>1396</v>
      </c>
      <c r="N832" s="5"/>
      <c r="O832" s="2">
        <v>1.0</v>
      </c>
      <c r="P832" s="5"/>
      <c r="Q832" s="5"/>
      <c r="R832" s="6" t="s">
        <v>609</v>
      </c>
      <c r="S832" s="5"/>
      <c r="T832" s="1" t="str">
        <f>IFERROR(__xludf.DUMMYFUNCTION("INDEX(SPLIT(A832, ""/""), 2)"),"انجمن‌های علمی و نشریات وابسته به دانشکده‌ها")</f>
        <v>انجمن‌های علمی و نشریات وابسته به دانشکده‌ها</v>
      </c>
      <c r="U832" s="1" t="str">
        <f>IFERROR(__xludf.DUMMYFUNCTION("INDEX(SPLIT(A832, ""/""), 3)"),"دانشکده فلسفه علم")</f>
        <v>دانشکده فلسفه علم</v>
      </c>
      <c r="V832" s="1" t="str">
        <f>IFERROR(__xludf.DUMMYFUNCTION("INDEX(SPLIT(A832, ""/""), 4)"),"جرات اندیشیدن")</f>
        <v>جرات اندیشیدن</v>
      </c>
    </row>
    <row r="833">
      <c r="A833" s="1" t="s">
        <v>2736</v>
      </c>
      <c r="B833" s="1" t="s">
        <v>2742</v>
      </c>
      <c r="C833" s="1" t="s">
        <v>21</v>
      </c>
      <c r="D833" s="4" t="s">
        <v>2743</v>
      </c>
      <c r="E833" s="1" t="s">
        <v>2739</v>
      </c>
      <c r="F833" s="1" t="s">
        <v>2740</v>
      </c>
      <c r="G833" s="1" t="s">
        <v>2741</v>
      </c>
      <c r="H833" s="1" t="s">
        <v>2744</v>
      </c>
      <c r="I833" s="1" t="str">
        <f t="shared" si="1"/>
        <v>28</v>
      </c>
      <c r="J833" s="5"/>
      <c r="K833" s="1" t="str">
        <f t="shared" si="2"/>
        <v>11</v>
      </c>
      <c r="L833" s="5"/>
      <c r="M833" s="2" t="str">
        <f t="shared" si="3"/>
        <v>1396</v>
      </c>
      <c r="N833" s="5"/>
      <c r="O833" s="2" t="s">
        <v>2745</v>
      </c>
      <c r="P833" s="5"/>
      <c r="Q833" s="5"/>
      <c r="R833" s="6" t="s">
        <v>2744</v>
      </c>
      <c r="S833" s="5"/>
      <c r="T833" s="1" t="str">
        <f>IFERROR(__xludf.DUMMYFUNCTION("INDEX(SPLIT(A833, ""/""), 2)"),"انجمن‌های علمی و نشریات وابسته به دانشکده‌ها")</f>
        <v>انجمن‌های علمی و نشریات وابسته به دانشکده‌ها</v>
      </c>
      <c r="U833" s="1" t="str">
        <f>IFERROR(__xludf.DUMMYFUNCTION("INDEX(SPLIT(A833, ""/""), 3)"),"دانشکده فلسفه علم")</f>
        <v>دانشکده فلسفه علم</v>
      </c>
      <c r="V833" s="1" t="str">
        <f>IFERROR(__xludf.DUMMYFUNCTION("INDEX(SPLIT(A833, ""/""), 4)"),"جرات اندیشیدن")</f>
        <v>جرات اندیشیدن</v>
      </c>
    </row>
    <row r="834">
      <c r="A834" s="1" t="s">
        <v>2736</v>
      </c>
      <c r="B834" s="1" t="s">
        <v>2746</v>
      </c>
      <c r="C834" s="1" t="s">
        <v>21</v>
      </c>
      <c r="D834" s="4" t="s">
        <v>2747</v>
      </c>
      <c r="E834" s="1" t="s">
        <v>2739</v>
      </c>
      <c r="F834" s="1" t="s">
        <v>2740</v>
      </c>
      <c r="G834" s="1" t="s">
        <v>2741</v>
      </c>
      <c r="H834" s="1" t="s">
        <v>2012</v>
      </c>
      <c r="I834" s="1" t="str">
        <f t="shared" si="1"/>
        <v>x</v>
      </c>
      <c r="J834" s="5"/>
      <c r="K834" s="1" t="str">
        <f t="shared" si="2"/>
        <v>1</v>
      </c>
      <c r="L834" s="5"/>
      <c r="M834" s="2" t="str">
        <f t="shared" si="3"/>
        <v>1397</v>
      </c>
      <c r="N834" s="5"/>
      <c r="O834" s="2">
        <v>2.0</v>
      </c>
      <c r="P834" s="5"/>
      <c r="Q834" s="5"/>
      <c r="R834" s="6" t="s">
        <v>2013</v>
      </c>
      <c r="S834" s="5"/>
      <c r="T834" s="1" t="str">
        <f>IFERROR(__xludf.DUMMYFUNCTION("INDEX(SPLIT(A834, ""/""), 2)"),"انجمن‌های علمی و نشریات وابسته به دانشکده‌ها")</f>
        <v>انجمن‌های علمی و نشریات وابسته به دانشکده‌ها</v>
      </c>
      <c r="U834" s="1" t="str">
        <f>IFERROR(__xludf.DUMMYFUNCTION("INDEX(SPLIT(A834, ""/""), 3)"),"دانشکده فلسفه علم")</f>
        <v>دانشکده فلسفه علم</v>
      </c>
      <c r="V834" s="1" t="str">
        <f>IFERROR(__xludf.DUMMYFUNCTION("INDEX(SPLIT(A834, ""/""), 4)"),"جرات اندیشیدن")</f>
        <v>جرات اندیشیدن</v>
      </c>
    </row>
    <row r="835">
      <c r="A835" s="1" t="s">
        <v>2736</v>
      </c>
      <c r="B835" s="1" t="s">
        <v>2748</v>
      </c>
      <c r="C835" s="1" t="s">
        <v>21</v>
      </c>
      <c r="D835" s="4" t="s">
        <v>2749</v>
      </c>
      <c r="E835" s="1" t="s">
        <v>2739</v>
      </c>
      <c r="F835" s="1" t="s">
        <v>2740</v>
      </c>
      <c r="G835" s="1" t="s">
        <v>2741</v>
      </c>
      <c r="H835" s="7" t="s">
        <v>2750</v>
      </c>
      <c r="I835" s="1" t="str">
        <f t="shared" si="1"/>
        <v>7</v>
      </c>
      <c r="J835" s="5"/>
      <c r="K835" s="1" t="str">
        <f t="shared" si="2"/>
        <v>2</v>
      </c>
      <c r="L835" s="5"/>
      <c r="M835" s="2" t="str">
        <f t="shared" si="3"/>
        <v>1397</v>
      </c>
      <c r="N835" s="5"/>
      <c r="O835" s="2" t="s">
        <v>2751</v>
      </c>
      <c r="P835" s="5"/>
      <c r="Q835" s="5"/>
      <c r="R835" s="8" t="s">
        <v>2750</v>
      </c>
      <c r="S835" s="5"/>
      <c r="T835" s="1" t="str">
        <f>IFERROR(__xludf.DUMMYFUNCTION("INDEX(SPLIT(A835, ""/""), 2)"),"انجمن‌های علمی و نشریات وابسته به دانشکده‌ها")</f>
        <v>انجمن‌های علمی و نشریات وابسته به دانشکده‌ها</v>
      </c>
      <c r="U835" s="1" t="str">
        <f>IFERROR(__xludf.DUMMYFUNCTION("INDEX(SPLIT(A835, ""/""), 3)"),"دانشکده فلسفه علم")</f>
        <v>دانشکده فلسفه علم</v>
      </c>
      <c r="V835" s="1" t="str">
        <f>IFERROR(__xludf.DUMMYFUNCTION("INDEX(SPLIT(A835, ""/""), 4)"),"جرات اندیشیدن")</f>
        <v>جرات اندیشیدن</v>
      </c>
    </row>
    <row r="836">
      <c r="A836" s="1" t="s">
        <v>2736</v>
      </c>
      <c r="B836" s="1" t="s">
        <v>2752</v>
      </c>
      <c r="C836" s="1" t="s">
        <v>21</v>
      </c>
      <c r="D836" s="4" t="s">
        <v>2753</v>
      </c>
      <c r="E836" s="1" t="s">
        <v>2739</v>
      </c>
      <c r="F836" s="1" t="s">
        <v>2740</v>
      </c>
      <c r="G836" s="1" t="s">
        <v>2741</v>
      </c>
      <c r="H836" s="1" t="s">
        <v>2317</v>
      </c>
      <c r="I836" s="1" t="str">
        <f t="shared" si="1"/>
        <v>x</v>
      </c>
      <c r="J836" s="5"/>
      <c r="K836" s="1" t="str">
        <f t="shared" si="2"/>
        <v>3</v>
      </c>
      <c r="L836" s="5"/>
      <c r="M836" s="2" t="str">
        <f t="shared" si="3"/>
        <v>1397</v>
      </c>
      <c r="N836" s="5"/>
      <c r="O836" s="2">
        <v>3.0</v>
      </c>
      <c r="P836" s="5"/>
      <c r="Q836" s="5"/>
      <c r="R836" s="6" t="s">
        <v>2318</v>
      </c>
      <c r="S836" s="5"/>
      <c r="T836" s="1" t="str">
        <f>IFERROR(__xludf.DUMMYFUNCTION("INDEX(SPLIT(A836, ""/""), 2)"),"انجمن‌های علمی و نشریات وابسته به دانشکده‌ها")</f>
        <v>انجمن‌های علمی و نشریات وابسته به دانشکده‌ها</v>
      </c>
      <c r="U836" s="1" t="str">
        <f>IFERROR(__xludf.DUMMYFUNCTION("INDEX(SPLIT(A836, ""/""), 3)"),"دانشکده فلسفه علم")</f>
        <v>دانشکده فلسفه علم</v>
      </c>
      <c r="V836" s="1" t="str">
        <f>IFERROR(__xludf.DUMMYFUNCTION("INDEX(SPLIT(A836, ""/""), 4)"),"جرات اندیشیدن")</f>
        <v>جرات اندیشیدن</v>
      </c>
    </row>
    <row r="837">
      <c r="A837" s="1" t="s">
        <v>2736</v>
      </c>
      <c r="B837" s="1" t="s">
        <v>2754</v>
      </c>
      <c r="C837" s="1" t="s">
        <v>21</v>
      </c>
      <c r="D837" s="4" t="s">
        <v>2755</v>
      </c>
      <c r="E837" s="1" t="s">
        <v>2739</v>
      </c>
      <c r="F837" s="1" t="s">
        <v>2740</v>
      </c>
      <c r="G837" s="1" t="s">
        <v>2741</v>
      </c>
      <c r="H837" s="1" t="s">
        <v>2756</v>
      </c>
      <c r="I837" s="1" t="str">
        <f t="shared" si="1"/>
        <v>x</v>
      </c>
      <c r="J837" s="5"/>
      <c r="K837" s="1" t="str">
        <f t="shared" si="2"/>
        <v>5</v>
      </c>
      <c r="L837" s="5"/>
      <c r="M837" s="2" t="str">
        <f t="shared" si="3"/>
        <v>1397</v>
      </c>
      <c r="N837" s="5"/>
      <c r="O837" s="2">
        <v>4.0</v>
      </c>
      <c r="P837" s="5"/>
      <c r="Q837" s="5"/>
      <c r="R837" s="6" t="s">
        <v>2757</v>
      </c>
      <c r="S837" s="5"/>
      <c r="T837" s="1" t="str">
        <f>IFERROR(__xludf.DUMMYFUNCTION("INDEX(SPLIT(A837, ""/""), 2)"),"انجمن‌های علمی و نشریات وابسته به دانشکده‌ها")</f>
        <v>انجمن‌های علمی و نشریات وابسته به دانشکده‌ها</v>
      </c>
      <c r="U837" s="1" t="str">
        <f>IFERROR(__xludf.DUMMYFUNCTION("INDEX(SPLIT(A837, ""/""), 3)"),"دانشکده فلسفه علم")</f>
        <v>دانشکده فلسفه علم</v>
      </c>
      <c r="V837" s="1" t="str">
        <f>IFERROR(__xludf.DUMMYFUNCTION("INDEX(SPLIT(A837, ""/""), 4)"),"جرات اندیشیدن")</f>
        <v>جرات اندیشیدن</v>
      </c>
    </row>
    <row r="838">
      <c r="A838" s="1" t="s">
        <v>2736</v>
      </c>
      <c r="B838" s="1" t="s">
        <v>2758</v>
      </c>
      <c r="C838" s="1" t="s">
        <v>21</v>
      </c>
      <c r="D838" s="4" t="s">
        <v>2759</v>
      </c>
      <c r="E838" s="1" t="s">
        <v>2739</v>
      </c>
      <c r="F838" s="1" t="s">
        <v>2740</v>
      </c>
      <c r="G838" s="1" t="s">
        <v>2741</v>
      </c>
      <c r="H838" s="1" t="s">
        <v>343</v>
      </c>
      <c r="I838" s="1" t="str">
        <f t="shared" si="1"/>
        <v>x</v>
      </c>
      <c r="J838" s="5"/>
      <c r="K838" s="1" t="str">
        <f t="shared" si="2"/>
        <v>6</v>
      </c>
      <c r="L838" s="5"/>
      <c r="M838" s="2" t="str">
        <f t="shared" si="3"/>
        <v>1397</v>
      </c>
      <c r="N838" s="5"/>
      <c r="O838" s="2" t="s">
        <v>2760</v>
      </c>
      <c r="P838" s="5"/>
      <c r="Q838" s="5"/>
      <c r="R838" s="6" t="s">
        <v>344</v>
      </c>
      <c r="S838" s="5"/>
      <c r="T838" s="1" t="str">
        <f>IFERROR(__xludf.DUMMYFUNCTION("INDEX(SPLIT(A838, ""/""), 2)"),"انجمن‌های علمی و نشریات وابسته به دانشکده‌ها")</f>
        <v>انجمن‌های علمی و نشریات وابسته به دانشکده‌ها</v>
      </c>
      <c r="U838" s="1" t="str">
        <f>IFERROR(__xludf.DUMMYFUNCTION("INDEX(SPLIT(A838, ""/""), 3)"),"دانشکده فلسفه علم")</f>
        <v>دانشکده فلسفه علم</v>
      </c>
      <c r="V838" s="1" t="str">
        <f>IFERROR(__xludf.DUMMYFUNCTION("INDEX(SPLIT(A838, ""/""), 4)"),"جرات اندیشیدن")</f>
        <v>جرات اندیشیدن</v>
      </c>
    </row>
    <row r="839">
      <c r="A839" s="1" t="s">
        <v>2736</v>
      </c>
      <c r="B839" s="1" t="s">
        <v>2761</v>
      </c>
      <c r="C839" s="1" t="s">
        <v>21</v>
      </c>
      <c r="D839" s="4" t="s">
        <v>2762</v>
      </c>
      <c r="E839" s="1" t="s">
        <v>2739</v>
      </c>
      <c r="F839" s="1" t="s">
        <v>2740</v>
      </c>
      <c r="G839" s="1" t="s">
        <v>2741</v>
      </c>
      <c r="H839" s="1" t="s">
        <v>2763</v>
      </c>
      <c r="I839" s="1" t="str">
        <f t="shared" si="1"/>
        <v>22</v>
      </c>
      <c r="J839" s="5"/>
      <c r="K839" s="1" t="str">
        <f t="shared" si="2"/>
        <v>7</v>
      </c>
      <c r="L839" s="5"/>
      <c r="M839" s="2" t="str">
        <f t="shared" si="3"/>
        <v>1397</v>
      </c>
      <c r="N839" s="5"/>
      <c r="O839" s="2" t="s">
        <v>2764</v>
      </c>
      <c r="P839" s="5"/>
      <c r="Q839" s="5"/>
      <c r="R839" s="6" t="s">
        <v>2763</v>
      </c>
      <c r="S839" s="5"/>
      <c r="T839" s="1" t="str">
        <f>IFERROR(__xludf.DUMMYFUNCTION("INDEX(SPLIT(A839, ""/""), 2)"),"انجمن‌های علمی و نشریات وابسته به دانشکده‌ها")</f>
        <v>انجمن‌های علمی و نشریات وابسته به دانشکده‌ها</v>
      </c>
      <c r="U839" s="1" t="str">
        <f>IFERROR(__xludf.DUMMYFUNCTION("INDEX(SPLIT(A839, ""/""), 3)"),"دانشکده فلسفه علم")</f>
        <v>دانشکده فلسفه علم</v>
      </c>
      <c r="V839" s="1" t="str">
        <f>IFERROR(__xludf.DUMMYFUNCTION("INDEX(SPLIT(A839, ""/""), 4)"),"جرات اندیشیدن")</f>
        <v>جرات اندیشیدن</v>
      </c>
    </row>
    <row r="840">
      <c r="A840" s="1" t="s">
        <v>2736</v>
      </c>
      <c r="B840" s="1" t="s">
        <v>2765</v>
      </c>
      <c r="C840" s="1" t="s">
        <v>21</v>
      </c>
      <c r="D840" s="4" t="s">
        <v>2766</v>
      </c>
      <c r="E840" s="1" t="s">
        <v>2739</v>
      </c>
      <c r="F840" s="1" t="s">
        <v>2740</v>
      </c>
      <c r="G840" s="1" t="s">
        <v>2741</v>
      </c>
      <c r="H840" s="1" t="s">
        <v>313</v>
      </c>
      <c r="I840" s="1" t="str">
        <f t="shared" si="1"/>
        <v>x</v>
      </c>
      <c r="J840" s="5"/>
      <c r="K840" s="1" t="str">
        <f t="shared" si="2"/>
        <v>8</v>
      </c>
      <c r="L840" s="5"/>
      <c r="M840" s="2" t="str">
        <f t="shared" si="3"/>
        <v>1397</v>
      </c>
      <c r="N840" s="5"/>
      <c r="O840" s="2">
        <v>5.0</v>
      </c>
      <c r="P840" s="5"/>
      <c r="Q840" s="5"/>
      <c r="R840" s="6" t="s">
        <v>314</v>
      </c>
      <c r="S840" s="5"/>
      <c r="T840" s="1" t="str">
        <f>IFERROR(__xludf.DUMMYFUNCTION("INDEX(SPLIT(A840, ""/""), 2)"),"انجمن‌های علمی و نشریات وابسته به دانشکده‌ها")</f>
        <v>انجمن‌های علمی و نشریات وابسته به دانشکده‌ها</v>
      </c>
      <c r="U840" s="1" t="str">
        <f>IFERROR(__xludf.DUMMYFUNCTION("INDEX(SPLIT(A840, ""/""), 3)"),"دانشکده فلسفه علم")</f>
        <v>دانشکده فلسفه علم</v>
      </c>
      <c r="V840" s="1" t="str">
        <f>IFERROR(__xludf.DUMMYFUNCTION("INDEX(SPLIT(A840, ""/""), 4)"),"جرات اندیشیدن")</f>
        <v>جرات اندیشیدن</v>
      </c>
    </row>
    <row r="841">
      <c r="A841" s="1" t="s">
        <v>2736</v>
      </c>
      <c r="B841" s="1" t="s">
        <v>2767</v>
      </c>
      <c r="C841" s="1" t="s">
        <v>21</v>
      </c>
      <c r="D841" s="4" t="s">
        <v>2768</v>
      </c>
      <c r="E841" s="1" t="s">
        <v>2739</v>
      </c>
      <c r="F841" s="1" t="s">
        <v>2740</v>
      </c>
      <c r="G841" s="1" t="s">
        <v>2741</v>
      </c>
      <c r="H841" s="1" t="s">
        <v>177</v>
      </c>
      <c r="I841" s="1" t="str">
        <f t="shared" si="1"/>
        <v>x</v>
      </c>
      <c r="J841" s="5"/>
      <c r="K841" s="1" t="str">
        <f t="shared" si="2"/>
        <v>11</v>
      </c>
      <c r="L841" s="5"/>
      <c r="M841" s="2" t="str">
        <f t="shared" si="3"/>
        <v>1397</v>
      </c>
      <c r="N841" s="5"/>
      <c r="O841" s="2">
        <v>6.0</v>
      </c>
      <c r="P841" s="5"/>
      <c r="Q841" s="5"/>
      <c r="R841" s="6" t="s">
        <v>178</v>
      </c>
      <c r="S841" s="5"/>
      <c r="T841" s="1" t="str">
        <f>IFERROR(__xludf.DUMMYFUNCTION("INDEX(SPLIT(A841, ""/""), 2)"),"انجمن‌های علمی و نشریات وابسته به دانشکده‌ها")</f>
        <v>انجمن‌های علمی و نشریات وابسته به دانشکده‌ها</v>
      </c>
      <c r="U841" s="1" t="str">
        <f>IFERROR(__xludf.DUMMYFUNCTION("INDEX(SPLIT(A841, ""/""), 3)"),"دانشکده فلسفه علم")</f>
        <v>دانشکده فلسفه علم</v>
      </c>
      <c r="V841" s="1" t="str">
        <f>IFERROR(__xludf.DUMMYFUNCTION("INDEX(SPLIT(A841, ""/""), 4)"),"جرات اندیشیدن")</f>
        <v>جرات اندیشیدن</v>
      </c>
    </row>
    <row r="842">
      <c r="A842" s="1" t="s">
        <v>2736</v>
      </c>
      <c r="B842" s="1" t="s">
        <v>2769</v>
      </c>
      <c r="C842" s="1" t="s">
        <v>21</v>
      </c>
      <c r="D842" s="4" t="s">
        <v>2770</v>
      </c>
      <c r="E842" s="1" t="s">
        <v>2739</v>
      </c>
      <c r="F842" s="1" t="s">
        <v>2740</v>
      </c>
      <c r="G842" s="1" t="s">
        <v>2741</v>
      </c>
      <c r="H842" s="1" t="s">
        <v>335</v>
      </c>
      <c r="I842" s="1" t="str">
        <f t="shared" si="1"/>
        <v>x</v>
      </c>
      <c r="J842" s="5"/>
      <c r="K842" s="1" t="str">
        <f t="shared" si="2"/>
        <v>4</v>
      </c>
      <c r="L842" s="5"/>
      <c r="M842" s="2" t="str">
        <f t="shared" si="3"/>
        <v>1398</v>
      </c>
      <c r="N842" s="5"/>
      <c r="O842" s="2">
        <v>7.0</v>
      </c>
      <c r="P842" s="5"/>
      <c r="Q842" s="5"/>
      <c r="R842" s="6" t="s">
        <v>336</v>
      </c>
      <c r="S842" s="5"/>
      <c r="T842" s="1" t="str">
        <f>IFERROR(__xludf.DUMMYFUNCTION("INDEX(SPLIT(A842, ""/""), 2)"),"انجمن‌های علمی و نشریات وابسته به دانشکده‌ها")</f>
        <v>انجمن‌های علمی و نشریات وابسته به دانشکده‌ها</v>
      </c>
      <c r="U842" s="1" t="str">
        <f>IFERROR(__xludf.DUMMYFUNCTION("INDEX(SPLIT(A842, ""/""), 3)"),"دانشکده فلسفه علم")</f>
        <v>دانشکده فلسفه علم</v>
      </c>
      <c r="V842" s="1" t="str">
        <f>IFERROR(__xludf.DUMMYFUNCTION("INDEX(SPLIT(A842, ""/""), 4)"),"جرات اندیشیدن")</f>
        <v>جرات اندیشیدن</v>
      </c>
    </row>
    <row r="843">
      <c r="A843" s="1" t="s">
        <v>2736</v>
      </c>
      <c r="B843" s="1" t="s">
        <v>2771</v>
      </c>
      <c r="C843" s="1" t="s">
        <v>21</v>
      </c>
      <c r="D843" s="4" t="s">
        <v>2772</v>
      </c>
      <c r="E843" s="1" t="s">
        <v>2739</v>
      </c>
      <c r="F843" s="1" t="s">
        <v>2740</v>
      </c>
      <c r="G843" s="1" t="s">
        <v>2741</v>
      </c>
      <c r="H843" s="1" t="s">
        <v>195</v>
      </c>
      <c r="I843" s="1" t="str">
        <f t="shared" si="1"/>
        <v>x</v>
      </c>
      <c r="J843" s="5"/>
      <c r="K843" s="1" t="str">
        <f t="shared" si="2"/>
        <v>9</v>
      </c>
      <c r="L843" s="5"/>
      <c r="M843" s="2" t="str">
        <f t="shared" si="3"/>
        <v>1398</v>
      </c>
      <c r="N843" s="5"/>
      <c r="O843" s="2">
        <v>8.0</v>
      </c>
      <c r="P843" s="5"/>
      <c r="Q843" s="5"/>
      <c r="R843" s="6" t="s">
        <v>196</v>
      </c>
      <c r="S843" s="5"/>
      <c r="T843" s="1" t="str">
        <f>IFERROR(__xludf.DUMMYFUNCTION("INDEX(SPLIT(A843, ""/""), 2)"),"انجمن‌های علمی و نشریات وابسته به دانشکده‌ها")</f>
        <v>انجمن‌های علمی و نشریات وابسته به دانشکده‌ها</v>
      </c>
      <c r="U843" s="1" t="str">
        <f>IFERROR(__xludf.DUMMYFUNCTION("INDEX(SPLIT(A843, ""/""), 3)"),"دانشکده فلسفه علم")</f>
        <v>دانشکده فلسفه علم</v>
      </c>
      <c r="V843" s="1" t="str">
        <f>IFERROR(__xludf.DUMMYFUNCTION("INDEX(SPLIT(A843, ""/""), 4)"),"جرات اندیشیدن")</f>
        <v>جرات اندیشیدن</v>
      </c>
    </row>
    <row r="844">
      <c r="A844" s="1" t="s">
        <v>2736</v>
      </c>
      <c r="B844" s="1" t="s">
        <v>2773</v>
      </c>
      <c r="C844" s="1" t="s">
        <v>21</v>
      </c>
      <c r="D844" s="4" t="s">
        <v>2774</v>
      </c>
      <c r="E844" s="1" t="s">
        <v>2739</v>
      </c>
      <c r="F844" s="1" t="s">
        <v>2740</v>
      </c>
      <c r="G844" s="1" t="s">
        <v>2741</v>
      </c>
      <c r="H844" s="1" t="s">
        <v>217</v>
      </c>
      <c r="I844" s="1" t="str">
        <f t="shared" si="1"/>
        <v>x</v>
      </c>
      <c r="J844" s="5"/>
      <c r="K844" s="1" t="str">
        <f t="shared" si="2"/>
        <v>12</v>
      </c>
      <c r="L844" s="5"/>
      <c r="M844" s="2" t="str">
        <f t="shared" si="3"/>
        <v>1398</v>
      </c>
      <c r="N844" s="5"/>
      <c r="O844" s="2">
        <v>9.0</v>
      </c>
      <c r="P844" s="5"/>
      <c r="Q844" s="5"/>
      <c r="R844" s="6" t="s">
        <v>218</v>
      </c>
      <c r="S844" s="5"/>
      <c r="T844" s="1" t="str">
        <f>IFERROR(__xludf.DUMMYFUNCTION("INDEX(SPLIT(A844, ""/""), 2)"),"انجمن‌های علمی و نشریات وابسته به دانشکده‌ها")</f>
        <v>انجمن‌های علمی و نشریات وابسته به دانشکده‌ها</v>
      </c>
      <c r="U844" s="1" t="str">
        <f>IFERROR(__xludf.DUMMYFUNCTION("INDEX(SPLIT(A844, ""/""), 3)"),"دانشکده فلسفه علم")</f>
        <v>دانشکده فلسفه علم</v>
      </c>
      <c r="V844" s="1" t="str">
        <f>IFERROR(__xludf.DUMMYFUNCTION("INDEX(SPLIT(A844, ""/""), 4)"),"جرات اندیشیدن")</f>
        <v>جرات اندیشیدن</v>
      </c>
    </row>
    <row r="845">
      <c r="A845" s="1" t="s">
        <v>2736</v>
      </c>
      <c r="B845" s="1" t="s">
        <v>2775</v>
      </c>
      <c r="C845" s="1" t="s">
        <v>21</v>
      </c>
      <c r="D845" s="4" t="s">
        <v>2776</v>
      </c>
      <c r="E845" s="1" t="s">
        <v>2739</v>
      </c>
      <c r="F845" s="1" t="s">
        <v>2740</v>
      </c>
      <c r="G845" s="1" t="s">
        <v>2741</v>
      </c>
      <c r="H845" s="1" t="s">
        <v>383</v>
      </c>
      <c r="I845" s="1" t="str">
        <f t="shared" si="1"/>
        <v>x</v>
      </c>
      <c r="J845" s="5"/>
      <c r="K845" s="1" t="str">
        <f t="shared" si="2"/>
        <v>6</v>
      </c>
      <c r="L845" s="5"/>
      <c r="M845" s="2" t="str">
        <f t="shared" si="3"/>
        <v>1399</v>
      </c>
      <c r="N845" s="5"/>
      <c r="O845" s="2">
        <v>10.0</v>
      </c>
      <c r="P845" s="5"/>
      <c r="Q845" s="5"/>
      <c r="R845" s="6" t="s">
        <v>384</v>
      </c>
      <c r="S845" s="5"/>
      <c r="T845" s="1" t="str">
        <f>IFERROR(__xludf.DUMMYFUNCTION("INDEX(SPLIT(A845, ""/""), 2)"),"انجمن‌های علمی و نشریات وابسته به دانشکده‌ها")</f>
        <v>انجمن‌های علمی و نشریات وابسته به دانشکده‌ها</v>
      </c>
      <c r="U845" s="1" t="str">
        <f>IFERROR(__xludf.DUMMYFUNCTION("INDEX(SPLIT(A845, ""/""), 3)"),"دانشکده فلسفه علم")</f>
        <v>دانشکده فلسفه علم</v>
      </c>
      <c r="V845" s="1" t="str">
        <f>IFERROR(__xludf.DUMMYFUNCTION("INDEX(SPLIT(A845, ""/""), 4)"),"جرات اندیشیدن")</f>
        <v>جرات اندیشیدن</v>
      </c>
    </row>
    <row r="846">
      <c r="A846" s="1" t="s">
        <v>2777</v>
      </c>
      <c r="B846" s="1" t="s">
        <v>2778</v>
      </c>
      <c r="C846" s="1" t="s">
        <v>21</v>
      </c>
      <c r="D846" s="4" t="s">
        <v>2779</v>
      </c>
      <c r="E846" s="1" t="s">
        <v>2780</v>
      </c>
      <c r="F846" s="1" t="s">
        <v>2781</v>
      </c>
      <c r="G846" s="1" t="s">
        <v>2781</v>
      </c>
      <c r="H846" s="1" t="s">
        <v>2782</v>
      </c>
      <c r="I846" s="1" t="str">
        <f t="shared" si="1"/>
        <v>27</v>
      </c>
      <c r="J846" s="5"/>
      <c r="K846" s="1" t="str">
        <f t="shared" si="2"/>
        <v>9</v>
      </c>
      <c r="L846" s="5"/>
      <c r="M846" s="2" t="str">
        <f t="shared" si="3"/>
        <v>1395</v>
      </c>
      <c r="N846" s="1">
        <v>24.0</v>
      </c>
      <c r="O846" s="2">
        <v>2.0</v>
      </c>
      <c r="P846" s="5"/>
      <c r="Q846" s="5"/>
      <c r="R846" s="6" t="s">
        <v>2782</v>
      </c>
      <c r="S846" s="5"/>
      <c r="T846" s="1" t="str">
        <f>IFERROR(__xludf.DUMMYFUNCTION("INDEX(SPLIT(A846, ""/""), 2)"),"انجمن‌های علمی و نشریات وابسته به دانشکده‌ها")</f>
        <v>انجمن‌های علمی و نشریات وابسته به دانشکده‌ها</v>
      </c>
      <c r="U846" s="1" t="str">
        <f>IFERROR(__xludf.DUMMYFUNCTION("INDEX(SPLIT(A846, ""/""), 3)"),"دانشکده مهندسی مکانیک")</f>
        <v>دانشکده مهندسی مکانیک</v>
      </c>
      <c r="V846" s="1" t="str">
        <f>IFERROR(__xludf.DUMMYFUNCTION("INDEX(SPLIT(A846, ""/""), 4)"),"خمش و برش")</f>
        <v>خمش و برش</v>
      </c>
    </row>
    <row r="847">
      <c r="A847" s="1" t="s">
        <v>2777</v>
      </c>
      <c r="B847" s="1" t="s">
        <v>2783</v>
      </c>
      <c r="C847" s="1" t="s">
        <v>21</v>
      </c>
      <c r="D847" s="4" t="s">
        <v>2784</v>
      </c>
      <c r="E847" s="1" t="s">
        <v>2780</v>
      </c>
      <c r="F847" s="1" t="s">
        <v>2781</v>
      </c>
      <c r="G847" s="1" t="s">
        <v>2781</v>
      </c>
      <c r="H847" s="1" t="s">
        <v>2785</v>
      </c>
      <c r="I847" s="1" t="str">
        <f t="shared" si="1"/>
        <v>24</v>
      </c>
      <c r="J847" s="5"/>
      <c r="K847" s="1" t="str">
        <f t="shared" si="2"/>
        <v>12</v>
      </c>
      <c r="L847" s="5"/>
      <c r="M847" s="2" t="str">
        <f t="shared" si="3"/>
        <v>1395</v>
      </c>
      <c r="N847" s="1">
        <v>24.0</v>
      </c>
      <c r="O847" s="2">
        <v>3.0</v>
      </c>
      <c r="P847" s="5"/>
      <c r="Q847" s="5"/>
      <c r="R847" s="6" t="s">
        <v>2785</v>
      </c>
      <c r="S847" s="5"/>
      <c r="T847" s="1" t="str">
        <f>IFERROR(__xludf.DUMMYFUNCTION("INDEX(SPLIT(A847, ""/""), 2)"),"انجمن‌های علمی و نشریات وابسته به دانشکده‌ها")</f>
        <v>انجمن‌های علمی و نشریات وابسته به دانشکده‌ها</v>
      </c>
      <c r="U847" s="1" t="str">
        <f>IFERROR(__xludf.DUMMYFUNCTION("INDEX(SPLIT(A847, ""/""), 3)"),"دانشکده مهندسی مکانیک")</f>
        <v>دانشکده مهندسی مکانیک</v>
      </c>
      <c r="V847" s="1" t="str">
        <f>IFERROR(__xludf.DUMMYFUNCTION("INDEX(SPLIT(A847, ""/""), 4)"),"خمش و برش")</f>
        <v>خمش و برش</v>
      </c>
    </row>
    <row r="848">
      <c r="A848" s="1" t="s">
        <v>2777</v>
      </c>
      <c r="B848" s="1" t="s">
        <v>2786</v>
      </c>
      <c r="C848" s="1" t="s">
        <v>21</v>
      </c>
      <c r="D848" s="4" t="s">
        <v>2787</v>
      </c>
      <c r="E848" s="1" t="s">
        <v>2780</v>
      </c>
      <c r="F848" s="1" t="s">
        <v>71</v>
      </c>
      <c r="G848" s="1" t="s">
        <v>2788</v>
      </c>
      <c r="H848" s="1" t="s">
        <v>260</v>
      </c>
      <c r="I848" s="1" t="str">
        <f t="shared" si="1"/>
        <v>x</v>
      </c>
      <c r="J848" s="5"/>
      <c r="K848" s="1" t="str">
        <f t="shared" si="2"/>
        <v>3</v>
      </c>
      <c r="L848" s="5"/>
      <c r="M848" s="2" t="str">
        <f t="shared" si="3"/>
        <v>1396</v>
      </c>
      <c r="N848" s="1">
        <v>25.0</v>
      </c>
      <c r="O848" s="2">
        <v>1.0</v>
      </c>
      <c r="P848" s="5"/>
      <c r="Q848" s="5"/>
      <c r="R848" s="6" t="s">
        <v>261</v>
      </c>
      <c r="S848" s="5"/>
      <c r="T848" s="1" t="str">
        <f>IFERROR(__xludf.DUMMYFUNCTION("INDEX(SPLIT(A848, ""/""), 2)"),"انجمن‌های علمی و نشریات وابسته به دانشکده‌ها")</f>
        <v>انجمن‌های علمی و نشریات وابسته به دانشکده‌ها</v>
      </c>
      <c r="U848" s="1" t="str">
        <f>IFERROR(__xludf.DUMMYFUNCTION("INDEX(SPLIT(A848, ""/""), 3)"),"دانشکده مهندسی مکانیک")</f>
        <v>دانشکده مهندسی مکانیک</v>
      </c>
      <c r="V848" s="1" t="str">
        <f>IFERROR(__xludf.DUMMYFUNCTION("INDEX(SPLIT(A848, ""/""), 4)"),"خمش و برش")</f>
        <v>خمش و برش</v>
      </c>
    </row>
    <row r="849">
      <c r="A849" s="1" t="s">
        <v>2777</v>
      </c>
      <c r="B849" s="1" t="s">
        <v>2789</v>
      </c>
      <c r="C849" s="1" t="s">
        <v>21</v>
      </c>
      <c r="D849" s="4" t="s">
        <v>2790</v>
      </c>
      <c r="E849" s="1" t="s">
        <v>2780</v>
      </c>
      <c r="F849" s="1" t="s">
        <v>71</v>
      </c>
      <c r="G849" s="1" t="s">
        <v>2788</v>
      </c>
      <c r="H849" s="1" t="s">
        <v>270</v>
      </c>
      <c r="I849" s="1" t="str">
        <f t="shared" si="1"/>
        <v>x</v>
      </c>
      <c r="J849" s="5"/>
      <c r="K849" s="1" t="str">
        <f t="shared" si="2"/>
        <v>7</v>
      </c>
      <c r="L849" s="5"/>
      <c r="M849" s="2" t="str">
        <f t="shared" si="3"/>
        <v>1396</v>
      </c>
      <c r="N849" s="1">
        <v>25.0</v>
      </c>
      <c r="O849" s="2">
        <v>2.0</v>
      </c>
      <c r="P849" s="5"/>
      <c r="Q849" s="5"/>
      <c r="R849" s="6" t="s">
        <v>271</v>
      </c>
      <c r="S849" s="5"/>
      <c r="T849" s="1" t="str">
        <f>IFERROR(__xludf.DUMMYFUNCTION("INDEX(SPLIT(A849, ""/""), 2)"),"انجمن‌های علمی و نشریات وابسته به دانشکده‌ها")</f>
        <v>انجمن‌های علمی و نشریات وابسته به دانشکده‌ها</v>
      </c>
      <c r="U849" s="1" t="str">
        <f>IFERROR(__xludf.DUMMYFUNCTION("INDEX(SPLIT(A849, ""/""), 3)"),"دانشکده مهندسی مکانیک")</f>
        <v>دانشکده مهندسی مکانیک</v>
      </c>
      <c r="V849" s="1" t="str">
        <f>IFERROR(__xludf.DUMMYFUNCTION("INDEX(SPLIT(A849, ""/""), 4)"),"خمش و برش")</f>
        <v>خمش و برش</v>
      </c>
    </row>
    <row r="850">
      <c r="A850" s="1" t="s">
        <v>2777</v>
      </c>
      <c r="B850" s="1" t="s">
        <v>2791</v>
      </c>
      <c r="C850" s="1" t="s">
        <v>21</v>
      </c>
      <c r="D850" s="4" t="s">
        <v>2792</v>
      </c>
      <c r="E850" s="1" t="s">
        <v>2780</v>
      </c>
      <c r="F850" s="1" t="s">
        <v>71</v>
      </c>
      <c r="G850" s="1" t="s">
        <v>2788</v>
      </c>
      <c r="H850" s="1" t="s">
        <v>278</v>
      </c>
      <c r="I850" s="1" t="str">
        <f t="shared" si="1"/>
        <v>x</v>
      </c>
      <c r="J850" s="5"/>
      <c r="K850" s="1" t="str">
        <f t="shared" si="2"/>
        <v>9</v>
      </c>
      <c r="L850" s="5"/>
      <c r="M850" s="2" t="str">
        <f t="shared" si="3"/>
        <v>1396</v>
      </c>
      <c r="N850" s="1">
        <v>25.0</v>
      </c>
      <c r="O850" s="2">
        <v>3.0</v>
      </c>
      <c r="P850" s="5"/>
      <c r="Q850" s="5"/>
      <c r="R850" s="6" t="s">
        <v>279</v>
      </c>
      <c r="S850" s="5"/>
      <c r="T850" s="1" t="str">
        <f>IFERROR(__xludf.DUMMYFUNCTION("INDEX(SPLIT(A850, ""/""), 2)"),"انجمن‌های علمی و نشریات وابسته به دانشکده‌ها")</f>
        <v>انجمن‌های علمی و نشریات وابسته به دانشکده‌ها</v>
      </c>
      <c r="U850" s="1" t="str">
        <f>IFERROR(__xludf.DUMMYFUNCTION("INDEX(SPLIT(A850, ""/""), 3)"),"دانشکده مهندسی مکانیک")</f>
        <v>دانشکده مهندسی مکانیک</v>
      </c>
      <c r="V850" s="1" t="str">
        <f>IFERROR(__xludf.DUMMYFUNCTION("INDEX(SPLIT(A850, ""/""), 4)"),"خمش و برش")</f>
        <v>خمش و برش</v>
      </c>
    </row>
    <row r="851">
      <c r="A851" s="1" t="s">
        <v>2777</v>
      </c>
      <c r="B851" s="1" t="s">
        <v>2793</v>
      </c>
      <c r="C851" s="1" t="s">
        <v>21</v>
      </c>
      <c r="D851" s="4" t="s">
        <v>2794</v>
      </c>
      <c r="E851" s="1" t="s">
        <v>2780</v>
      </c>
      <c r="F851" s="1" t="s">
        <v>2788</v>
      </c>
      <c r="G851" s="1" t="s">
        <v>2788</v>
      </c>
      <c r="H851" s="1" t="s">
        <v>287</v>
      </c>
      <c r="I851" s="1" t="str">
        <f t="shared" si="1"/>
        <v>x</v>
      </c>
      <c r="J851" s="5"/>
      <c r="K851" s="1" t="str">
        <f t="shared" si="2"/>
        <v>12</v>
      </c>
      <c r="L851" s="5"/>
      <c r="M851" s="2" t="str">
        <f t="shared" si="3"/>
        <v>1396</v>
      </c>
      <c r="N851" s="1">
        <v>25.0</v>
      </c>
      <c r="O851" s="2">
        <v>4.0</v>
      </c>
      <c r="P851" s="5"/>
      <c r="Q851" s="5"/>
      <c r="R851" s="6" t="s">
        <v>288</v>
      </c>
      <c r="S851" s="5"/>
      <c r="T851" s="1" t="str">
        <f>IFERROR(__xludf.DUMMYFUNCTION("INDEX(SPLIT(A851, ""/""), 2)"),"انجمن‌های علمی و نشریات وابسته به دانشکده‌ها")</f>
        <v>انجمن‌های علمی و نشریات وابسته به دانشکده‌ها</v>
      </c>
      <c r="U851" s="1" t="str">
        <f>IFERROR(__xludf.DUMMYFUNCTION("INDEX(SPLIT(A851, ""/""), 3)"),"دانشکده مهندسی مکانیک")</f>
        <v>دانشکده مهندسی مکانیک</v>
      </c>
      <c r="V851" s="1" t="str">
        <f>IFERROR(__xludf.DUMMYFUNCTION("INDEX(SPLIT(A851, ""/""), 4)"),"خمش و برش")</f>
        <v>خمش و برش</v>
      </c>
    </row>
    <row r="852">
      <c r="A852" s="1" t="s">
        <v>2777</v>
      </c>
      <c r="B852" s="1" t="s">
        <v>2795</v>
      </c>
      <c r="C852" s="1" t="s">
        <v>21</v>
      </c>
      <c r="D852" s="4" t="s">
        <v>2796</v>
      </c>
      <c r="E852" s="1" t="s">
        <v>2780</v>
      </c>
      <c r="F852" s="1" t="s">
        <v>2788</v>
      </c>
      <c r="G852" s="1" t="s">
        <v>791</v>
      </c>
      <c r="H852" s="1" t="s">
        <v>2317</v>
      </c>
      <c r="I852" s="1" t="str">
        <f t="shared" si="1"/>
        <v>x</v>
      </c>
      <c r="J852" s="5"/>
      <c r="K852" s="1" t="str">
        <f t="shared" si="2"/>
        <v>3</v>
      </c>
      <c r="L852" s="5"/>
      <c r="M852" s="2" t="str">
        <f t="shared" si="3"/>
        <v>1397</v>
      </c>
      <c r="N852" s="1">
        <v>25.0</v>
      </c>
      <c r="O852" s="2">
        <v>5.0</v>
      </c>
      <c r="P852" s="5"/>
      <c r="Q852" s="5"/>
      <c r="R852" s="6" t="s">
        <v>2318</v>
      </c>
      <c r="S852" s="5"/>
      <c r="T852" s="1" t="str">
        <f>IFERROR(__xludf.DUMMYFUNCTION("INDEX(SPLIT(A852, ""/""), 2)"),"انجمن‌های علمی و نشریات وابسته به دانشکده‌ها")</f>
        <v>انجمن‌های علمی و نشریات وابسته به دانشکده‌ها</v>
      </c>
      <c r="U852" s="1" t="str">
        <f>IFERROR(__xludf.DUMMYFUNCTION("INDEX(SPLIT(A852, ""/""), 3)"),"دانشکده مهندسی مکانیک")</f>
        <v>دانشکده مهندسی مکانیک</v>
      </c>
      <c r="V852" s="1" t="str">
        <f>IFERROR(__xludf.DUMMYFUNCTION("INDEX(SPLIT(A852, ""/""), 4)"),"خمش و برش")</f>
        <v>خمش و برش</v>
      </c>
    </row>
    <row r="853">
      <c r="A853" s="1" t="s">
        <v>2777</v>
      </c>
      <c r="B853" s="1" t="s">
        <v>2797</v>
      </c>
      <c r="C853" s="1" t="s">
        <v>21</v>
      </c>
      <c r="D853" s="4" t="s">
        <v>2798</v>
      </c>
      <c r="E853" s="1" t="s">
        <v>2780</v>
      </c>
      <c r="F853" s="1" t="s">
        <v>2799</v>
      </c>
      <c r="G853" s="1" t="s">
        <v>791</v>
      </c>
      <c r="H853" s="1" t="s">
        <v>308</v>
      </c>
      <c r="I853" s="1" t="str">
        <f t="shared" si="1"/>
        <v>x</v>
      </c>
      <c r="J853" s="5"/>
      <c r="K853" s="1" t="str">
        <f t="shared" si="2"/>
        <v>7</v>
      </c>
      <c r="L853" s="5"/>
      <c r="M853" s="2" t="str">
        <f t="shared" si="3"/>
        <v>1397</v>
      </c>
      <c r="N853" s="1">
        <v>26.0</v>
      </c>
      <c r="O853" s="2">
        <v>1.0</v>
      </c>
      <c r="P853" s="5"/>
      <c r="Q853" s="5"/>
      <c r="R853" s="6" t="s">
        <v>309</v>
      </c>
      <c r="S853" s="5"/>
      <c r="T853" s="1" t="str">
        <f>IFERROR(__xludf.DUMMYFUNCTION("INDEX(SPLIT(A853, ""/""), 2)"),"انجمن‌های علمی و نشریات وابسته به دانشکده‌ها")</f>
        <v>انجمن‌های علمی و نشریات وابسته به دانشکده‌ها</v>
      </c>
      <c r="U853" s="1" t="str">
        <f>IFERROR(__xludf.DUMMYFUNCTION("INDEX(SPLIT(A853, ""/""), 3)"),"دانشکده مهندسی مکانیک")</f>
        <v>دانشکده مهندسی مکانیک</v>
      </c>
      <c r="V853" s="1" t="str">
        <f>IFERROR(__xludf.DUMMYFUNCTION("INDEX(SPLIT(A853, ""/""), 4)"),"خمش و برش")</f>
        <v>خمش و برش</v>
      </c>
    </row>
    <row r="854">
      <c r="A854" s="1" t="s">
        <v>2777</v>
      </c>
      <c r="B854" s="1" t="s">
        <v>2800</v>
      </c>
      <c r="C854" s="1" t="s">
        <v>21</v>
      </c>
      <c r="D854" s="4" t="s">
        <v>2801</v>
      </c>
      <c r="E854" s="1" t="s">
        <v>2780</v>
      </c>
      <c r="F854" s="1" t="s">
        <v>2799</v>
      </c>
      <c r="G854" s="1" t="s">
        <v>791</v>
      </c>
      <c r="H854" s="1" t="s">
        <v>313</v>
      </c>
      <c r="I854" s="1" t="str">
        <f t="shared" si="1"/>
        <v>x</v>
      </c>
      <c r="J854" s="5"/>
      <c r="K854" s="1" t="str">
        <f t="shared" si="2"/>
        <v>8</v>
      </c>
      <c r="L854" s="5"/>
      <c r="M854" s="2" t="str">
        <f t="shared" si="3"/>
        <v>1397</v>
      </c>
      <c r="N854" s="1">
        <v>26.0</v>
      </c>
      <c r="O854" s="2">
        <v>2.0</v>
      </c>
      <c r="P854" s="5"/>
      <c r="Q854" s="5"/>
      <c r="R854" s="6" t="s">
        <v>314</v>
      </c>
      <c r="S854" s="5"/>
      <c r="T854" s="1" t="str">
        <f>IFERROR(__xludf.DUMMYFUNCTION("INDEX(SPLIT(A854, ""/""), 2)"),"انجمن‌های علمی و نشریات وابسته به دانشکده‌ها")</f>
        <v>انجمن‌های علمی و نشریات وابسته به دانشکده‌ها</v>
      </c>
      <c r="U854" s="1" t="str">
        <f>IFERROR(__xludf.DUMMYFUNCTION("INDEX(SPLIT(A854, ""/""), 3)"),"دانشکده مهندسی مکانیک")</f>
        <v>دانشکده مهندسی مکانیک</v>
      </c>
      <c r="V854" s="1" t="str">
        <f>IFERROR(__xludf.DUMMYFUNCTION("INDEX(SPLIT(A854, ""/""), 4)"),"خمش و برش")</f>
        <v>خمش و برش</v>
      </c>
    </row>
    <row r="855">
      <c r="A855" s="1" t="s">
        <v>2777</v>
      </c>
      <c r="B855" s="1" t="s">
        <v>2802</v>
      </c>
      <c r="C855" s="1" t="s">
        <v>21</v>
      </c>
      <c r="D855" s="4" t="s">
        <v>2803</v>
      </c>
      <c r="E855" s="1" t="s">
        <v>2780</v>
      </c>
      <c r="F855" s="1" t="s">
        <v>2799</v>
      </c>
      <c r="G855" s="1" t="s">
        <v>791</v>
      </c>
      <c r="H855" s="1" t="s">
        <v>313</v>
      </c>
      <c r="I855" s="1" t="str">
        <f t="shared" si="1"/>
        <v>x</v>
      </c>
      <c r="J855" s="5"/>
      <c r="K855" s="1" t="str">
        <f t="shared" si="2"/>
        <v>8</v>
      </c>
      <c r="L855" s="5"/>
      <c r="M855" s="2" t="str">
        <f t="shared" si="3"/>
        <v>1397</v>
      </c>
      <c r="N855" s="1">
        <v>26.0</v>
      </c>
      <c r="O855" s="2" t="s">
        <v>2804</v>
      </c>
      <c r="P855" s="5"/>
      <c r="Q855" s="5"/>
      <c r="R855" s="6" t="s">
        <v>314</v>
      </c>
      <c r="S855" s="5"/>
      <c r="T855" s="1" t="str">
        <f>IFERROR(__xludf.DUMMYFUNCTION("INDEX(SPLIT(A855, ""/""), 2)"),"انجمن‌های علمی و نشریات وابسته به دانشکده‌ها")</f>
        <v>انجمن‌های علمی و نشریات وابسته به دانشکده‌ها</v>
      </c>
      <c r="U855" s="1" t="str">
        <f>IFERROR(__xludf.DUMMYFUNCTION("INDEX(SPLIT(A855, ""/""), 3)"),"دانشکده مهندسی مکانیک")</f>
        <v>دانشکده مهندسی مکانیک</v>
      </c>
      <c r="V855" s="1" t="str">
        <f>IFERROR(__xludf.DUMMYFUNCTION("INDEX(SPLIT(A855, ""/""), 4)"),"خمش و برش")</f>
        <v>خمش و برش</v>
      </c>
    </row>
    <row r="856">
      <c r="A856" s="1" t="s">
        <v>2777</v>
      </c>
      <c r="B856" s="1" t="s">
        <v>2805</v>
      </c>
      <c r="C856" s="1" t="s">
        <v>21</v>
      </c>
      <c r="D856" s="4" t="s">
        <v>2806</v>
      </c>
      <c r="E856" s="1" t="s">
        <v>2780</v>
      </c>
      <c r="F856" s="1" t="s">
        <v>2799</v>
      </c>
      <c r="G856" s="1" t="s">
        <v>791</v>
      </c>
      <c r="H856" s="1" t="s">
        <v>317</v>
      </c>
      <c r="I856" s="1" t="str">
        <f t="shared" si="1"/>
        <v>x</v>
      </c>
      <c r="J856" s="5"/>
      <c r="K856" s="1" t="str">
        <f t="shared" si="2"/>
        <v>9</v>
      </c>
      <c r="L856" s="5"/>
      <c r="M856" s="2" t="str">
        <f t="shared" si="3"/>
        <v>1397</v>
      </c>
      <c r="N856" s="1">
        <v>26.0</v>
      </c>
      <c r="O856" s="2">
        <v>3.0</v>
      </c>
      <c r="P856" s="5"/>
      <c r="Q856" s="5"/>
      <c r="R856" s="6" t="s">
        <v>318</v>
      </c>
      <c r="S856" s="5"/>
      <c r="T856" s="1" t="str">
        <f>IFERROR(__xludf.DUMMYFUNCTION("INDEX(SPLIT(A856, ""/""), 2)"),"انجمن‌های علمی و نشریات وابسته به دانشکده‌ها")</f>
        <v>انجمن‌های علمی و نشریات وابسته به دانشکده‌ها</v>
      </c>
      <c r="U856" s="1" t="str">
        <f>IFERROR(__xludf.DUMMYFUNCTION("INDEX(SPLIT(A856, ""/""), 3)"),"دانشکده مهندسی مکانیک")</f>
        <v>دانشکده مهندسی مکانیک</v>
      </c>
      <c r="V856" s="1" t="str">
        <f>IFERROR(__xludf.DUMMYFUNCTION("INDEX(SPLIT(A856, ""/""), 4)"),"خمش و برش")</f>
        <v>خمش و برش</v>
      </c>
    </row>
    <row r="857">
      <c r="A857" s="1" t="s">
        <v>2777</v>
      </c>
      <c r="B857" s="1" t="s">
        <v>2807</v>
      </c>
      <c r="C857" s="1" t="s">
        <v>21</v>
      </c>
      <c r="D857" s="4" t="s">
        <v>2808</v>
      </c>
      <c r="E857" s="1" t="s">
        <v>2780</v>
      </c>
      <c r="F857" s="1" t="s">
        <v>2799</v>
      </c>
      <c r="G857" s="1" t="s">
        <v>791</v>
      </c>
      <c r="H857" s="1" t="s">
        <v>317</v>
      </c>
      <c r="I857" s="1" t="str">
        <f t="shared" si="1"/>
        <v>x</v>
      </c>
      <c r="J857" s="5"/>
      <c r="K857" s="1" t="str">
        <f t="shared" si="2"/>
        <v>9</v>
      </c>
      <c r="L857" s="5"/>
      <c r="M857" s="2" t="str">
        <f t="shared" si="3"/>
        <v>1397</v>
      </c>
      <c r="N857" s="1">
        <v>26.0</v>
      </c>
      <c r="O857" s="2" t="s">
        <v>2809</v>
      </c>
      <c r="P857" s="5"/>
      <c r="Q857" s="5"/>
      <c r="R857" s="6" t="s">
        <v>318</v>
      </c>
      <c r="S857" s="5"/>
      <c r="T857" s="1" t="str">
        <f>IFERROR(__xludf.DUMMYFUNCTION("INDEX(SPLIT(A857, ""/""), 2)"),"انجمن‌های علمی و نشریات وابسته به دانشکده‌ها")</f>
        <v>انجمن‌های علمی و نشریات وابسته به دانشکده‌ها</v>
      </c>
      <c r="U857" s="1" t="str">
        <f>IFERROR(__xludf.DUMMYFUNCTION("INDEX(SPLIT(A857, ""/""), 3)"),"دانشکده مهندسی مکانیک")</f>
        <v>دانشکده مهندسی مکانیک</v>
      </c>
      <c r="V857" s="1" t="str">
        <f>IFERROR(__xludf.DUMMYFUNCTION("INDEX(SPLIT(A857, ""/""), 4)"),"خمش و برش")</f>
        <v>خمش و برش</v>
      </c>
    </row>
    <row r="858">
      <c r="A858" s="1" t="s">
        <v>2777</v>
      </c>
      <c r="B858" s="1" t="s">
        <v>2810</v>
      </c>
      <c r="C858" s="1" t="s">
        <v>21</v>
      </c>
      <c r="D858" s="4" t="s">
        <v>2811</v>
      </c>
      <c r="E858" s="1" t="s">
        <v>2780</v>
      </c>
      <c r="F858" s="1" t="s">
        <v>2799</v>
      </c>
      <c r="G858" s="1" t="s">
        <v>791</v>
      </c>
      <c r="H858" s="1" t="s">
        <v>177</v>
      </c>
      <c r="I858" s="1" t="str">
        <f t="shared" si="1"/>
        <v>x</v>
      </c>
      <c r="J858" s="5"/>
      <c r="K858" s="1" t="str">
        <f t="shared" si="2"/>
        <v>11</v>
      </c>
      <c r="L858" s="5"/>
      <c r="M858" s="2" t="str">
        <f t="shared" si="3"/>
        <v>1397</v>
      </c>
      <c r="N858" s="1">
        <v>26.0</v>
      </c>
      <c r="O858" s="2">
        <v>4.0</v>
      </c>
      <c r="P858" s="5"/>
      <c r="Q858" s="5"/>
      <c r="R858" s="6" t="s">
        <v>178</v>
      </c>
      <c r="S858" s="5"/>
      <c r="T858" s="1" t="str">
        <f>IFERROR(__xludf.DUMMYFUNCTION("INDEX(SPLIT(A858, ""/""), 2)"),"انجمن‌های علمی و نشریات وابسته به دانشکده‌ها")</f>
        <v>انجمن‌های علمی و نشریات وابسته به دانشکده‌ها</v>
      </c>
      <c r="U858" s="1" t="str">
        <f>IFERROR(__xludf.DUMMYFUNCTION("INDEX(SPLIT(A858, ""/""), 3)"),"دانشکده مهندسی مکانیک")</f>
        <v>دانشکده مهندسی مکانیک</v>
      </c>
      <c r="V858" s="1" t="str">
        <f>IFERROR(__xludf.DUMMYFUNCTION("INDEX(SPLIT(A858, ""/""), 4)"),"خمش و برش")</f>
        <v>خمش و برش</v>
      </c>
    </row>
    <row r="859">
      <c r="A859" s="1" t="s">
        <v>2777</v>
      </c>
      <c r="B859" s="1" t="s">
        <v>2812</v>
      </c>
      <c r="C859" s="1" t="s">
        <v>21</v>
      </c>
      <c r="D859" s="4" t="s">
        <v>2813</v>
      </c>
      <c r="E859" s="1" t="s">
        <v>2780</v>
      </c>
      <c r="F859" s="1" t="s">
        <v>2799</v>
      </c>
      <c r="G859" s="1" t="s">
        <v>791</v>
      </c>
      <c r="H859" s="1" t="s">
        <v>177</v>
      </c>
      <c r="I859" s="1" t="str">
        <f t="shared" si="1"/>
        <v>x</v>
      </c>
      <c r="J859" s="5"/>
      <c r="K859" s="1" t="str">
        <f t="shared" si="2"/>
        <v>11</v>
      </c>
      <c r="L859" s="5"/>
      <c r="M859" s="2" t="str">
        <f t="shared" si="3"/>
        <v>1397</v>
      </c>
      <c r="N859" s="1">
        <v>26.0</v>
      </c>
      <c r="O859" s="2" t="s">
        <v>2814</v>
      </c>
      <c r="P859" s="5"/>
      <c r="Q859" s="5"/>
      <c r="R859" s="6" t="s">
        <v>178</v>
      </c>
      <c r="S859" s="5"/>
      <c r="T859" s="1" t="str">
        <f>IFERROR(__xludf.DUMMYFUNCTION("INDEX(SPLIT(A859, ""/""), 2)"),"انجمن‌های علمی و نشریات وابسته به دانشکده‌ها")</f>
        <v>انجمن‌های علمی و نشریات وابسته به دانشکده‌ها</v>
      </c>
      <c r="U859" s="1" t="str">
        <f>IFERROR(__xludf.DUMMYFUNCTION("INDEX(SPLIT(A859, ""/""), 3)"),"دانشکده مهندسی مکانیک")</f>
        <v>دانشکده مهندسی مکانیک</v>
      </c>
      <c r="V859" s="1" t="str">
        <f>IFERROR(__xludf.DUMMYFUNCTION("INDEX(SPLIT(A859, ""/""), 4)"),"خمش و برش")</f>
        <v>خمش و برش</v>
      </c>
    </row>
    <row r="860">
      <c r="A860" s="1" t="s">
        <v>2777</v>
      </c>
      <c r="B860" s="1" t="s">
        <v>2815</v>
      </c>
      <c r="C860" s="1" t="s">
        <v>21</v>
      </c>
      <c r="D860" s="4" t="s">
        <v>2816</v>
      </c>
      <c r="E860" s="1" t="s">
        <v>2780</v>
      </c>
      <c r="F860" s="1" t="s">
        <v>2799</v>
      </c>
      <c r="G860" s="1" t="s">
        <v>791</v>
      </c>
      <c r="H860" s="1" t="s">
        <v>181</v>
      </c>
      <c r="I860" s="1" t="str">
        <f t="shared" si="1"/>
        <v>x</v>
      </c>
      <c r="J860" s="5"/>
      <c r="K860" s="1" t="str">
        <f t="shared" si="2"/>
        <v>12</v>
      </c>
      <c r="L860" s="5"/>
      <c r="M860" s="2" t="str">
        <f t="shared" si="3"/>
        <v>1397</v>
      </c>
      <c r="N860" s="1">
        <v>26.0</v>
      </c>
      <c r="O860" s="2">
        <v>5.0</v>
      </c>
      <c r="P860" s="5"/>
      <c r="Q860" s="5"/>
      <c r="R860" s="6" t="s">
        <v>182</v>
      </c>
      <c r="S860" s="5"/>
      <c r="T860" s="1" t="str">
        <f>IFERROR(__xludf.DUMMYFUNCTION("INDEX(SPLIT(A860, ""/""), 2)"),"انجمن‌های علمی و نشریات وابسته به دانشکده‌ها")</f>
        <v>انجمن‌های علمی و نشریات وابسته به دانشکده‌ها</v>
      </c>
      <c r="U860" s="1" t="str">
        <f>IFERROR(__xludf.DUMMYFUNCTION("INDEX(SPLIT(A860, ""/""), 3)"),"دانشکده مهندسی مکانیک")</f>
        <v>دانشکده مهندسی مکانیک</v>
      </c>
      <c r="V860" s="1" t="str">
        <f>IFERROR(__xludf.DUMMYFUNCTION("INDEX(SPLIT(A860, ""/""), 4)"),"خمش و برش")</f>
        <v>خمش و برش</v>
      </c>
    </row>
    <row r="861">
      <c r="A861" s="1" t="s">
        <v>2777</v>
      </c>
      <c r="B861" s="1" t="s">
        <v>2817</v>
      </c>
      <c r="C861" s="1" t="s">
        <v>21</v>
      </c>
      <c r="D861" s="4" t="s">
        <v>2818</v>
      </c>
      <c r="E861" s="1" t="s">
        <v>2780</v>
      </c>
      <c r="F861" s="1" t="s">
        <v>2799</v>
      </c>
      <c r="G861" s="1" t="s">
        <v>791</v>
      </c>
      <c r="H861" s="1" t="s">
        <v>181</v>
      </c>
      <c r="I861" s="1" t="str">
        <f t="shared" si="1"/>
        <v>x</v>
      </c>
      <c r="J861" s="5"/>
      <c r="K861" s="1" t="str">
        <f t="shared" si="2"/>
        <v>12</v>
      </c>
      <c r="L861" s="5"/>
      <c r="M861" s="2" t="str">
        <f t="shared" si="3"/>
        <v>1397</v>
      </c>
      <c r="N861" s="1">
        <v>26.0</v>
      </c>
      <c r="O861" s="2" t="s">
        <v>2819</v>
      </c>
      <c r="P861" s="5"/>
      <c r="Q861" s="5"/>
      <c r="R861" s="6" t="s">
        <v>182</v>
      </c>
      <c r="S861" s="5"/>
      <c r="T861" s="1" t="str">
        <f>IFERROR(__xludf.DUMMYFUNCTION("INDEX(SPLIT(A861, ""/""), 2)"),"انجمن‌های علمی و نشریات وابسته به دانشکده‌ها")</f>
        <v>انجمن‌های علمی و نشریات وابسته به دانشکده‌ها</v>
      </c>
      <c r="U861" s="1" t="str">
        <f>IFERROR(__xludf.DUMMYFUNCTION("INDEX(SPLIT(A861, ""/""), 3)"),"دانشکده مهندسی مکانیک")</f>
        <v>دانشکده مهندسی مکانیک</v>
      </c>
      <c r="V861" s="1" t="str">
        <f>IFERROR(__xludf.DUMMYFUNCTION("INDEX(SPLIT(A861, ""/""), 4)"),"خمش و برش")</f>
        <v>خمش و برش</v>
      </c>
    </row>
    <row r="862">
      <c r="A862" s="1" t="s">
        <v>2777</v>
      </c>
      <c r="B862" s="1" t="s">
        <v>2820</v>
      </c>
      <c r="C862" s="1" t="s">
        <v>21</v>
      </c>
      <c r="D862" s="4" t="s">
        <v>2821</v>
      </c>
      <c r="E862" s="1" t="s">
        <v>2780</v>
      </c>
      <c r="F862" s="1" t="s">
        <v>2799</v>
      </c>
      <c r="G862" s="1" t="s">
        <v>791</v>
      </c>
      <c r="H862" s="1" t="s">
        <v>185</v>
      </c>
      <c r="I862" s="1" t="str">
        <f t="shared" si="1"/>
        <v>x</v>
      </c>
      <c r="J862" s="5"/>
      <c r="K862" s="1" t="str">
        <f t="shared" si="2"/>
        <v>1</v>
      </c>
      <c r="L862" s="5"/>
      <c r="M862" s="2" t="str">
        <f t="shared" si="3"/>
        <v>1398</v>
      </c>
      <c r="N862" s="1">
        <v>26.0</v>
      </c>
      <c r="O862" s="2">
        <v>6.0</v>
      </c>
      <c r="P862" s="5"/>
      <c r="Q862" s="5"/>
      <c r="R862" s="6" t="s">
        <v>186</v>
      </c>
      <c r="S862" s="5"/>
      <c r="T862" s="1" t="str">
        <f>IFERROR(__xludf.DUMMYFUNCTION("INDEX(SPLIT(A862, ""/""), 2)"),"انجمن‌های علمی و نشریات وابسته به دانشکده‌ها")</f>
        <v>انجمن‌های علمی و نشریات وابسته به دانشکده‌ها</v>
      </c>
      <c r="U862" s="1" t="str">
        <f>IFERROR(__xludf.DUMMYFUNCTION("INDEX(SPLIT(A862, ""/""), 3)"),"دانشکده مهندسی مکانیک")</f>
        <v>دانشکده مهندسی مکانیک</v>
      </c>
      <c r="V862" s="1" t="str">
        <f>IFERROR(__xludf.DUMMYFUNCTION("INDEX(SPLIT(A862, ""/""), 4)"),"خمش و برش")</f>
        <v>خمش و برش</v>
      </c>
    </row>
    <row r="863">
      <c r="A863" s="1" t="s">
        <v>2777</v>
      </c>
      <c r="B863" s="1" t="s">
        <v>2822</v>
      </c>
      <c r="C863" s="1" t="s">
        <v>21</v>
      </c>
      <c r="D863" s="4" t="s">
        <v>2823</v>
      </c>
      <c r="E863" s="1" t="s">
        <v>2780</v>
      </c>
      <c r="F863" s="1" t="s">
        <v>2799</v>
      </c>
      <c r="G863" s="1" t="s">
        <v>791</v>
      </c>
      <c r="H863" s="1" t="s">
        <v>185</v>
      </c>
      <c r="I863" s="1" t="str">
        <f t="shared" si="1"/>
        <v>x</v>
      </c>
      <c r="J863" s="5"/>
      <c r="K863" s="1" t="str">
        <f t="shared" si="2"/>
        <v>1</v>
      </c>
      <c r="L863" s="5"/>
      <c r="M863" s="2" t="str">
        <f t="shared" si="3"/>
        <v>1398</v>
      </c>
      <c r="N863" s="1">
        <v>26.0</v>
      </c>
      <c r="O863" s="2" t="s">
        <v>2824</v>
      </c>
      <c r="P863" s="5"/>
      <c r="Q863" s="5"/>
      <c r="R863" s="6" t="s">
        <v>186</v>
      </c>
      <c r="S863" s="5"/>
      <c r="T863" s="1" t="str">
        <f>IFERROR(__xludf.DUMMYFUNCTION("INDEX(SPLIT(A863, ""/""), 2)"),"انجمن‌های علمی و نشریات وابسته به دانشکده‌ها")</f>
        <v>انجمن‌های علمی و نشریات وابسته به دانشکده‌ها</v>
      </c>
      <c r="U863" s="1" t="str">
        <f>IFERROR(__xludf.DUMMYFUNCTION("INDEX(SPLIT(A863, ""/""), 3)"),"دانشکده مهندسی مکانیک")</f>
        <v>دانشکده مهندسی مکانیک</v>
      </c>
      <c r="V863" s="1" t="str">
        <f>IFERROR(__xludf.DUMMYFUNCTION("INDEX(SPLIT(A863, ""/""), 4)"),"خمش و برش")</f>
        <v>خمش و برش</v>
      </c>
    </row>
    <row r="864">
      <c r="A864" s="1" t="s">
        <v>2777</v>
      </c>
      <c r="B864" s="1" t="s">
        <v>2825</v>
      </c>
      <c r="C864" s="1" t="s">
        <v>21</v>
      </c>
      <c r="D864" s="4" t="s">
        <v>2826</v>
      </c>
      <c r="E864" s="1" t="s">
        <v>2780</v>
      </c>
      <c r="F864" s="1" t="s">
        <v>2799</v>
      </c>
      <c r="G864" s="1" t="s">
        <v>791</v>
      </c>
      <c r="H864" s="1" t="s">
        <v>189</v>
      </c>
      <c r="I864" s="1" t="str">
        <f t="shared" si="1"/>
        <v>x</v>
      </c>
      <c r="J864" s="5"/>
      <c r="K864" s="1" t="str">
        <f t="shared" si="2"/>
        <v>3</v>
      </c>
      <c r="L864" s="5"/>
      <c r="M864" s="2" t="str">
        <f t="shared" si="3"/>
        <v>1398</v>
      </c>
      <c r="N864" s="1">
        <v>26.0</v>
      </c>
      <c r="O864" s="2">
        <v>7.0</v>
      </c>
      <c r="P864" s="5"/>
      <c r="Q864" s="5"/>
      <c r="R864" s="6" t="s">
        <v>190</v>
      </c>
      <c r="S864" s="5"/>
      <c r="T864" s="1" t="str">
        <f>IFERROR(__xludf.DUMMYFUNCTION("INDEX(SPLIT(A864, ""/""), 2)"),"انجمن‌های علمی و نشریات وابسته به دانشکده‌ها")</f>
        <v>انجمن‌های علمی و نشریات وابسته به دانشکده‌ها</v>
      </c>
      <c r="U864" s="1" t="str">
        <f>IFERROR(__xludf.DUMMYFUNCTION("INDEX(SPLIT(A864, ""/""), 3)"),"دانشکده مهندسی مکانیک")</f>
        <v>دانشکده مهندسی مکانیک</v>
      </c>
      <c r="V864" s="1" t="str">
        <f>IFERROR(__xludf.DUMMYFUNCTION("INDEX(SPLIT(A864, ""/""), 4)"),"خمش و برش")</f>
        <v>خمش و برش</v>
      </c>
    </row>
    <row r="865">
      <c r="A865" s="1" t="s">
        <v>2777</v>
      </c>
      <c r="B865" s="1" t="s">
        <v>2827</v>
      </c>
      <c r="C865" s="1" t="s">
        <v>21</v>
      </c>
      <c r="D865" s="4" t="s">
        <v>2828</v>
      </c>
      <c r="E865" s="1" t="s">
        <v>2780</v>
      </c>
      <c r="F865" s="1" t="s">
        <v>2799</v>
      </c>
      <c r="G865" s="1" t="s">
        <v>791</v>
      </c>
      <c r="H865" s="1" t="s">
        <v>189</v>
      </c>
      <c r="I865" s="1" t="str">
        <f t="shared" si="1"/>
        <v>x</v>
      </c>
      <c r="J865" s="5"/>
      <c r="K865" s="1" t="str">
        <f t="shared" si="2"/>
        <v>3</v>
      </c>
      <c r="L865" s="5"/>
      <c r="M865" s="2" t="str">
        <f t="shared" si="3"/>
        <v>1398</v>
      </c>
      <c r="N865" s="1">
        <v>26.0</v>
      </c>
      <c r="O865" s="2" t="s">
        <v>2829</v>
      </c>
      <c r="P865" s="5"/>
      <c r="Q865" s="5"/>
      <c r="R865" s="6" t="s">
        <v>190</v>
      </c>
      <c r="S865" s="5"/>
      <c r="T865" s="1" t="str">
        <f>IFERROR(__xludf.DUMMYFUNCTION("INDEX(SPLIT(A865, ""/""), 2)"),"انجمن‌های علمی و نشریات وابسته به دانشکده‌ها")</f>
        <v>انجمن‌های علمی و نشریات وابسته به دانشکده‌ها</v>
      </c>
      <c r="U865" s="1" t="str">
        <f>IFERROR(__xludf.DUMMYFUNCTION("INDEX(SPLIT(A865, ""/""), 3)"),"دانشکده مهندسی مکانیک")</f>
        <v>دانشکده مهندسی مکانیک</v>
      </c>
      <c r="V865" s="1" t="str">
        <f>IFERROR(__xludf.DUMMYFUNCTION("INDEX(SPLIT(A865, ""/""), 4)"),"خمش و برش")</f>
        <v>خمش و برش</v>
      </c>
    </row>
    <row r="866">
      <c r="A866" s="1" t="s">
        <v>2777</v>
      </c>
      <c r="B866" s="1" t="s">
        <v>2830</v>
      </c>
      <c r="C866" s="1" t="s">
        <v>21</v>
      </c>
      <c r="D866" s="4" t="s">
        <v>2831</v>
      </c>
      <c r="E866" s="1" t="s">
        <v>2780</v>
      </c>
      <c r="F866" s="1" t="s">
        <v>2799</v>
      </c>
      <c r="G866" s="1" t="s">
        <v>791</v>
      </c>
      <c r="H866" s="1" t="s">
        <v>347</v>
      </c>
      <c r="I866" s="1" t="str">
        <f t="shared" si="1"/>
        <v>x</v>
      </c>
      <c r="J866" s="5"/>
      <c r="K866" s="1" t="str">
        <f t="shared" si="2"/>
        <v>7</v>
      </c>
      <c r="L866" s="5"/>
      <c r="M866" s="2" t="str">
        <f t="shared" si="3"/>
        <v>1398</v>
      </c>
      <c r="N866" s="1">
        <v>27.0</v>
      </c>
      <c r="O866" s="2">
        <v>1.0</v>
      </c>
      <c r="P866" s="5"/>
      <c r="Q866" s="5"/>
      <c r="R866" s="6" t="s">
        <v>348</v>
      </c>
      <c r="S866" s="5"/>
      <c r="T866" s="1" t="str">
        <f>IFERROR(__xludf.DUMMYFUNCTION("INDEX(SPLIT(A866, ""/""), 2)"),"انجمن‌های علمی و نشریات وابسته به دانشکده‌ها")</f>
        <v>انجمن‌های علمی و نشریات وابسته به دانشکده‌ها</v>
      </c>
      <c r="U866" s="1" t="str">
        <f>IFERROR(__xludf.DUMMYFUNCTION("INDEX(SPLIT(A866, ""/""), 3)"),"دانشکده مهندسی مکانیک")</f>
        <v>دانشکده مهندسی مکانیک</v>
      </c>
      <c r="V866" s="1" t="str">
        <f>IFERROR(__xludf.DUMMYFUNCTION("INDEX(SPLIT(A866, ""/""), 4)"),"خمش و برش")</f>
        <v>خمش و برش</v>
      </c>
    </row>
    <row r="867">
      <c r="A867" s="1" t="s">
        <v>2777</v>
      </c>
      <c r="B867" s="1" t="s">
        <v>2832</v>
      </c>
      <c r="C867" s="1" t="s">
        <v>21</v>
      </c>
      <c r="D867" s="4" t="s">
        <v>2833</v>
      </c>
      <c r="E867" s="1" t="s">
        <v>2780</v>
      </c>
      <c r="F867" s="1" t="s">
        <v>2834</v>
      </c>
      <c r="G867" s="1" t="s">
        <v>2835</v>
      </c>
      <c r="H867" s="1" t="s">
        <v>351</v>
      </c>
      <c r="I867" s="1" t="str">
        <f t="shared" si="1"/>
        <v>x</v>
      </c>
      <c r="J867" s="5"/>
      <c r="K867" s="1" t="str">
        <f t="shared" si="2"/>
        <v>8</v>
      </c>
      <c r="L867" s="5"/>
      <c r="M867" s="2" t="str">
        <f t="shared" si="3"/>
        <v>1398</v>
      </c>
      <c r="N867" s="1">
        <v>27.0</v>
      </c>
      <c r="O867" s="2">
        <v>2.0</v>
      </c>
      <c r="P867" s="5"/>
      <c r="Q867" s="5"/>
      <c r="R867" s="6" t="s">
        <v>352</v>
      </c>
      <c r="S867" s="5"/>
      <c r="T867" s="1" t="str">
        <f>IFERROR(__xludf.DUMMYFUNCTION("INDEX(SPLIT(A867, ""/""), 2)"),"انجمن‌های علمی و نشریات وابسته به دانشکده‌ها")</f>
        <v>انجمن‌های علمی و نشریات وابسته به دانشکده‌ها</v>
      </c>
      <c r="U867" s="1" t="str">
        <f>IFERROR(__xludf.DUMMYFUNCTION("INDEX(SPLIT(A867, ""/""), 3)"),"دانشکده مهندسی مکانیک")</f>
        <v>دانشکده مهندسی مکانیک</v>
      </c>
      <c r="V867" s="1" t="str">
        <f>IFERROR(__xludf.DUMMYFUNCTION("INDEX(SPLIT(A867, ""/""), 4)"),"خمش و برش")</f>
        <v>خمش و برش</v>
      </c>
    </row>
    <row r="868">
      <c r="A868" s="1" t="s">
        <v>2777</v>
      </c>
      <c r="B868" s="1" t="s">
        <v>2836</v>
      </c>
      <c r="C868" s="1" t="s">
        <v>21</v>
      </c>
      <c r="D868" s="4" t="s">
        <v>2837</v>
      </c>
      <c r="E868" s="1" t="s">
        <v>2780</v>
      </c>
      <c r="F868" s="1" t="s">
        <v>2834</v>
      </c>
      <c r="G868" s="1" t="s">
        <v>2835</v>
      </c>
      <c r="H868" s="1" t="s">
        <v>351</v>
      </c>
      <c r="I868" s="1" t="str">
        <f t="shared" si="1"/>
        <v>x</v>
      </c>
      <c r="J868" s="5"/>
      <c r="K868" s="1" t="str">
        <f t="shared" si="2"/>
        <v>8</v>
      </c>
      <c r="L868" s="5"/>
      <c r="M868" s="2" t="str">
        <f t="shared" si="3"/>
        <v>1398</v>
      </c>
      <c r="N868" s="1">
        <v>27.0</v>
      </c>
      <c r="O868" s="2" t="s">
        <v>2809</v>
      </c>
      <c r="P868" s="5"/>
      <c r="Q868" s="5"/>
      <c r="R868" s="6" t="s">
        <v>352</v>
      </c>
      <c r="S868" s="5"/>
      <c r="T868" s="1" t="str">
        <f>IFERROR(__xludf.DUMMYFUNCTION("INDEX(SPLIT(A868, ""/""), 2)"),"انجمن‌های علمی و نشریات وابسته به دانشکده‌ها")</f>
        <v>انجمن‌های علمی و نشریات وابسته به دانشکده‌ها</v>
      </c>
      <c r="U868" s="1" t="str">
        <f>IFERROR(__xludf.DUMMYFUNCTION("INDEX(SPLIT(A868, ""/""), 3)"),"دانشکده مهندسی مکانیک")</f>
        <v>دانشکده مهندسی مکانیک</v>
      </c>
      <c r="V868" s="1" t="str">
        <f>IFERROR(__xludf.DUMMYFUNCTION("INDEX(SPLIT(A868, ""/""), 4)"),"خمش و برش")</f>
        <v>خمش و برش</v>
      </c>
    </row>
    <row r="869">
      <c r="A869" s="1" t="s">
        <v>2777</v>
      </c>
      <c r="B869" s="1" t="s">
        <v>2838</v>
      </c>
      <c r="C869" s="1" t="s">
        <v>21</v>
      </c>
      <c r="D869" s="4" t="s">
        <v>2839</v>
      </c>
      <c r="E869" s="1" t="s">
        <v>2780</v>
      </c>
      <c r="F869" s="1" t="s">
        <v>2834</v>
      </c>
      <c r="G869" s="1" t="s">
        <v>2835</v>
      </c>
      <c r="H869" s="1" t="s">
        <v>195</v>
      </c>
      <c r="I869" s="1" t="str">
        <f t="shared" si="1"/>
        <v>x</v>
      </c>
      <c r="J869" s="5"/>
      <c r="K869" s="1" t="str">
        <f t="shared" si="2"/>
        <v>9</v>
      </c>
      <c r="L869" s="5"/>
      <c r="M869" s="2" t="str">
        <f t="shared" si="3"/>
        <v>1398</v>
      </c>
      <c r="N869" s="1">
        <v>27.0</v>
      </c>
      <c r="O869" s="2">
        <v>3.0</v>
      </c>
      <c r="P869" s="5"/>
      <c r="Q869" s="5"/>
      <c r="R869" s="6" t="s">
        <v>196</v>
      </c>
      <c r="S869" s="5"/>
      <c r="T869" s="1" t="str">
        <f>IFERROR(__xludf.DUMMYFUNCTION("INDEX(SPLIT(A869, ""/""), 2)"),"انجمن‌های علمی و نشریات وابسته به دانشکده‌ها")</f>
        <v>انجمن‌های علمی و نشریات وابسته به دانشکده‌ها</v>
      </c>
      <c r="U869" s="1" t="str">
        <f>IFERROR(__xludf.DUMMYFUNCTION("INDEX(SPLIT(A869, ""/""), 3)"),"دانشکده مهندسی مکانیک")</f>
        <v>دانشکده مهندسی مکانیک</v>
      </c>
      <c r="V869" s="1" t="str">
        <f>IFERROR(__xludf.DUMMYFUNCTION("INDEX(SPLIT(A869, ""/""), 4)"),"خمش و برش")</f>
        <v>خمش و برش</v>
      </c>
    </row>
    <row r="870">
      <c r="A870" s="1" t="s">
        <v>2777</v>
      </c>
      <c r="B870" s="1" t="s">
        <v>2840</v>
      </c>
      <c r="C870" s="1" t="s">
        <v>21</v>
      </c>
      <c r="D870" s="4" t="s">
        <v>2841</v>
      </c>
      <c r="E870" s="1" t="s">
        <v>2780</v>
      </c>
      <c r="F870" s="1" t="s">
        <v>2834</v>
      </c>
      <c r="G870" s="1" t="s">
        <v>2835</v>
      </c>
      <c r="H870" s="1" t="s">
        <v>195</v>
      </c>
      <c r="I870" s="1" t="str">
        <f t="shared" si="1"/>
        <v>x</v>
      </c>
      <c r="J870" s="5"/>
      <c r="K870" s="1" t="str">
        <f t="shared" si="2"/>
        <v>9</v>
      </c>
      <c r="L870" s="5"/>
      <c r="M870" s="2" t="str">
        <f t="shared" si="3"/>
        <v>1398</v>
      </c>
      <c r="N870" s="1">
        <v>27.0</v>
      </c>
      <c r="O870" s="2" t="s">
        <v>2814</v>
      </c>
      <c r="P870" s="5"/>
      <c r="Q870" s="5"/>
      <c r="R870" s="6" t="s">
        <v>196</v>
      </c>
      <c r="S870" s="5"/>
      <c r="T870" s="1" t="str">
        <f>IFERROR(__xludf.DUMMYFUNCTION("INDEX(SPLIT(A870, ""/""), 2)"),"انجمن‌های علمی و نشریات وابسته به دانشکده‌ها")</f>
        <v>انجمن‌های علمی و نشریات وابسته به دانشکده‌ها</v>
      </c>
      <c r="U870" s="1" t="str">
        <f>IFERROR(__xludf.DUMMYFUNCTION("INDEX(SPLIT(A870, ""/""), 3)"),"دانشکده مهندسی مکانیک")</f>
        <v>دانشکده مهندسی مکانیک</v>
      </c>
      <c r="V870" s="1" t="str">
        <f>IFERROR(__xludf.DUMMYFUNCTION("INDEX(SPLIT(A870, ""/""), 4)"),"خمش و برش")</f>
        <v>خمش و برش</v>
      </c>
    </row>
    <row r="871">
      <c r="A871" s="1" t="s">
        <v>2777</v>
      </c>
      <c r="B871" s="1" t="s">
        <v>2842</v>
      </c>
      <c r="C871" s="1" t="s">
        <v>21</v>
      </c>
      <c r="D871" s="4" t="s">
        <v>2843</v>
      </c>
      <c r="E871" s="1" t="s">
        <v>2780</v>
      </c>
      <c r="F871" s="1" t="s">
        <v>2834</v>
      </c>
      <c r="G871" s="1" t="s">
        <v>2835</v>
      </c>
      <c r="H871" s="1" t="s">
        <v>199</v>
      </c>
      <c r="I871" s="1" t="str">
        <f t="shared" si="1"/>
        <v>x</v>
      </c>
      <c r="J871" s="5"/>
      <c r="K871" s="1" t="str">
        <f t="shared" si="2"/>
        <v>11</v>
      </c>
      <c r="L871" s="5"/>
      <c r="M871" s="2" t="str">
        <f t="shared" si="3"/>
        <v>1398</v>
      </c>
      <c r="N871" s="1">
        <v>27.0</v>
      </c>
      <c r="O871" s="2">
        <v>4.0</v>
      </c>
      <c r="P871" s="5"/>
      <c r="Q871" s="5"/>
      <c r="R871" s="6" t="s">
        <v>200</v>
      </c>
      <c r="S871" s="5"/>
      <c r="T871" s="1" t="str">
        <f>IFERROR(__xludf.DUMMYFUNCTION("INDEX(SPLIT(A871, ""/""), 2)"),"انجمن‌های علمی و نشریات وابسته به دانشکده‌ها")</f>
        <v>انجمن‌های علمی و نشریات وابسته به دانشکده‌ها</v>
      </c>
      <c r="U871" s="1" t="str">
        <f>IFERROR(__xludf.DUMMYFUNCTION("INDEX(SPLIT(A871, ""/""), 3)"),"دانشکده مهندسی مکانیک")</f>
        <v>دانشکده مهندسی مکانیک</v>
      </c>
      <c r="V871" s="1" t="str">
        <f>IFERROR(__xludf.DUMMYFUNCTION("INDEX(SPLIT(A871, ""/""), 4)"),"خمش و برش")</f>
        <v>خمش و برش</v>
      </c>
    </row>
    <row r="872">
      <c r="A872" s="1" t="s">
        <v>2777</v>
      </c>
      <c r="B872" s="1" t="s">
        <v>2844</v>
      </c>
      <c r="C872" s="1" t="s">
        <v>21</v>
      </c>
      <c r="D872" s="4" t="s">
        <v>2845</v>
      </c>
      <c r="E872" s="1" t="s">
        <v>2780</v>
      </c>
      <c r="F872" s="1" t="s">
        <v>2834</v>
      </c>
      <c r="G872" s="1" t="s">
        <v>2835</v>
      </c>
      <c r="H872" s="1" t="s">
        <v>199</v>
      </c>
      <c r="I872" s="1" t="str">
        <f t="shared" si="1"/>
        <v>x</v>
      </c>
      <c r="J872" s="5"/>
      <c r="K872" s="1" t="str">
        <f t="shared" si="2"/>
        <v>11</v>
      </c>
      <c r="L872" s="5"/>
      <c r="M872" s="2" t="str">
        <f t="shared" si="3"/>
        <v>1398</v>
      </c>
      <c r="N872" s="1">
        <v>27.0</v>
      </c>
      <c r="O872" s="2" t="s">
        <v>2819</v>
      </c>
      <c r="P872" s="5"/>
      <c r="Q872" s="5"/>
      <c r="R872" s="6" t="s">
        <v>200</v>
      </c>
      <c r="S872" s="5"/>
      <c r="T872" s="1" t="str">
        <f>IFERROR(__xludf.DUMMYFUNCTION("INDEX(SPLIT(A872, ""/""), 2)"),"انجمن‌های علمی و نشریات وابسته به دانشکده‌ها")</f>
        <v>انجمن‌های علمی و نشریات وابسته به دانشکده‌ها</v>
      </c>
      <c r="U872" s="1" t="str">
        <f>IFERROR(__xludf.DUMMYFUNCTION("INDEX(SPLIT(A872, ""/""), 3)"),"دانشکده مهندسی مکانیک")</f>
        <v>دانشکده مهندسی مکانیک</v>
      </c>
      <c r="V872" s="1" t="str">
        <f>IFERROR(__xludf.DUMMYFUNCTION("INDEX(SPLIT(A872, ""/""), 4)"),"خمش و برش")</f>
        <v>خمش و برش</v>
      </c>
    </row>
    <row r="873">
      <c r="A873" s="1" t="s">
        <v>2777</v>
      </c>
      <c r="B873" s="1" t="s">
        <v>2846</v>
      </c>
      <c r="C873" s="1" t="s">
        <v>21</v>
      </c>
      <c r="D873" s="4" t="s">
        <v>2847</v>
      </c>
      <c r="E873" s="1" t="s">
        <v>2780</v>
      </c>
      <c r="F873" s="1" t="s">
        <v>2834</v>
      </c>
      <c r="G873" s="1" t="s">
        <v>2835</v>
      </c>
      <c r="H873" s="1" t="s">
        <v>371</v>
      </c>
      <c r="I873" s="1" t="str">
        <f t="shared" si="1"/>
        <v>x</v>
      </c>
      <c r="J873" s="5"/>
      <c r="K873" s="1" t="str">
        <f t="shared" si="2"/>
        <v>2</v>
      </c>
      <c r="L873" s="5"/>
      <c r="M873" s="2" t="str">
        <f t="shared" si="3"/>
        <v>1399</v>
      </c>
      <c r="N873" s="1">
        <v>27.0</v>
      </c>
      <c r="O873" s="2">
        <v>5.0</v>
      </c>
      <c r="P873" s="5"/>
      <c r="Q873" s="5"/>
      <c r="R873" s="6" t="s">
        <v>372</v>
      </c>
      <c r="S873" s="5"/>
      <c r="T873" s="1" t="str">
        <f>IFERROR(__xludf.DUMMYFUNCTION("INDEX(SPLIT(A873, ""/""), 2)"),"انجمن‌های علمی و نشریات وابسته به دانشکده‌ها")</f>
        <v>انجمن‌های علمی و نشریات وابسته به دانشکده‌ها</v>
      </c>
      <c r="U873" s="1" t="str">
        <f>IFERROR(__xludf.DUMMYFUNCTION("INDEX(SPLIT(A873, ""/""), 3)"),"دانشکده مهندسی مکانیک")</f>
        <v>دانشکده مهندسی مکانیک</v>
      </c>
      <c r="V873" s="1" t="str">
        <f>IFERROR(__xludf.DUMMYFUNCTION("INDEX(SPLIT(A873, ""/""), 4)"),"خمش و برش")</f>
        <v>خمش و برش</v>
      </c>
    </row>
    <row r="874">
      <c r="A874" s="1" t="s">
        <v>2777</v>
      </c>
      <c r="B874" s="1" t="s">
        <v>2848</v>
      </c>
      <c r="C874" s="1" t="s">
        <v>21</v>
      </c>
      <c r="D874" s="4" t="s">
        <v>2849</v>
      </c>
      <c r="E874" s="1" t="s">
        <v>2780</v>
      </c>
      <c r="F874" s="1" t="s">
        <v>2834</v>
      </c>
      <c r="G874" s="1" t="s">
        <v>2835</v>
      </c>
      <c r="H874" s="1" t="s">
        <v>383</v>
      </c>
      <c r="I874" s="1" t="str">
        <f t="shared" si="1"/>
        <v>x</v>
      </c>
      <c r="J874" s="5"/>
      <c r="K874" s="1" t="str">
        <f t="shared" si="2"/>
        <v>6</v>
      </c>
      <c r="L874" s="5"/>
      <c r="M874" s="2" t="str">
        <f t="shared" si="3"/>
        <v>1399</v>
      </c>
      <c r="N874" s="1">
        <v>28.0</v>
      </c>
      <c r="O874" s="2">
        <v>1.0</v>
      </c>
      <c r="P874" s="5"/>
      <c r="Q874" s="5"/>
      <c r="R874" s="6" t="s">
        <v>384</v>
      </c>
      <c r="S874" s="5"/>
      <c r="T874" s="1" t="str">
        <f>IFERROR(__xludf.DUMMYFUNCTION("INDEX(SPLIT(A874, ""/""), 2)"),"انجمن‌های علمی و نشریات وابسته به دانشکده‌ها")</f>
        <v>انجمن‌های علمی و نشریات وابسته به دانشکده‌ها</v>
      </c>
      <c r="U874" s="1" t="str">
        <f>IFERROR(__xludf.DUMMYFUNCTION("INDEX(SPLIT(A874, ""/""), 3)"),"دانشکده مهندسی مکانیک")</f>
        <v>دانشکده مهندسی مکانیک</v>
      </c>
      <c r="V874" s="1" t="str">
        <f>IFERROR(__xludf.DUMMYFUNCTION("INDEX(SPLIT(A874, ""/""), 4)"),"خمش و برش")</f>
        <v>خمش و برش</v>
      </c>
    </row>
    <row r="875">
      <c r="A875" s="1" t="s">
        <v>2777</v>
      </c>
      <c r="B875" s="1" t="s">
        <v>2850</v>
      </c>
      <c r="C875" s="1" t="s">
        <v>21</v>
      </c>
      <c r="D875" s="4" t="s">
        <v>2851</v>
      </c>
      <c r="E875" s="1" t="s">
        <v>2780</v>
      </c>
      <c r="F875" s="1" t="s">
        <v>2834</v>
      </c>
      <c r="G875" s="1" t="s">
        <v>2835</v>
      </c>
      <c r="H875" s="1" t="s">
        <v>26</v>
      </c>
      <c r="I875" s="1" t="str">
        <f t="shared" si="1"/>
        <v>x</v>
      </c>
      <c r="J875" s="5"/>
      <c r="K875" s="1" t="str">
        <f t="shared" si="2"/>
        <v>7</v>
      </c>
      <c r="L875" s="5"/>
      <c r="M875" s="2" t="str">
        <f t="shared" si="3"/>
        <v>1399</v>
      </c>
      <c r="N875" s="1">
        <v>28.0</v>
      </c>
      <c r="O875" s="2">
        <v>2.0</v>
      </c>
      <c r="P875" s="5"/>
      <c r="Q875" s="5"/>
      <c r="R875" s="6" t="s">
        <v>27</v>
      </c>
      <c r="S875" s="5"/>
      <c r="T875" s="1" t="str">
        <f>IFERROR(__xludf.DUMMYFUNCTION("INDEX(SPLIT(A875, ""/""), 2)"),"انجمن‌های علمی و نشریات وابسته به دانشکده‌ها")</f>
        <v>انجمن‌های علمی و نشریات وابسته به دانشکده‌ها</v>
      </c>
      <c r="U875" s="1" t="str">
        <f>IFERROR(__xludf.DUMMYFUNCTION("INDEX(SPLIT(A875, ""/""), 3)"),"دانشکده مهندسی مکانیک")</f>
        <v>دانشکده مهندسی مکانیک</v>
      </c>
      <c r="V875" s="1" t="str">
        <f>IFERROR(__xludf.DUMMYFUNCTION("INDEX(SPLIT(A875, ""/""), 4)"),"خمش و برش")</f>
        <v>خمش و برش</v>
      </c>
    </row>
    <row r="876">
      <c r="A876" s="1" t="s">
        <v>2777</v>
      </c>
      <c r="B876" s="1" t="s">
        <v>2852</v>
      </c>
      <c r="C876" s="1" t="s">
        <v>21</v>
      </c>
      <c r="D876" s="4" t="s">
        <v>2853</v>
      </c>
      <c r="E876" s="1" t="s">
        <v>2780</v>
      </c>
      <c r="F876" s="1" t="s">
        <v>2834</v>
      </c>
      <c r="G876" s="1" t="s">
        <v>2835</v>
      </c>
      <c r="H876" s="1" t="s">
        <v>26</v>
      </c>
      <c r="I876" s="1" t="str">
        <f t="shared" si="1"/>
        <v>x</v>
      </c>
      <c r="J876" s="5"/>
      <c r="K876" s="1" t="str">
        <f t="shared" si="2"/>
        <v>7</v>
      </c>
      <c r="L876" s="5"/>
      <c r="M876" s="2" t="str">
        <f t="shared" si="3"/>
        <v>1399</v>
      </c>
      <c r="N876" s="1">
        <v>28.0</v>
      </c>
      <c r="O876" s="2" t="s">
        <v>2809</v>
      </c>
      <c r="P876" s="5"/>
      <c r="Q876" s="5"/>
      <c r="R876" s="6" t="s">
        <v>27</v>
      </c>
      <c r="S876" s="5"/>
      <c r="T876" s="1" t="str">
        <f>IFERROR(__xludf.DUMMYFUNCTION("INDEX(SPLIT(A876, ""/""), 2)"),"انجمن‌های علمی و نشریات وابسته به دانشکده‌ها")</f>
        <v>انجمن‌های علمی و نشریات وابسته به دانشکده‌ها</v>
      </c>
      <c r="U876" s="1" t="str">
        <f>IFERROR(__xludf.DUMMYFUNCTION("INDEX(SPLIT(A876, ""/""), 3)"),"دانشکده مهندسی مکانیک")</f>
        <v>دانشکده مهندسی مکانیک</v>
      </c>
      <c r="V876" s="1" t="str">
        <f>IFERROR(__xludf.DUMMYFUNCTION("INDEX(SPLIT(A876, ""/""), 4)"),"خمش و برش")</f>
        <v>خمش و برش</v>
      </c>
    </row>
    <row r="877">
      <c r="A877" s="1" t="s">
        <v>2777</v>
      </c>
      <c r="B877" s="1" t="s">
        <v>2854</v>
      </c>
      <c r="C877" s="1" t="s">
        <v>21</v>
      </c>
      <c r="D877" s="4" t="s">
        <v>2855</v>
      </c>
      <c r="E877" s="1" t="s">
        <v>2780</v>
      </c>
      <c r="F877" s="1" t="s">
        <v>2834</v>
      </c>
      <c r="G877" s="1" t="s">
        <v>2835</v>
      </c>
      <c r="H877" s="1" t="s">
        <v>32</v>
      </c>
      <c r="I877" s="1" t="str">
        <f t="shared" si="1"/>
        <v>x</v>
      </c>
      <c r="J877" s="5"/>
      <c r="K877" s="1" t="str">
        <f t="shared" si="2"/>
        <v>8</v>
      </c>
      <c r="L877" s="5"/>
      <c r="M877" s="2" t="str">
        <f t="shared" si="3"/>
        <v>1399</v>
      </c>
      <c r="N877" s="1">
        <v>28.0</v>
      </c>
      <c r="O877" s="2">
        <v>3.0</v>
      </c>
      <c r="P877" s="5"/>
      <c r="Q877" s="5"/>
      <c r="R877" s="6" t="s">
        <v>33</v>
      </c>
      <c r="S877" s="5"/>
      <c r="T877" s="1" t="str">
        <f>IFERROR(__xludf.DUMMYFUNCTION("INDEX(SPLIT(A877, ""/""), 2)"),"انجمن‌های علمی و نشریات وابسته به دانشکده‌ها")</f>
        <v>انجمن‌های علمی و نشریات وابسته به دانشکده‌ها</v>
      </c>
      <c r="U877" s="1" t="str">
        <f>IFERROR(__xludf.DUMMYFUNCTION("INDEX(SPLIT(A877, ""/""), 3)"),"دانشکده مهندسی مکانیک")</f>
        <v>دانشکده مهندسی مکانیک</v>
      </c>
      <c r="V877" s="1" t="str">
        <f>IFERROR(__xludf.DUMMYFUNCTION("INDEX(SPLIT(A877, ""/""), 4)"),"خمش و برش")</f>
        <v>خمش و برش</v>
      </c>
    </row>
    <row r="878">
      <c r="A878" s="1" t="s">
        <v>2777</v>
      </c>
      <c r="B878" s="1" t="s">
        <v>2856</v>
      </c>
      <c r="C878" s="1" t="s">
        <v>21</v>
      </c>
      <c r="D878" s="4" t="s">
        <v>2857</v>
      </c>
      <c r="E878" s="1" t="s">
        <v>2780</v>
      </c>
      <c r="F878" s="1" t="s">
        <v>2834</v>
      </c>
      <c r="G878" s="1" t="s">
        <v>2835</v>
      </c>
      <c r="H878" s="1" t="s">
        <v>38</v>
      </c>
      <c r="I878" s="1" t="str">
        <f t="shared" si="1"/>
        <v>x</v>
      </c>
      <c r="J878" s="5"/>
      <c r="K878" s="1" t="str">
        <f t="shared" si="2"/>
        <v>9</v>
      </c>
      <c r="L878" s="5"/>
      <c r="M878" s="2" t="str">
        <f t="shared" si="3"/>
        <v>1399</v>
      </c>
      <c r="N878" s="1">
        <v>28.0</v>
      </c>
      <c r="O878" s="2" t="s">
        <v>2113</v>
      </c>
      <c r="P878" s="5"/>
      <c r="Q878" s="5"/>
      <c r="R878" s="6" t="s">
        <v>39</v>
      </c>
      <c r="S878" s="5"/>
      <c r="T878" s="1" t="str">
        <f>IFERROR(__xludf.DUMMYFUNCTION("INDEX(SPLIT(A878, ""/""), 2)"),"انجمن‌های علمی و نشریات وابسته به دانشکده‌ها")</f>
        <v>انجمن‌های علمی و نشریات وابسته به دانشکده‌ها</v>
      </c>
      <c r="U878" s="1" t="str">
        <f>IFERROR(__xludf.DUMMYFUNCTION("INDEX(SPLIT(A878, ""/""), 3)"),"دانشکده مهندسی مکانیک")</f>
        <v>دانشکده مهندسی مکانیک</v>
      </c>
      <c r="V878" s="1" t="str">
        <f>IFERROR(__xludf.DUMMYFUNCTION("INDEX(SPLIT(A878, ""/""), 4)"),"خمش و برش")</f>
        <v>خمش و برش</v>
      </c>
    </row>
    <row r="879">
      <c r="A879" s="1" t="s">
        <v>2777</v>
      </c>
      <c r="B879" s="1" t="s">
        <v>2858</v>
      </c>
      <c r="C879" s="1" t="s">
        <v>21</v>
      </c>
      <c r="D879" s="4" t="s">
        <v>2859</v>
      </c>
      <c r="E879" s="1" t="s">
        <v>2780</v>
      </c>
      <c r="F879" s="1" t="s">
        <v>2834</v>
      </c>
      <c r="G879" s="1" t="s">
        <v>2835</v>
      </c>
      <c r="H879" s="1" t="s">
        <v>38</v>
      </c>
      <c r="I879" s="1" t="str">
        <f t="shared" si="1"/>
        <v>x</v>
      </c>
      <c r="J879" s="5"/>
      <c r="K879" s="1" t="str">
        <f t="shared" si="2"/>
        <v>9</v>
      </c>
      <c r="L879" s="5"/>
      <c r="M879" s="2" t="str">
        <f t="shared" si="3"/>
        <v>1399</v>
      </c>
      <c r="N879" s="1">
        <v>28.0</v>
      </c>
      <c r="O879" s="2">
        <v>4.0</v>
      </c>
      <c r="P879" s="5"/>
      <c r="Q879" s="5"/>
      <c r="R879" s="6" t="s">
        <v>39</v>
      </c>
      <c r="S879" s="5"/>
      <c r="T879" s="1" t="str">
        <f>IFERROR(__xludf.DUMMYFUNCTION("INDEX(SPLIT(A879, ""/""), 2)"),"انجمن‌های علمی و نشریات وابسته به دانشکده‌ها")</f>
        <v>انجمن‌های علمی و نشریات وابسته به دانشکده‌ها</v>
      </c>
      <c r="U879" s="1" t="str">
        <f>IFERROR(__xludf.DUMMYFUNCTION("INDEX(SPLIT(A879, ""/""), 3)"),"دانشکده مهندسی مکانیک")</f>
        <v>دانشکده مهندسی مکانیک</v>
      </c>
      <c r="V879" s="1" t="str">
        <f>IFERROR(__xludf.DUMMYFUNCTION("INDEX(SPLIT(A879, ""/""), 4)"),"خمش و برش")</f>
        <v>خمش و برش</v>
      </c>
    </row>
    <row r="880">
      <c r="A880" s="1" t="s">
        <v>2777</v>
      </c>
      <c r="B880" s="1" t="s">
        <v>2860</v>
      </c>
      <c r="C880" s="1" t="s">
        <v>21</v>
      </c>
      <c r="D880" s="4" t="s">
        <v>2861</v>
      </c>
      <c r="E880" s="1" t="s">
        <v>2780</v>
      </c>
      <c r="F880" s="1" t="s">
        <v>71</v>
      </c>
      <c r="G880" s="1" t="s">
        <v>71</v>
      </c>
      <c r="H880" s="1" t="s">
        <v>44</v>
      </c>
      <c r="I880" s="1" t="str">
        <f t="shared" si="1"/>
        <v>x</v>
      </c>
      <c r="J880" s="5"/>
      <c r="K880" s="1" t="str">
        <f t="shared" si="2"/>
        <v>10</v>
      </c>
      <c r="L880" s="5"/>
      <c r="M880" s="2" t="str">
        <f t="shared" si="3"/>
        <v>1399</v>
      </c>
      <c r="N880" s="1">
        <v>28.0</v>
      </c>
      <c r="O880" s="2" t="s">
        <v>2814</v>
      </c>
      <c r="P880" s="5"/>
      <c r="Q880" s="5"/>
      <c r="R880" s="6" t="s">
        <v>45</v>
      </c>
      <c r="S880" s="5"/>
      <c r="T880" s="1" t="str">
        <f>IFERROR(__xludf.DUMMYFUNCTION("INDEX(SPLIT(A880, ""/""), 2)"),"انجمن‌های علمی و نشریات وابسته به دانشکده‌ها")</f>
        <v>انجمن‌های علمی و نشریات وابسته به دانشکده‌ها</v>
      </c>
      <c r="U880" s="1" t="str">
        <f>IFERROR(__xludf.DUMMYFUNCTION("INDEX(SPLIT(A880, ""/""), 3)"),"دانشکده مهندسی مکانیک")</f>
        <v>دانشکده مهندسی مکانیک</v>
      </c>
      <c r="V880" s="1" t="str">
        <f>IFERROR(__xludf.DUMMYFUNCTION("INDEX(SPLIT(A880, ""/""), 4)"),"خمش و برش")</f>
        <v>خمش و برش</v>
      </c>
    </row>
    <row r="881">
      <c r="A881" s="1" t="s">
        <v>2777</v>
      </c>
      <c r="B881" s="1" t="s">
        <v>2862</v>
      </c>
      <c r="C881" s="1" t="s">
        <v>21</v>
      </c>
      <c r="D881" s="4" t="s">
        <v>2863</v>
      </c>
      <c r="E881" s="1" t="s">
        <v>2780</v>
      </c>
      <c r="F881" s="1" t="s">
        <v>2464</v>
      </c>
      <c r="G881" s="1" t="s">
        <v>2864</v>
      </c>
      <c r="H881" s="1" t="s">
        <v>129</v>
      </c>
      <c r="I881" s="1" t="str">
        <f t="shared" si="1"/>
        <v>x</v>
      </c>
      <c r="J881" s="5"/>
      <c r="K881" s="1" t="str">
        <f t="shared" si="2"/>
        <v>11</v>
      </c>
      <c r="L881" s="5"/>
      <c r="M881" s="2" t="str">
        <f t="shared" si="3"/>
        <v>1399</v>
      </c>
      <c r="N881" s="1">
        <v>28.0</v>
      </c>
      <c r="O881" s="2">
        <v>5.0</v>
      </c>
      <c r="P881" s="5"/>
      <c r="Q881" s="5"/>
      <c r="R881" s="6" t="s">
        <v>130</v>
      </c>
      <c r="S881" s="5"/>
      <c r="T881" s="1" t="str">
        <f>IFERROR(__xludf.DUMMYFUNCTION("INDEX(SPLIT(A881, ""/""), 2)"),"انجمن‌های علمی و نشریات وابسته به دانشکده‌ها")</f>
        <v>انجمن‌های علمی و نشریات وابسته به دانشکده‌ها</v>
      </c>
      <c r="U881" s="1" t="str">
        <f>IFERROR(__xludf.DUMMYFUNCTION("INDEX(SPLIT(A881, ""/""), 3)"),"دانشکده مهندسی مکانیک")</f>
        <v>دانشکده مهندسی مکانیک</v>
      </c>
      <c r="V881" s="1" t="str">
        <f>IFERROR(__xludf.DUMMYFUNCTION("INDEX(SPLIT(A881, ""/""), 4)"),"خمش و برش")</f>
        <v>خمش و برش</v>
      </c>
    </row>
    <row r="882">
      <c r="A882" s="1" t="s">
        <v>2777</v>
      </c>
      <c r="B882" s="1" t="s">
        <v>2865</v>
      </c>
      <c r="C882" s="1" t="s">
        <v>21</v>
      </c>
      <c r="D882" s="4" t="s">
        <v>2866</v>
      </c>
      <c r="E882" s="1" t="s">
        <v>2780</v>
      </c>
      <c r="F882" s="1" t="s">
        <v>2464</v>
      </c>
      <c r="G882" s="1" t="s">
        <v>2864</v>
      </c>
      <c r="H882" s="1" t="s">
        <v>52</v>
      </c>
      <c r="I882" s="1" t="str">
        <f t="shared" si="1"/>
        <v>x</v>
      </c>
      <c r="J882" s="5"/>
      <c r="K882" s="1" t="str">
        <f t="shared" si="2"/>
        <v>1</v>
      </c>
      <c r="L882" s="5"/>
      <c r="M882" s="2" t="str">
        <f t="shared" si="3"/>
        <v>1400</v>
      </c>
      <c r="N882" s="1">
        <v>28.0</v>
      </c>
      <c r="O882" s="2">
        <v>6.0</v>
      </c>
      <c r="P882" s="5"/>
      <c r="Q882" s="5"/>
      <c r="R882" s="6" t="s">
        <v>54</v>
      </c>
      <c r="S882" s="5"/>
      <c r="T882" s="1" t="str">
        <f>IFERROR(__xludf.DUMMYFUNCTION("INDEX(SPLIT(A882, ""/""), 2)"),"انجمن‌های علمی و نشریات وابسته به دانشکده‌ها")</f>
        <v>انجمن‌های علمی و نشریات وابسته به دانشکده‌ها</v>
      </c>
      <c r="U882" s="1" t="str">
        <f>IFERROR(__xludf.DUMMYFUNCTION("INDEX(SPLIT(A882, ""/""), 3)"),"دانشکده مهندسی مکانیک")</f>
        <v>دانشکده مهندسی مکانیک</v>
      </c>
      <c r="V882" s="1" t="str">
        <f>IFERROR(__xludf.DUMMYFUNCTION("INDEX(SPLIT(A882, ""/""), 4)"),"خمش و برش")</f>
        <v>خمش و برش</v>
      </c>
    </row>
    <row r="883">
      <c r="A883" s="1" t="s">
        <v>2777</v>
      </c>
      <c r="B883" s="1" t="s">
        <v>2867</v>
      </c>
      <c r="C883" s="1" t="s">
        <v>21</v>
      </c>
      <c r="D883" s="4" t="s">
        <v>2868</v>
      </c>
      <c r="E883" s="1" t="s">
        <v>2780</v>
      </c>
      <c r="F883" s="1" t="s">
        <v>2464</v>
      </c>
      <c r="G883" s="1" t="s">
        <v>2864</v>
      </c>
      <c r="H883" s="1" t="s">
        <v>60</v>
      </c>
      <c r="I883" s="1" t="str">
        <f t="shared" si="1"/>
        <v>x</v>
      </c>
      <c r="J883" s="5"/>
      <c r="K883" s="1" t="str">
        <f t="shared" si="2"/>
        <v>2</v>
      </c>
      <c r="L883" s="5"/>
      <c r="M883" s="2" t="str">
        <f t="shared" si="3"/>
        <v>1400</v>
      </c>
      <c r="N883" s="1">
        <v>28.0</v>
      </c>
      <c r="O883" s="2" t="s">
        <v>2819</v>
      </c>
      <c r="P883" s="5"/>
      <c r="Q883" s="5"/>
      <c r="R883" s="6" t="s">
        <v>61</v>
      </c>
      <c r="S883" s="5"/>
      <c r="T883" s="1" t="str">
        <f>IFERROR(__xludf.DUMMYFUNCTION("INDEX(SPLIT(A883, ""/""), 2)"),"انجمن‌های علمی و نشریات وابسته به دانشکده‌ها")</f>
        <v>انجمن‌های علمی و نشریات وابسته به دانشکده‌ها</v>
      </c>
      <c r="U883" s="1" t="str">
        <f>IFERROR(__xludf.DUMMYFUNCTION("INDEX(SPLIT(A883, ""/""), 3)"),"دانشکده مهندسی مکانیک")</f>
        <v>دانشکده مهندسی مکانیک</v>
      </c>
      <c r="V883" s="1" t="str">
        <f>IFERROR(__xludf.DUMMYFUNCTION("INDEX(SPLIT(A883, ""/""), 4)"),"خمش و برش")</f>
        <v>خمش و برش</v>
      </c>
    </row>
    <row r="884">
      <c r="A884" s="1" t="s">
        <v>2777</v>
      </c>
      <c r="B884" s="1" t="s">
        <v>2869</v>
      </c>
      <c r="C884" s="1" t="s">
        <v>21</v>
      </c>
      <c r="D884" s="4" t="s">
        <v>2870</v>
      </c>
      <c r="E884" s="1" t="s">
        <v>2780</v>
      </c>
      <c r="F884" s="1" t="s">
        <v>2464</v>
      </c>
      <c r="G884" s="1" t="s">
        <v>2864</v>
      </c>
      <c r="H884" s="1" t="s">
        <v>66</v>
      </c>
      <c r="I884" s="1" t="str">
        <f t="shared" si="1"/>
        <v>x</v>
      </c>
      <c r="J884" s="5"/>
      <c r="K884" s="1" t="str">
        <f t="shared" si="2"/>
        <v>3</v>
      </c>
      <c r="L884" s="5"/>
      <c r="M884" s="2" t="str">
        <f t="shared" si="3"/>
        <v>1400</v>
      </c>
      <c r="N884" s="1">
        <v>28.0</v>
      </c>
      <c r="O884" s="2">
        <v>7.0</v>
      </c>
      <c r="P884" s="5"/>
      <c r="Q884" s="5"/>
      <c r="R884" s="6" t="s">
        <v>67</v>
      </c>
      <c r="S884" s="5"/>
      <c r="T884" s="1" t="str">
        <f>IFERROR(__xludf.DUMMYFUNCTION("INDEX(SPLIT(A884, ""/""), 2)"),"انجمن‌های علمی و نشریات وابسته به دانشکده‌ها")</f>
        <v>انجمن‌های علمی و نشریات وابسته به دانشکده‌ها</v>
      </c>
      <c r="U884" s="1" t="str">
        <f>IFERROR(__xludf.DUMMYFUNCTION("INDEX(SPLIT(A884, ""/""), 3)"),"دانشکده مهندسی مکانیک")</f>
        <v>دانشکده مهندسی مکانیک</v>
      </c>
      <c r="V884" s="1" t="str">
        <f>IFERROR(__xludf.DUMMYFUNCTION("INDEX(SPLIT(A884, ""/""), 4)"),"خمش و برش")</f>
        <v>خمش و برش</v>
      </c>
    </row>
    <row r="885">
      <c r="A885" s="1" t="s">
        <v>2777</v>
      </c>
      <c r="B885" s="1" t="s">
        <v>2871</v>
      </c>
      <c r="C885" s="1" t="s">
        <v>21</v>
      </c>
      <c r="D885" s="4" t="s">
        <v>2872</v>
      </c>
      <c r="E885" s="1" t="s">
        <v>2780</v>
      </c>
      <c r="F885" s="1" t="s">
        <v>2464</v>
      </c>
      <c r="G885" s="1" t="s">
        <v>2864</v>
      </c>
      <c r="H885" s="1" t="s">
        <v>402</v>
      </c>
      <c r="I885" s="1" t="str">
        <f t="shared" si="1"/>
        <v>x</v>
      </c>
      <c r="J885" s="5"/>
      <c r="K885" s="1" t="str">
        <f t="shared" si="2"/>
        <v>4</v>
      </c>
      <c r="L885" s="5"/>
      <c r="M885" s="2" t="str">
        <f t="shared" si="3"/>
        <v>1400</v>
      </c>
      <c r="N885" s="1">
        <v>28.0</v>
      </c>
      <c r="O885" s="2" t="s">
        <v>2824</v>
      </c>
      <c r="P885" s="5"/>
      <c r="Q885" s="5"/>
      <c r="R885" s="6" t="s">
        <v>403</v>
      </c>
      <c r="S885" s="5"/>
      <c r="T885" s="1" t="str">
        <f>IFERROR(__xludf.DUMMYFUNCTION("INDEX(SPLIT(A885, ""/""), 2)"),"انجمن‌های علمی و نشریات وابسته به دانشکده‌ها")</f>
        <v>انجمن‌های علمی و نشریات وابسته به دانشکده‌ها</v>
      </c>
      <c r="U885" s="1" t="str">
        <f>IFERROR(__xludf.DUMMYFUNCTION("INDEX(SPLIT(A885, ""/""), 3)"),"دانشکده مهندسی مکانیک")</f>
        <v>دانشکده مهندسی مکانیک</v>
      </c>
      <c r="V885" s="1" t="str">
        <f>IFERROR(__xludf.DUMMYFUNCTION("INDEX(SPLIT(A885, ""/""), 4)"),"خمش و برش")</f>
        <v>خمش و برش</v>
      </c>
    </row>
    <row r="886">
      <c r="A886" s="1" t="s">
        <v>2777</v>
      </c>
      <c r="B886" s="1" t="s">
        <v>2873</v>
      </c>
      <c r="C886" s="1" t="s">
        <v>21</v>
      </c>
      <c r="D886" s="4" t="s">
        <v>2874</v>
      </c>
      <c r="E886" s="1" t="s">
        <v>2780</v>
      </c>
      <c r="F886" s="1" t="s">
        <v>2464</v>
      </c>
      <c r="G886" s="1" t="s">
        <v>2864</v>
      </c>
      <c r="H886" s="1" t="s">
        <v>402</v>
      </c>
      <c r="I886" s="1" t="str">
        <f t="shared" si="1"/>
        <v>x</v>
      </c>
      <c r="J886" s="5"/>
      <c r="K886" s="1" t="str">
        <f t="shared" si="2"/>
        <v>4</v>
      </c>
      <c r="L886" s="5"/>
      <c r="M886" s="2" t="str">
        <f t="shared" si="3"/>
        <v>1400</v>
      </c>
      <c r="N886" s="1">
        <v>28.0</v>
      </c>
      <c r="O886" s="2">
        <v>8.0</v>
      </c>
      <c r="P886" s="5"/>
      <c r="Q886" s="5"/>
      <c r="R886" s="6" t="s">
        <v>403</v>
      </c>
      <c r="S886" s="5"/>
      <c r="T886" s="1" t="str">
        <f>IFERROR(__xludf.DUMMYFUNCTION("INDEX(SPLIT(A886, ""/""), 2)"),"انجمن‌های علمی و نشریات وابسته به دانشکده‌ها")</f>
        <v>انجمن‌های علمی و نشریات وابسته به دانشکده‌ها</v>
      </c>
      <c r="U886" s="1" t="str">
        <f>IFERROR(__xludf.DUMMYFUNCTION("INDEX(SPLIT(A886, ""/""), 3)"),"دانشکده مهندسی مکانیک")</f>
        <v>دانشکده مهندسی مکانیک</v>
      </c>
      <c r="V886" s="1" t="str">
        <f>IFERROR(__xludf.DUMMYFUNCTION("INDEX(SPLIT(A886, ""/""), 4)"),"خمش و برش")</f>
        <v>خمش و برش</v>
      </c>
    </row>
    <row r="887">
      <c r="A887" s="1" t="s">
        <v>2777</v>
      </c>
      <c r="B887" s="1" t="s">
        <v>2875</v>
      </c>
      <c r="C887" s="1" t="s">
        <v>21</v>
      </c>
      <c r="D887" s="4" t="s">
        <v>2876</v>
      </c>
      <c r="E887" s="1" t="s">
        <v>2780</v>
      </c>
      <c r="F887" s="1" t="s">
        <v>2464</v>
      </c>
      <c r="G887" s="1" t="s">
        <v>2864</v>
      </c>
      <c r="H887" s="1" t="s">
        <v>408</v>
      </c>
      <c r="I887" s="1" t="str">
        <f t="shared" si="1"/>
        <v>x</v>
      </c>
      <c r="J887" s="5"/>
      <c r="K887" s="1" t="str">
        <f t="shared" si="2"/>
        <v>7</v>
      </c>
      <c r="L887" s="5"/>
      <c r="M887" s="2" t="str">
        <f t="shared" si="3"/>
        <v>1400</v>
      </c>
      <c r="N887" s="1">
        <v>29.0</v>
      </c>
      <c r="O887" s="2">
        <v>1.0</v>
      </c>
      <c r="P887" s="5"/>
      <c r="Q887" s="5"/>
      <c r="R887" s="6" t="s">
        <v>409</v>
      </c>
      <c r="S887" s="5"/>
      <c r="T887" s="1" t="str">
        <f>IFERROR(__xludf.DUMMYFUNCTION("INDEX(SPLIT(A887, ""/""), 2)"),"انجمن‌های علمی و نشریات وابسته به دانشکده‌ها")</f>
        <v>انجمن‌های علمی و نشریات وابسته به دانشکده‌ها</v>
      </c>
      <c r="U887" s="1" t="str">
        <f>IFERROR(__xludf.DUMMYFUNCTION("INDEX(SPLIT(A887, ""/""), 3)"),"دانشکده مهندسی مکانیک")</f>
        <v>دانشکده مهندسی مکانیک</v>
      </c>
      <c r="V887" s="1" t="str">
        <f>IFERROR(__xludf.DUMMYFUNCTION("INDEX(SPLIT(A887, ""/""), 4)"),"خمش و برش")</f>
        <v>خمش و برش</v>
      </c>
    </row>
    <row r="888">
      <c r="A888" s="1" t="s">
        <v>2777</v>
      </c>
      <c r="B888" s="1" t="s">
        <v>2877</v>
      </c>
      <c r="C888" s="1" t="s">
        <v>21</v>
      </c>
      <c r="D888" s="4" t="s">
        <v>2878</v>
      </c>
      <c r="E888" s="1" t="s">
        <v>2780</v>
      </c>
      <c r="F888" s="1" t="s">
        <v>2864</v>
      </c>
      <c r="G888" s="1" t="s">
        <v>2879</v>
      </c>
      <c r="H888" s="1" t="s">
        <v>414</v>
      </c>
      <c r="I888" s="1" t="str">
        <f t="shared" si="1"/>
        <v>x</v>
      </c>
      <c r="J888" s="5"/>
      <c r="K888" s="1" t="str">
        <f t="shared" si="2"/>
        <v>9</v>
      </c>
      <c r="L888" s="5"/>
      <c r="M888" s="2" t="str">
        <f t="shared" si="3"/>
        <v>1400</v>
      </c>
      <c r="N888" s="1">
        <v>29.0</v>
      </c>
      <c r="O888" s="2">
        <v>2.0</v>
      </c>
      <c r="P888" s="5"/>
      <c r="Q888" s="5"/>
      <c r="R888" s="6" t="s">
        <v>415</v>
      </c>
      <c r="S888" s="5"/>
      <c r="T888" s="1" t="str">
        <f>IFERROR(__xludf.DUMMYFUNCTION("INDEX(SPLIT(A888, ""/""), 2)"),"انجمن‌های علمی و نشریات وابسته به دانشکده‌ها")</f>
        <v>انجمن‌های علمی و نشریات وابسته به دانشکده‌ها</v>
      </c>
      <c r="U888" s="1" t="str">
        <f>IFERROR(__xludf.DUMMYFUNCTION("INDEX(SPLIT(A888, ""/""), 3)"),"دانشکده مهندسی مکانیک")</f>
        <v>دانشکده مهندسی مکانیک</v>
      </c>
      <c r="V888" s="1" t="str">
        <f>IFERROR(__xludf.DUMMYFUNCTION("INDEX(SPLIT(A888, ""/""), 4)"),"خمش و برش")</f>
        <v>خمش و برش</v>
      </c>
    </row>
    <row r="889">
      <c r="A889" s="1" t="s">
        <v>2777</v>
      </c>
      <c r="B889" s="1" t="s">
        <v>2880</v>
      </c>
      <c r="C889" s="1" t="s">
        <v>21</v>
      </c>
      <c r="D889" s="4" t="s">
        <v>2881</v>
      </c>
      <c r="E889" s="1" t="s">
        <v>2780</v>
      </c>
      <c r="F889" s="1" t="s">
        <v>2864</v>
      </c>
      <c r="G889" s="1" t="s">
        <v>2879</v>
      </c>
      <c r="H889" s="1" t="s">
        <v>418</v>
      </c>
      <c r="I889" s="1" t="str">
        <f t="shared" si="1"/>
        <v>x</v>
      </c>
      <c r="J889" s="5"/>
      <c r="K889" s="1" t="str">
        <f t="shared" si="2"/>
        <v>11</v>
      </c>
      <c r="L889" s="5"/>
      <c r="M889" s="2" t="str">
        <f t="shared" si="3"/>
        <v>1400</v>
      </c>
      <c r="N889" s="1">
        <v>29.0</v>
      </c>
      <c r="O889" s="2" t="s">
        <v>2804</v>
      </c>
      <c r="P889" s="5"/>
      <c r="Q889" s="5"/>
      <c r="R889" s="6" t="s">
        <v>419</v>
      </c>
      <c r="S889" s="5"/>
      <c r="T889" s="1" t="str">
        <f>IFERROR(__xludf.DUMMYFUNCTION("INDEX(SPLIT(A889, ""/""), 2)"),"انجمن‌های علمی و نشریات وابسته به دانشکده‌ها")</f>
        <v>انجمن‌های علمی و نشریات وابسته به دانشکده‌ها</v>
      </c>
      <c r="U889" s="1" t="str">
        <f>IFERROR(__xludf.DUMMYFUNCTION("INDEX(SPLIT(A889, ""/""), 3)"),"دانشکده مهندسی مکانیک")</f>
        <v>دانشکده مهندسی مکانیک</v>
      </c>
      <c r="V889" s="1" t="str">
        <f>IFERROR(__xludf.DUMMYFUNCTION("INDEX(SPLIT(A889, ""/""), 4)"),"خمش و برش")</f>
        <v>خمش و برش</v>
      </c>
    </row>
    <row r="890">
      <c r="A890" s="1" t="s">
        <v>2777</v>
      </c>
      <c r="B890" s="1" t="s">
        <v>2882</v>
      </c>
      <c r="C890" s="1" t="s">
        <v>21</v>
      </c>
      <c r="D890" s="4" t="s">
        <v>2883</v>
      </c>
      <c r="E890" s="1" t="s">
        <v>2780</v>
      </c>
      <c r="F890" s="1" t="s">
        <v>2864</v>
      </c>
      <c r="G890" s="1" t="s">
        <v>2879</v>
      </c>
      <c r="H890" s="1" t="s">
        <v>418</v>
      </c>
      <c r="I890" s="1" t="str">
        <f t="shared" si="1"/>
        <v>x</v>
      </c>
      <c r="J890" s="5"/>
      <c r="K890" s="1" t="str">
        <f t="shared" si="2"/>
        <v>11</v>
      </c>
      <c r="L890" s="5"/>
      <c r="M890" s="2" t="str">
        <f t="shared" si="3"/>
        <v>1400</v>
      </c>
      <c r="N890" s="1">
        <v>29.0</v>
      </c>
      <c r="O890" s="2">
        <v>3.0</v>
      </c>
      <c r="P890" s="5"/>
      <c r="Q890" s="5"/>
      <c r="R890" s="6" t="s">
        <v>419</v>
      </c>
      <c r="S890" s="5"/>
      <c r="T890" s="1" t="str">
        <f>IFERROR(__xludf.DUMMYFUNCTION("INDEX(SPLIT(A890, ""/""), 2)"),"انجمن‌های علمی و نشریات وابسته به دانشکده‌ها")</f>
        <v>انجمن‌های علمی و نشریات وابسته به دانشکده‌ها</v>
      </c>
      <c r="U890" s="1" t="str">
        <f>IFERROR(__xludf.DUMMYFUNCTION("INDEX(SPLIT(A890, ""/""), 3)"),"دانشکده مهندسی مکانیک")</f>
        <v>دانشکده مهندسی مکانیک</v>
      </c>
      <c r="V890" s="1" t="str">
        <f>IFERROR(__xludf.DUMMYFUNCTION("INDEX(SPLIT(A890, ""/""), 4)"),"خمش و برش")</f>
        <v>خمش و برش</v>
      </c>
    </row>
    <row r="891">
      <c r="A891" s="1" t="s">
        <v>2777</v>
      </c>
      <c r="B891" s="1" t="s">
        <v>2884</v>
      </c>
      <c r="C891" s="1" t="s">
        <v>21</v>
      </c>
      <c r="D891" s="4" t="s">
        <v>2885</v>
      </c>
      <c r="E891" s="1" t="s">
        <v>2780</v>
      </c>
      <c r="F891" s="1" t="s">
        <v>2864</v>
      </c>
      <c r="G891" s="1" t="s">
        <v>2879</v>
      </c>
      <c r="H891" s="1" t="s">
        <v>2410</v>
      </c>
      <c r="I891" s="1" t="str">
        <f t="shared" si="1"/>
        <v>x</v>
      </c>
      <c r="J891" s="5"/>
      <c r="K891" s="1" t="str">
        <f t="shared" si="2"/>
        <v>1</v>
      </c>
      <c r="L891" s="5"/>
      <c r="M891" s="2" t="str">
        <f t="shared" si="3"/>
        <v>1401</v>
      </c>
      <c r="N891" s="1">
        <v>29.0</v>
      </c>
      <c r="O891" s="2">
        <v>4.0</v>
      </c>
      <c r="P891" s="5"/>
      <c r="Q891" s="5"/>
      <c r="R891" s="6" t="s">
        <v>2411</v>
      </c>
      <c r="S891" s="5"/>
      <c r="T891" s="1" t="str">
        <f>IFERROR(__xludf.DUMMYFUNCTION("INDEX(SPLIT(A891, ""/""), 2)"),"انجمن‌های علمی و نشریات وابسته به دانشکده‌ها")</f>
        <v>انجمن‌های علمی و نشریات وابسته به دانشکده‌ها</v>
      </c>
      <c r="U891" s="1" t="str">
        <f>IFERROR(__xludf.DUMMYFUNCTION("INDEX(SPLIT(A891, ""/""), 3)"),"دانشکده مهندسی مکانیک")</f>
        <v>دانشکده مهندسی مکانیک</v>
      </c>
      <c r="V891" s="1" t="str">
        <f>IFERROR(__xludf.DUMMYFUNCTION("INDEX(SPLIT(A891, ""/""), 4)"),"خمش و برش")</f>
        <v>خمش و برش</v>
      </c>
    </row>
    <row r="892">
      <c r="A892" s="1" t="s">
        <v>2777</v>
      </c>
      <c r="B892" s="1" t="s">
        <v>2886</v>
      </c>
      <c r="C892" s="1" t="s">
        <v>21</v>
      </c>
      <c r="D892" s="4" t="s">
        <v>2887</v>
      </c>
      <c r="E892" s="1" t="s">
        <v>2780</v>
      </c>
      <c r="F892" s="1" t="s">
        <v>2864</v>
      </c>
      <c r="G892" s="1" t="s">
        <v>2879</v>
      </c>
      <c r="H892" s="1" t="s">
        <v>429</v>
      </c>
      <c r="I892" s="1" t="str">
        <f t="shared" si="1"/>
        <v>x</v>
      </c>
      <c r="J892" s="5"/>
      <c r="K892" s="1" t="str">
        <f t="shared" si="2"/>
        <v>4</v>
      </c>
      <c r="L892" s="5"/>
      <c r="M892" s="2" t="str">
        <f t="shared" si="3"/>
        <v>1401</v>
      </c>
      <c r="N892" s="1">
        <v>29.0</v>
      </c>
      <c r="O892" s="2">
        <v>5.0</v>
      </c>
      <c r="P892" s="5"/>
      <c r="Q892" s="5"/>
      <c r="R892" s="6" t="s">
        <v>430</v>
      </c>
      <c r="S892" s="5"/>
      <c r="T892" s="1" t="str">
        <f>IFERROR(__xludf.DUMMYFUNCTION("INDEX(SPLIT(A892, ""/""), 2)"),"انجمن‌های علمی و نشریات وابسته به دانشکده‌ها")</f>
        <v>انجمن‌های علمی و نشریات وابسته به دانشکده‌ها</v>
      </c>
      <c r="U892" s="1" t="str">
        <f>IFERROR(__xludf.DUMMYFUNCTION("INDEX(SPLIT(A892, ""/""), 3)"),"دانشکده مهندسی مکانیک")</f>
        <v>دانشکده مهندسی مکانیک</v>
      </c>
      <c r="V892" s="1" t="str">
        <f>IFERROR(__xludf.DUMMYFUNCTION("INDEX(SPLIT(A892, ""/""), 4)"),"خمش و برش")</f>
        <v>خمش و برش</v>
      </c>
    </row>
    <row r="893">
      <c r="A893" s="1" t="s">
        <v>2777</v>
      </c>
      <c r="B893" s="1" t="s">
        <v>2888</v>
      </c>
      <c r="C893" s="1" t="s">
        <v>21</v>
      </c>
      <c r="D893" s="4" t="s">
        <v>2889</v>
      </c>
      <c r="E893" s="1" t="s">
        <v>2780</v>
      </c>
      <c r="F893" s="1" t="s">
        <v>2864</v>
      </c>
      <c r="G893" s="1" t="s">
        <v>2879</v>
      </c>
      <c r="H893" s="1" t="s">
        <v>437</v>
      </c>
      <c r="I893" s="1" t="str">
        <f t="shared" si="1"/>
        <v>x</v>
      </c>
      <c r="J893" s="5"/>
      <c r="K893" s="1" t="str">
        <f t="shared" si="2"/>
        <v>7</v>
      </c>
      <c r="L893" s="5"/>
      <c r="M893" s="2" t="str">
        <f t="shared" si="3"/>
        <v>1401</v>
      </c>
      <c r="N893" s="1">
        <v>30.0</v>
      </c>
      <c r="O893" s="2">
        <v>1.0</v>
      </c>
      <c r="P893" s="5"/>
      <c r="Q893" s="5"/>
      <c r="R893" s="6" t="s">
        <v>438</v>
      </c>
      <c r="S893" s="5"/>
      <c r="T893" s="1" t="str">
        <f>IFERROR(__xludf.DUMMYFUNCTION("INDEX(SPLIT(A893, ""/""), 2)"),"انجمن‌های علمی و نشریات وابسته به دانشکده‌ها")</f>
        <v>انجمن‌های علمی و نشریات وابسته به دانشکده‌ها</v>
      </c>
      <c r="U893" s="1" t="str">
        <f>IFERROR(__xludf.DUMMYFUNCTION("INDEX(SPLIT(A893, ""/""), 3)"),"دانشکده مهندسی مکانیک")</f>
        <v>دانشکده مهندسی مکانیک</v>
      </c>
      <c r="V893" s="1" t="str">
        <f>IFERROR(__xludf.DUMMYFUNCTION("INDEX(SPLIT(A893, ""/""), 4)"),"خمش و برش")</f>
        <v>خمش و برش</v>
      </c>
    </row>
    <row r="894">
      <c r="A894" s="1" t="s">
        <v>2777</v>
      </c>
      <c r="B894" s="1" t="s">
        <v>2890</v>
      </c>
      <c r="C894" s="1" t="s">
        <v>21</v>
      </c>
      <c r="D894" s="4" t="s">
        <v>2891</v>
      </c>
      <c r="E894" s="1" t="s">
        <v>2780</v>
      </c>
      <c r="F894" s="1" t="s">
        <v>2892</v>
      </c>
      <c r="G894" s="1" t="s">
        <v>2893</v>
      </c>
      <c r="H894" s="1" t="s">
        <v>209</v>
      </c>
      <c r="I894" s="1" t="str">
        <f t="shared" si="1"/>
        <v>x</v>
      </c>
      <c r="J894" s="5"/>
      <c r="K894" s="1" t="str">
        <f t="shared" si="2"/>
        <v>10</v>
      </c>
      <c r="L894" s="5"/>
      <c r="M894" s="2" t="str">
        <f t="shared" si="3"/>
        <v>1401</v>
      </c>
      <c r="N894" s="1">
        <v>30.0</v>
      </c>
      <c r="O894" s="2">
        <v>2.0</v>
      </c>
      <c r="P894" s="5"/>
      <c r="Q894" s="5"/>
      <c r="R894" s="6" t="s">
        <v>210</v>
      </c>
      <c r="S894" s="5"/>
      <c r="T894" s="1" t="str">
        <f>IFERROR(__xludf.DUMMYFUNCTION("INDEX(SPLIT(A894, ""/""), 2)"),"انجمن‌های علمی و نشریات وابسته به دانشکده‌ها")</f>
        <v>انجمن‌های علمی و نشریات وابسته به دانشکده‌ها</v>
      </c>
      <c r="U894" s="1" t="str">
        <f>IFERROR(__xludf.DUMMYFUNCTION("INDEX(SPLIT(A894, ""/""), 3)"),"دانشکده مهندسی مکانیک")</f>
        <v>دانشکده مهندسی مکانیک</v>
      </c>
      <c r="V894" s="1" t="str">
        <f>IFERROR(__xludf.DUMMYFUNCTION("INDEX(SPLIT(A894, ""/""), 4)"),"خمش و برش")</f>
        <v>خمش و برش</v>
      </c>
    </row>
    <row r="895">
      <c r="A895" s="1" t="s">
        <v>2777</v>
      </c>
      <c r="B895" s="1" t="s">
        <v>2894</v>
      </c>
      <c r="C895" s="1" t="s">
        <v>21</v>
      </c>
      <c r="D895" s="4" t="s">
        <v>2895</v>
      </c>
      <c r="E895" s="1" t="s">
        <v>2780</v>
      </c>
      <c r="F895" s="1" t="s">
        <v>2892</v>
      </c>
      <c r="G895" s="1" t="s">
        <v>2896</v>
      </c>
      <c r="H895" s="1" t="s">
        <v>155</v>
      </c>
      <c r="I895" s="1" t="str">
        <f t="shared" si="1"/>
        <v>x</v>
      </c>
      <c r="J895" s="5"/>
      <c r="K895" s="1" t="str">
        <f t="shared" si="2"/>
        <v>12</v>
      </c>
      <c r="L895" s="5"/>
      <c r="M895" s="2" t="str">
        <f t="shared" si="3"/>
        <v>1401</v>
      </c>
      <c r="N895" s="1">
        <v>30.0</v>
      </c>
      <c r="O895" s="2">
        <v>3.0</v>
      </c>
      <c r="P895" s="5"/>
      <c r="Q895" s="5"/>
      <c r="R895" s="6" t="s">
        <v>156</v>
      </c>
      <c r="S895" s="5"/>
      <c r="T895" s="1" t="str">
        <f>IFERROR(__xludf.DUMMYFUNCTION("INDEX(SPLIT(A895, ""/""), 2)"),"انجمن‌های علمی و نشریات وابسته به دانشکده‌ها")</f>
        <v>انجمن‌های علمی و نشریات وابسته به دانشکده‌ها</v>
      </c>
      <c r="U895" s="1" t="str">
        <f>IFERROR(__xludf.DUMMYFUNCTION("INDEX(SPLIT(A895, ""/""), 3)"),"دانشکده مهندسی مکانیک")</f>
        <v>دانشکده مهندسی مکانیک</v>
      </c>
      <c r="V895" s="1" t="str">
        <f>IFERROR(__xludf.DUMMYFUNCTION("INDEX(SPLIT(A895, ""/""), 4)"),"خمش و برش")</f>
        <v>خمش و برش</v>
      </c>
    </row>
    <row r="896">
      <c r="A896" s="1" t="s">
        <v>2777</v>
      </c>
      <c r="B896" s="1" t="s">
        <v>2897</v>
      </c>
      <c r="C896" s="1" t="s">
        <v>21</v>
      </c>
      <c r="D896" s="4" t="s">
        <v>2898</v>
      </c>
      <c r="E896" s="1" t="s">
        <v>2780</v>
      </c>
      <c r="F896" s="1" t="s">
        <v>2892</v>
      </c>
      <c r="G896" s="1" t="s">
        <v>2896</v>
      </c>
      <c r="H896" s="1" t="s">
        <v>447</v>
      </c>
      <c r="I896" s="1" t="str">
        <f t="shared" si="1"/>
        <v>x</v>
      </c>
      <c r="J896" s="5"/>
      <c r="K896" s="1" t="str">
        <f t="shared" si="2"/>
        <v>1</v>
      </c>
      <c r="L896" s="5"/>
      <c r="M896" s="2" t="str">
        <f t="shared" si="3"/>
        <v>1402</v>
      </c>
      <c r="N896" s="1">
        <v>30.0</v>
      </c>
      <c r="O896" s="2">
        <v>4.0</v>
      </c>
      <c r="P896" s="5"/>
      <c r="Q896" s="5"/>
      <c r="R896" s="6" t="s">
        <v>448</v>
      </c>
      <c r="S896" s="5"/>
      <c r="T896" s="1" t="str">
        <f>IFERROR(__xludf.DUMMYFUNCTION("INDEX(SPLIT(A896, ""/""), 2)"),"انجمن‌های علمی و نشریات وابسته به دانشکده‌ها")</f>
        <v>انجمن‌های علمی و نشریات وابسته به دانشکده‌ها</v>
      </c>
      <c r="U896" s="1" t="str">
        <f>IFERROR(__xludf.DUMMYFUNCTION("INDEX(SPLIT(A896, ""/""), 3)"),"دانشکده مهندسی مکانیک")</f>
        <v>دانشکده مهندسی مکانیک</v>
      </c>
      <c r="V896" s="1" t="str">
        <f>IFERROR(__xludf.DUMMYFUNCTION("INDEX(SPLIT(A896, ""/""), 4)"),"خمش و برش")</f>
        <v>خمش و برش</v>
      </c>
    </row>
    <row r="897">
      <c r="A897" s="1" t="s">
        <v>2777</v>
      </c>
      <c r="B897" s="1" t="s">
        <v>2899</v>
      </c>
      <c r="C897" s="1" t="s">
        <v>21</v>
      </c>
      <c r="D897" s="4" t="s">
        <v>2900</v>
      </c>
      <c r="E897" s="1" t="s">
        <v>2780</v>
      </c>
      <c r="F897" s="1" t="s">
        <v>2892</v>
      </c>
      <c r="G897" s="1" t="s">
        <v>2901</v>
      </c>
      <c r="H897" s="1" t="s">
        <v>1525</v>
      </c>
      <c r="I897" s="1" t="str">
        <f t="shared" si="1"/>
        <v>x</v>
      </c>
      <c r="J897" s="5"/>
      <c r="K897" s="1" t="str">
        <f t="shared" si="2"/>
        <v>2</v>
      </c>
      <c r="L897" s="5"/>
      <c r="M897" s="2" t="str">
        <f t="shared" si="3"/>
        <v>1402</v>
      </c>
      <c r="N897" s="1">
        <v>30.0</v>
      </c>
      <c r="O897" s="2">
        <v>5.0</v>
      </c>
      <c r="P897" s="5"/>
      <c r="Q897" s="5"/>
      <c r="R897" s="6" t="s">
        <v>1526</v>
      </c>
      <c r="S897" s="5"/>
      <c r="T897" s="1" t="str">
        <f>IFERROR(__xludf.DUMMYFUNCTION("INDEX(SPLIT(A897, ""/""), 2)"),"انجمن‌های علمی و نشریات وابسته به دانشکده‌ها")</f>
        <v>انجمن‌های علمی و نشریات وابسته به دانشکده‌ها</v>
      </c>
      <c r="U897" s="1" t="str">
        <f>IFERROR(__xludf.DUMMYFUNCTION("INDEX(SPLIT(A897, ""/""), 3)"),"دانشکده مهندسی مکانیک")</f>
        <v>دانشکده مهندسی مکانیک</v>
      </c>
      <c r="V897" s="1" t="str">
        <f>IFERROR(__xludf.DUMMYFUNCTION("INDEX(SPLIT(A897, ""/""), 4)"),"خمش و برش")</f>
        <v>خمش و برش</v>
      </c>
    </row>
    <row r="898">
      <c r="A898" s="1" t="s">
        <v>2777</v>
      </c>
      <c r="B898" s="1" t="s">
        <v>2902</v>
      </c>
      <c r="C898" s="1" t="s">
        <v>21</v>
      </c>
      <c r="D898" s="4" t="s">
        <v>2903</v>
      </c>
      <c r="E898" s="1" t="s">
        <v>2780</v>
      </c>
      <c r="F898" s="1" t="s">
        <v>2892</v>
      </c>
      <c r="G898" s="1" t="s">
        <v>2901</v>
      </c>
      <c r="H898" s="1" t="s">
        <v>1525</v>
      </c>
      <c r="I898" s="1" t="str">
        <f t="shared" si="1"/>
        <v>x</v>
      </c>
      <c r="J898" s="5"/>
      <c r="K898" s="1" t="str">
        <f t="shared" si="2"/>
        <v>2</v>
      </c>
      <c r="L898" s="5"/>
      <c r="M898" s="2" t="str">
        <f t="shared" si="3"/>
        <v>1402</v>
      </c>
      <c r="N898" s="1">
        <v>30.0</v>
      </c>
      <c r="O898" s="2" t="s">
        <v>2824</v>
      </c>
      <c r="P898" s="5"/>
      <c r="Q898" s="5"/>
      <c r="R898" s="6" t="s">
        <v>1526</v>
      </c>
      <c r="S898" s="5"/>
      <c r="T898" s="1" t="str">
        <f>IFERROR(__xludf.DUMMYFUNCTION("INDEX(SPLIT(A898, ""/""), 2)"),"انجمن‌های علمی و نشریات وابسته به دانشکده‌ها")</f>
        <v>انجمن‌های علمی و نشریات وابسته به دانشکده‌ها</v>
      </c>
      <c r="U898" s="1" t="str">
        <f>IFERROR(__xludf.DUMMYFUNCTION("INDEX(SPLIT(A898, ""/""), 3)"),"دانشکده مهندسی مکانیک")</f>
        <v>دانشکده مهندسی مکانیک</v>
      </c>
      <c r="V898" s="1" t="str">
        <f>IFERROR(__xludf.DUMMYFUNCTION("INDEX(SPLIT(A898, ""/""), 4)"),"خمش و برش")</f>
        <v>خمش و برش</v>
      </c>
    </row>
    <row r="899">
      <c r="A899" s="1" t="s">
        <v>2777</v>
      </c>
      <c r="B899" s="1" t="s">
        <v>2904</v>
      </c>
      <c r="C899" s="1" t="s">
        <v>21</v>
      </c>
      <c r="D899" s="4" t="s">
        <v>2905</v>
      </c>
      <c r="E899" s="1" t="s">
        <v>2780</v>
      </c>
      <c r="F899" s="1" t="s">
        <v>2892</v>
      </c>
      <c r="G899" s="1" t="s">
        <v>2906</v>
      </c>
      <c r="H899" s="1" t="s">
        <v>2425</v>
      </c>
      <c r="I899" s="1" t="str">
        <f t="shared" si="1"/>
        <v>x</v>
      </c>
      <c r="J899" s="5"/>
      <c r="K899" s="1" t="str">
        <f t="shared" si="2"/>
        <v>3</v>
      </c>
      <c r="L899" s="5"/>
      <c r="M899" s="2" t="str">
        <f t="shared" si="3"/>
        <v>1402</v>
      </c>
      <c r="N899" s="1">
        <v>30.0</v>
      </c>
      <c r="O899" s="2">
        <v>6.0</v>
      </c>
      <c r="P899" s="5"/>
      <c r="Q899" s="5"/>
      <c r="R899" s="6" t="s">
        <v>2426</v>
      </c>
      <c r="S899" s="5"/>
      <c r="T899" s="1" t="str">
        <f>IFERROR(__xludf.DUMMYFUNCTION("INDEX(SPLIT(A899, ""/""), 2)"),"انجمن‌های علمی و نشریات وابسته به دانشکده‌ها")</f>
        <v>انجمن‌های علمی و نشریات وابسته به دانشکده‌ها</v>
      </c>
      <c r="U899" s="1" t="str">
        <f>IFERROR(__xludf.DUMMYFUNCTION("INDEX(SPLIT(A899, ""/""), 3)"),"دانشکده مهندسی مکانیک")</f>
        <v>دانشکده مهندسی مکانیک</v>
      </c>
      <c r="V899" s="1" t="str">
        <f>IFERROR(__xludf.DUMMYFUNCTION("INDEX(SPLIT(A899, ""/""), 4)"),"خمش و برش")</f>
        <v>خمش و برش</v>
      </c>
    </row>
    <row r="900">
      <c r="A900" s="1" t="s">
        <v>2777</v>
      </c>
      <c r="B900" s="1" t="s">
        <v>2907</v>
      </c>
      <c r="C900" s="1" t="s">
        <v>21</v>
      </c>
      <c r="D900" s="4" t="s">
        <v>2908</v>
      </c>
      <c r="E900" s="1" t="s">
        <v>2780</v>
      </c>
      <c r="F900" s="1" t="s">
        <v>2892</v>
      </c>
      <c r="G900" s="1" t="s">
        <v>2906</v>
      </c>
      <c r="H900" s="1" t="s">
        <v>160</v>
      </c>
      <c r="I900" s="1" t="str">
        <f t="shared" si="1"/>
        <v>x</v>
      </c>
      <c r="J900" s="5"/>
      <c r="K900" s="1" t="str">
        <f t="shared" si="2"/>
        <v>5</v>
      </c>
      <c r="L900" s="5"/>
      <c r="M900" s="2" t="str">
        <f t="shared" si="3"/>
        <v>1402</v>
      </c>
      <c r="N900" s="1">
        <v>30.0</v>
      </c>
      <c r="O900" s="2">
        <v>7.0</v>
      </c>
      <c r="P900" s="5"/>
      <c r="Q900" s="5"/>
      <c r="R900" s="6" t="s">
        <v>161</v>
      </c>
      <c r="S900" s="5"/>
      <c r="T900" s="1" t="str">
        <f>IFERROR(__xludf.DUMMYFUNCTION("INDEX(SPLIT(A900, ""/""), 2)"),"انجمن‌های علمی و نشریات وابسته به دانشکده‌ها")</f>
        <v>انجمن‌های علمی و نشریات وابسته به دانشکده‌ها</v>
      </c>
      <c r="U900" s="1" t="str">
        <f>IFERROR(__xludf.DUMMYFUNCTION("INDEX(SPLIT(A900, ""/""), 3)"),"دانشکده مهندسی مکانیک")</f>
        <v>دانشکده مهندسی مکانیک</v>
      </c>
      <c r="V900" s="1" t="str">
        <f>IFERROR(__xludf.DUMMYFUNCTION("INDEX(SPLIT(A900, ""/""), 4)"),"خمش و برش")</f>
        <v>خمش و برش</v>
      </c>
    </row>
    <row r="901">
      <c r="A901" s="1" t="s">
        <v>2777</v>
      </c>
      <c r="B901" s="1" t="s">
        <v>2909</v>
      </c>
      <c r="C901" s="1" t="s">
        <v>21</v>
      </c>
      <c r="D901" s="4" t="s">
        <v>2910</v>
      </c>
      <c r="E901" s="1" t="s">
        <v>2780</v>
      </c>
      <c r="F901" s="1" t="s">
        <v>2892</v>
      </c>
      <c r="G901" s="1" t="s">
        <v>2906</v>
      </c>
      <c r="H901" s="1" t="s">
        <v>160</v>
      </c>
      <c r="I901" s="1" t="str">
        <f t="shared" si="1"/>
        <v>x</v>
      </c>
      <c r="J901" s="5"/>
      <c r="K901" s="1" t="str">
        <f t="shared" si="2"/>
        <v>5</v>
      </c>
      <c r="L901" s="5"/>
      <c r="M901" s="2" t="str">
        <f t="shared" si="3"/>
        <v>1402</v>
      </c>
      <c r="N901" s="1">
        <v>30.0</v>
      </c>
      <c r="O901" s="2" t="s">
        <v>2911</v>
      </c>
      <c r="P901" s="5"/>
      <c r="Q901" s="5"/>
      <c r="R901" s="6" t="s">
        <v>161</v>
      </c>
      <c r="S901" s="5"/>
      <c r="T901" s="1" t="str">
        <f>IFERROR(__xludf.DUMMYFUNCTION("INDEX(SPLIT(A901, ""/""), 2)"),"انجمن‌های علمی و نشریات وابسته به دانشکده‌ها")</f>
        <v>انجمن‌های علمی و نشریات وابسته به دانشکده‌ها</v>
      </c>
      <c r="U901" s="1" t="str">
        <f>IFERROR(__xludf.DUMMYFUNCTION("INDEX(SPLIT(A901, ""/""), 3)"),"دانشکده مهندسی مکانیک")</f>
        <v>دانشکده مهندسی مکانیک</v>
      </c>
      <c r="V901" s="1" t="str">
        <f>IFERROR(__xludf.DUMMYFUNCTION("INDEX(SPLIT(A901, ""/""), 4)"),"خمش و برش")</f>
        <v>خمش و برش</v>
      </c>
    </row>
    <row r="902">
      <c r="A902" s="1" t="s">
        <v>2777</v>
      </c>
      <c r="B902" s="1" t="s">
        <v>2912</v>
      </c>
      <c r="C902" s="1" t="s">
        <v>21</v>
      </c>
      <c r="D902" s="4" t="s">
        <v>2913</v>
      </c>
      <c r="E902" s="1" t="s">
        <v>2780</v>
      </c>
      <c r="F902" s="1" t="s">
        <v>2914</v>
      </c>
      <c r="G902" s="1" t="s">
        <v>2914</v>
      </c>
      <c r="H902" s="1" t="s">
        <v>462</v>
      </c>
      <c r="I902" s="1" t="str">
        <f t="shared" si="1"/>
        <v>x</v>
      </c>
      <c r="J902" s="5"/>
      <c r="K902" s="1" t="str">
        <f t="shared" si="2"/>
        <v>8</v>
      </c>
      <c r="L902" s="5"/>
      <c r="M902" s="2" t="str">
        <f t="shared" si="3"/>
        <v>1402</v>
      </c>
      <c r="N902" s="1">
        <v>31.0</v>
      </c>
      <c r="O902" s="2">
        <v>1.0</v>
      </c>
      <c r="P902" s="5"/>
      <c r="Q902" s="5"/>
      <c r="R902" s="6" t="s">
        <v>463</v>
      </c>
      <c r="S902" s="5"/>
      <c r="T902" s="1" t="str">
        <f>IFERROR(__xludf.DUMMYFUNCTION("INDEX(SPLIT(A902, ""/""), 2)"),"انجمن‌های علمی و نشریات وابسته به دانشکده‌ها")</f>
        <v>انجمن‌های علمی و نشریات وابسته به دانشکده‌ها</v>
      </c>
      <c r="U902" s="1" t="str">
        <f>IFERROR(__xludf.DUMMYFUNCTION("INDEX(SPLIT(A902, ""/""), 3)"),"دانشکده مهندسی مکانیک")</f>
        <v>دانشکده مهندسی مکانیک</v>
      </c>
      <c r="V902" s="1" t="str">
        <f>IFERROR(__xludf.DUMMYFUNCTION("INDEX(SPLIT(A902, ""/""), 4)"),"خمش و برش")</f>
        <v>خمش و برش</v>
      </c>
    </row>
    <row r="903">
      <c r="A903" s="1" t="s">
        <v>2777</v>
      </c>
      <c r="B903" s="1" t="s">
        <v>2915</v>
      </c>
      <c r="C903" s="1" t="s">
        <v>21</v>
      </c>
      <c r="D903" s="4" t="s">
        <v>2916</v>
      </c>
      <c r="E903" s="1" t="s">
        <v>2780</v>
      </c>
      <c r="F903" s="1" t="s">
        <v>2914</v>
      </c>
      <c r="G903" s="1" t="s">
        <v>2917</v>
      </c>
      <c r="H903" s="1" t="s">
        <v>462</v>
      </c>
      <c r="I903" s="1" t="str">
        <f t="shared" si="1"/>
        <v>x</v>
      </c>
      <c r="J903" s="5"/>
      <c r="K903" s="1" t="str">
        <f t="shared" si="2"/>
        <v>8</v>
      </c>
      <c r="L903" s="5"/>
      <c r="M903" s="2" t="str">
        <f t="shared" si="3"/>
        <v>1402</v>
      </c>
      <c r="N903" s="1">
        <v>31.0</v>
      </c>
      <c r="O903" s="2" t="s">
        <v>2804</v>
      </c>
      <c r="P903" s="5"/>
      <c r="Q903" s="5"/>
      <c r="R903" s="6" t="s">
        <v>463</v>
      </c>
      <c r="S903" s="5"/>
      <c r="T903" s="1" t="str">
        <f>IFERROR(__xludf.DUMMYFUNCTION("INDEX(SPLIT(A903, ""/""), 2)"),"انجمن‌های علمی و نشریات وابسته به دانشکده‌ها")</f>
        <v>انجمن‌های علمی و نشریات وابسته به دانشکده‌ها</v>
      </c>
      <c r="U903" s="1" t="str">
        <f>IFERROR(__xludf.DUMMYFUNCTION("INDEX(SPLIT(A903, ""/""), 3)"),"دانشکده مهندسی مکانیک")</f>
        <v>دانشکده مهندسی مکانیک</v>
      </c>
      <c r="V903" s="1" t="str">
        <f>IFERROR(__xludf.DUMMYFUNCTION("INDEX(SPLIT(A903, ""/""), 4)"),"خمش و برش")</f>
        <v>خمش و برش</v>
      </c>
    </row>
    <row r="904">
      <c r="A904" s="1" t="s">
        <v>2777</v>
      </c>
      <c r="B904" s="1" t="s">
        <v>2918</v>
      </c>
      <c r="C904" s="1" t="s">
        <v>21</v>
      </c>
      <c r="D904" s="4" t="s">
        <v>2919</v>
      </c>
      <c r="E904" s="1" t="s">
        <v>2780</v>
      </c>
      <c r="F904" s="1" t="s">
        <v>2914</v>
      </c>
      <c r="G904" s="1" t="s">
        <v>2920</v>
      </c>
      <c r="H904" s="1" t="s">
        <v>466</v>
      </c>
      <c r="I904" s="1" t="str">
        <f t="shared" si="1"/>
        <v>x</v>
      </c>
      <c r="J904" s="5"/>
      <c r="K904" s="1" t="str">
        <f t="shared" si="2"/>
        <v>9</v>
      </c>
      <c r="L904" s="5"/>
      <c r="M904" s="2" t="str">
        <f t="shared" si="3"/>
        <v>1402</v>
      </c>
      <c r="N904" s="1">
        <v>31.0</v>
      </c>
      <c r="O904" s="2">
        <v>2.0</v>
      </c>
      <c r="P904" s="5"/>
      <c r="Q904" s="5"/>
      <c r="R904" s="6" t="s">
        <v>467</v>
      </c>
      <c r="S904" s="5"/>
      <c r="T904" s="1" t="str">
        <f>IFERROR(__xludf.DUMMYFUNCTION("INDEX(SPLIT(A904, ""/""), 2)"),"انجمن‌های علمی و نشریات وابسته به دانشکده‌ها")</f>
        <v>انجمن‌های علمی و نشریات وابسته به دانشکده‌ها</v>
      </c>
      <c r="U904" s="1" t="str">
        <f>IFERROR(__xludf.DUMMYFUNCTION("INDEX(SPLIT(A904, ""/""), 3)"),"دانشکده مهندسی مکانیک")</f>
        <v>دانشکده مهندسی مکانیک</v>
      </c>
      <c r="V904" s="1" t="str">
        <f>IFERROR(__xludf.DUMMYFUNCTION("INDEX(SPLIT(A904, ""/""), 4)"),"خمش و برش")</f>
        <v>خمش و برش</v>
      </c>
    </row>
    <row r="905">
      <c r="A905" s="1" t="s">
        <v>2777</v>
      </c>
      <c r="B905" s="1" t="s">
        <v>2921</v>
      </c>
      <c r="C905" s="1" t="s">
        <v>21</v>
      </c>
      <c r="D905" s="4" t="s">
        <v>2922</v>
      </c>
      <c r="E905" s="1" t="s">
        <v>2780</v>
      </c>
      <c r="F905" s="1" t="s">
        <v>2914</v>
      </c>
      <c r="G905" s="1" t="s">
        <v>2920</v>
      </c>
      <c r="H905" s="1" t="s">
        <v>663</v>
      </c>
      <c r="I905" s="1" t="str">
        <f t="shared" si="1"/>
        <v>x</v>
      </c>
      <c r="J905" s="5"/>
      <c r="K905" s="1" t="str">
        <f t="shared" si="2"/>
        <v>10</v>
      </c>
      <c r="L905" s="5"/>
      <c r="M905" s="2" t="str">
        <f t="shared" si="3"/>
        <v>1402</v>
      </c>
      <c r="N905" s="1">
        <v>31.0</v>
      </c>
      <c r="O905" s="2" t="s">
        <v>2809</v>
      </c>
      <c r="P905" s="5"/>
      <c r="Q905" s="5"/>
      <c r="R905" s="6" t="s">
        <v>664</v>
      </c>
      <c r="S905" s="5"/>
      <c r="T905" s="1" t="str">
        <f>IFERROR(__xludf.DUMMYFUNCTION("INDEX(SPLIT(A905, ""/""), 2)"),"انجمن‌های علمی و نشریات وابسته به دانشکده‌ها")</f>
        <v>انجمن‌های علمی و نشریات وابسته به دانشکده‌ها</v>
      </c>
      <c r="U905" s="1" t="str">
        <f>IFERROR(__xludf.DUMMYFUNCTION("INDEX(SPLIT(A905, ""/""), 3)"),"دانشکده مهندسی مکانیک")</f>
        <v>دانشکده مهندسی مکانیک</v>
      </c>
      <c r="V905" s="1" t="str">
        <f>IFERROR(__xludf.DUMMYFUNCTION("INDEX(SPLIT(A905, ""/""), 4)"),"خمش و برش")</f>
        <v>خمش و برش</v>
      </c>
    </row>
    <row r="906">
      <c r="A906" s="1" t="s">
        <v>2777</v>
      </c>
      <c r="B906" s="1" t="s">
        <v>2923</v>
      </c>
      <c r="C906" s="1" t="s">
        <v>21</v>
      </c>
      <c r="D906" s="4" t="s">
        <v>2924</v>
      </c>
      <c r="E906" s="1" t="s">
        <v>2780</v>
      </c>
      <c r="F906" s="1" t="s">
        <v>2914</v>
      </c>
      <c r="G906" s="1" t="s">
        <v>2920</v>
      </c>
      <c r="H906" s="1" t="s">
        <v>529</v>
      </c>
      <c r="I906" s="1" t="str">
        <f t="shared" si="1"/>
        <v>x</v>
      </c>
      <c r="J906" s="5"/>
      <c r="K906" s="1" t="str">
        <f t="shared" si="2"/>
        <v>11</v>
      </c>
      <c r="L906" s="5"/>
      <c r="M906" s="2" t="str">
        <f t="shared" si="3"/>
        <v>1402</v>
      </c>
      <c r="N906" s="1">
        <v>31.0</v>
      </c>
      <c r="O906" s="2">
        <v>3.0</v>
      </c>
      <c r="P906" s="5"/>
      <c r="Q906" s="5"/>
      <c r="R906" s="6" t="s">
        <v>530</v>
      </c>
      <c r="S906" s="5"/>
      <c r="T906" s="1" t="str">
        <f>IFERROR(__xludf.DUMMYFUNCTION("INDEX(SPLIT(A906, ""/""), 2)"),"انجمن‌های علمی و نشریات وابسته به دانشکده‌ها")</f>
        <v>انجمن‌های علمی و نشریات وابسته به دانشکده‌ها</v>
      </c>
      <c r="U906" s="1" t="str">
        <f>IFERROR(__xludf.DUMMYFUNCTION("INDEX(SPLIT(A906, ""/""), 3)"),"دانشکده مهندسی مکانیک")</f>
        <v>دانشکده مهندسی مکانیک</v>
      </c>
      <c r="V906" s="1" t="str">
        <f>IFERROR(__xludf.DUMMYFUNCTION("INDEX(SPLIT(A906, ""/""), 4)"),"خمش و برش")</f>
        <v>خمش و برش</v>
      </c>
    </row>
    <row r="907">
      <c r="A907" s="1" t="s">
        <v>2777</v>
      </c>
      <c r="B907" s="1" t="s">
        <v>2925</v>
      </c>
      <c r="C907" s="1" t="s">
        <v>21</v>
      </c>
      <c r="D907" s="4" t="s">
        <v>2926</v>
      </c>
      <c r="E907" s="1" t="s">
        <v>2780</v>
      </c>
      <c r="F907" s="1" t="s">
        <v>2914</v>
      </c>
      <c r="G907" s="1" t="s">
        <v>2920</v>
      </c>
      <c r="H907" s="1" t="s">
        <v>534</v>
      </c>
      <c r="I907" s="1" t="str">
        <f t="shared" si="1"/>
        <v>x</v>
      </c>
      <c r="J907" s="5"/>
      <c r="K907" s="1" t="str">
        <f t="shared" si="2"/>
        <v>1</v>
      </c>
      <c r="L907" s="1">
        <v>4.0</v>
      </c>
      <c r="M907" s="2" t="str">
        <f t="shared" si="3"/>
        <v>1403</v>
      </c>
      <c r="N907" s="1">
        <v>31.0</v>
      </c>
      <c r="O907" s="2">
        <v>4.0</v>
      </c>
      <c r="P907" s="5"/>
      <c r="Q907" s="5"/>
      <c r="R907" s="6" t="s">
        <v>535</v>
      </c>
      <c r="S907" s="5"/>
      <c r="T907" s="1" t="str">
        <f>IFERROR(__xludf.DUMMYFUNCTION("INDEX(SPLIT(A907, ""/""), 2)"),"انجمن‌های علمی و نشریات وابسته به دانشکده‌ها")</f>
        <v>انجمن‌های علمی و نشریات وابسته به دانشکده‌ها</v>
      </c>
      <c r="U907" s="1" t="str">
        <f>IFERROR(__xludf.DUMMYFUNCTION("INDEX(SPLIT(A907, ""/""), 3)"),"دانشکده مهندسی مکانیک")</f>
        <v>دانشکده مهندسی مکانیک</v>
      </c>
      <c r="V907" s="1" t="str">
        <f>IFERROR(__xludf.DUMMYFUNCTION("INDEX(SPLIT(A907, ""/""), 4)"),"خمش و برش")</f>
        <v>خمش و برش</v>
      </c>
    </row>
    <row r="908">
      <c r="A908" s="1" t="s">
        <v>2777</v>
      </c>
      <c r="B908" s="1" t="s">
        <v>2927</v>
      </c>
      <c r="C908" s="1" t="s">
        <v>21</v>
      </c>
      <c r="D908" s="4" t="s">
        <v>2928</v>
      </c>
      <c r="E908" s="1" t="s">
        <v>2780</v>
      </c>
      <c r="F908" s="1" t="s">
        <v>2929</v>
      </c>
      <c r="G908" s="1" t="s">
        <v>2930</v>
      </c>
      <c r="H908" s="1" t="s">
        <v>1364</v>
      </c>
      <c r="I908" s="1" t="str">
        <f t="shared" si="1"/>
        <v>x</v>
      </c>
      <c r="J908" s="5"/>
      <c r="K908" s="1" t="str">
        <f t="shared" si="2"/>
        <v>5</v>
      </c>
      <c r="L908" s="5"/>
      <c r="M908" s="2" t="str">
        <f t="shared" si="3"/>
        <v>1403</v>
      </c>
      <c r="N908" s="1">
        <v>32.0</v>
      </c>
      <c r="O908" s="2">
        <v>1.0</v>
      </c>
      <c r="P908" s="5"/>
      <c r="Q908" s="5"/>
      <c r="R908" s="6" t="s">
        <v>1365</v>
      </c>
      <c r="S908" s="5"/>
      <c r="T908" s="1" t="str">
        <f>IFERROR(__xludf.DUMMYFUNCTION("INDEX(SPLIT(A908, ""/""), 2)"),"انجمن‌های علمی و نشریات وابسته به دانشکده‌ها")</f>
        <v>انجمن‌های علمی و نشریات وابسته به دانشکده‌ها</v>
      </c>
      <c r="U908" s="1" t="str">
        <f>IFERROR(__xludf.DUMMYFUNCTION("INDEX(SPLIT(A908, ""/""), 3)"),"دانشکده مهندسی مکانیک")</f>
        <v>دانشکده مهندسی مکانیک</v>
      </c>
      <c r="V908" s="1" t="str">
        <f>IFERROR(__xludf.DUMMYFUNCTION("INDEX(SPLIT(A908, ""/""), 4)"),"خمش و برش")</f>
        <v>خمش و برش</v>
      </c>
    </row>
    <row r="909">
      <c r="A909" s="1" t="s">
        <v>2777</v>
      </c>
      <c r="B909" s="1" t="s">
        <v>2931</v>
      </c>
      <c r="C909" s="1" t="s">
        <v>21</v>
      </c>
      <c r="D909" s="4" t="s">
        <v>2932</v>
      </c>
      <c r="E909" s="1" t="s">
        <v>2780</v>
      </c>
      <c r="F909" s="1" t="s">
        <v>2930</v>
      </c>
      <c r="G909" s="1" t="s">
        <v>2933</v>
      </c>
      <c r="H909" s="1" t="s">
        <v>479</v>
      </c>
      <c r="I909" s="1" t="str">
        <f t="shared" si="1"/>
        <v>x</v>
      </c>
      <c r="J909" s="5"/>
      <c r="K909" s="1" t="str">
        <f t="shared" si="2"/>
        <v>11</v>
      </c>
      <c r="L909" s="5"/>
      <c r="M909" s="2" t="str">
        <f t="shared" si="3"/>
        <v>1403</v>
      </c>
      <c r="N909" s="1">
        <v>32.0</v>
      </c>
      <c r="O909" s="2">
        <v>3.0</v>
      </c>
      <c r="P909" s="5"/>
      <c r="Q909" s="5"/>
      <c r="R909" s="6" t="s">
        <v>480</v>
      </c>
      <c r="S909" s="5"/>
      <c r="T909" s="1" t="str">
        <f>IFERROR(__xludf.DUMMYFUNCTION("INDEX(SPLIT(A909, ""/""), 2)"),"انجمن‌های علمی و نشریات وابسته به دانشکده‌ها")</f>
        <v>انجمن‌های علمی و نشریات وابسته به دانشکده‌ها</v>
      </c>
      <c r="U909" s="1" t="str">
        <f>IFERROR(__xludf.DUMMYFUNCTION("INDEX(SPLIT(A909, ""/""), 3)"),"دانشکده مهندسی مکانیک")</f>
        <v>دانشکده مهندسی مکانیک</v>
      </c>
      <c r="V909" s="1" t="str">
        <f>IFERROR(__xludf.DUMMYFUNCTION("INDEX(SPLIT(A909, ""/""), 4)"),"خمش و برش")</f>
        <v>خمش و برش</v>
      </c>
    </row>
    <row r="910">
      <c r="A910" s="1" t="s">
        <v>2777</v>
      </c>
      <c r="B910" s="1" t="s">
        <v>2934</v>
      </c>
      <c r="C910" s="1" t="s">
        <v>21</v>
      </c>
      <c r="D910" s="4" t="s">
        <v>2935</v>
      </c>
      <c r="E910" s="1" t="s">
        <v>2780</v>
      </c>
      <c r="F910" s="1" t="s">
        <v>2936</v>
      </c>
      <c r="G910" s="1" t="s">
        <v>2937</v>
      </c>
      <c r="H910" s="1" t="s">
        <v>165</v>
      </c>
      <c r="I910" s="1" t="str">
        <f t="shared" si="1"/>
        <v>x</v>
      </c>
      <c r="J910" s="5"/>
      <c r="K910" s="1" t="str">
        <f t="shared" si="2"/>
        <v>x</v>
      </c>
      <c r="L910" s="5"/>
      <c r="M910" s="2" t="str">
        <f t="shared" si="3"/>
        <v>1402</v>
      </c>
      <c r="N910" s="5"/>
      <c r="O910" s="2">
        <v>1.0</v>
      </c>
      <c r="P910" s="5"/>
      <c r="Q910" s="5"/>
      <c r="R910" s="8" t="s">
        <v>166</v>
      </c>
      <c r="S910" s="5"/>
      <c r="T910" s="1" t="str">
        <f>IFERROR(__xludf.DUMMYFUNCTION("INDEX(SPLIT(A910, ""/""), 2)"),"انجمن‌های علمی و نشریات وابسته به دانشکده‌ها")</f>
        <v>انجمن‌های علمی و نشریات وابسته به دانشکده‌ها</v>
      </c>
      <c r="U910" s="1" t="str">
        <f>IFERROR(__xludf.DUMMYFUNCTION("INDEX(SPLIT(A910, ""/""), 3)"),"دانشکده مهندسی مکانیک")</f>
        <v>دانشکده مهندسی مکانیک</v>
      </c>
      <c r="V910" s="1" t="str">
        <f>IFERROR(__xludf.DUMMYFUNCTION("INDEX(SPLIT(A910, ""/""), 4)"),"خمش و برش")</f>
        <v>خمش و برش</v>
      </c>
    </row>
    <row r="911">
      <c r="A911" s="1" t="s">
        <v>2777</v>
      </c>
      <c r="B911" s="1" t="s">
        <v>2938</v>
      </c>
      <c r="C911" s="1" t="s">
        <v>21</v>
      </c>
      <c r="D911" s="4" t="s">
        <v>2939</v>
      </c>
      <c r="E911" s="1" t="s">
        <v>2780</v>
      </c>
      <c r="F911" s="1" t="s">
        <v>2936</v>
      </c>
      <c r="G911" s="1" t="s">
        <v>2940</v>
      </c>
      <c r="H911" s="1" t="s">
        <v>2734</v>
      </c>
      <c r="I911" s="1" t="str">
        <f t="shared" si="1"/>
        <v>x</v>
      </c>
      <c r="J911" s="5"/>
      <c r="K911" s="1" t="str">
        <f t="shared" si="2"/>
        <v>x</v>
      </c>
      <c r="L911" s="1">
        <v>1.0</v>
      </c>
      <c r="M911" s="2" t="str">
        <f t="shared" si="3"/>
        <v>1403</v>
      </c>
      <c r="N911" s="5"/>
      <c r="O911" s="2">
        <v>2.0</v>
      </c>
      <c r="P911" s="5"/>
      <c r="Q911" s="5"/>
      <c r="R911" s="8" t="s">
        <v>2735</v>
      </c>
      <c r="S911" s="5"/>
      <c r="T911" s="1" t="str">
        <f>IFERROR(__xludf.DUMMYFUNCTION("INDEX(SPLIT(A911, ""/""), 2)"),"انجمن‌های علمی و نشریات وابسته به دانشکده‌ها")</f>
        <v>انجمن‌های علمی و نشریات وابسته به دانشکده‌ها</v>
      </c>
      <c r="U911" s="1" t="str">
        <f>IFERROR(__xludf.DUMMYFUNCTION("INDEX(SPLIT(A911, ""/""), 3)"),"دانشکده مهندسی مکانیک")</f>
        <v>دانشکده مهندسی مکانیک</v>
      </c>
      <c r="V911" s="1" t="str">
        <f>IFERROR(__xludf.DUMMYFUNCTION("INDEX(SPLIT(A911, ""/""), 4)"),"خمش و برش")</f>
        <v>خمش و برش</v>
      </c>
    </row>
    <row r="912">
      <c r="A912" s="1" t="s">
        <v>2777</v>
      </c>
      <c r="B912" s="1" t="s">
        <v>2941</v>
      </c>
      <c r="C912" s="1" t="s">
        <v>21</v>
      </c>
      <c r="D912" s="4" t="s">
        <v>2942</v>
      </c>
      <c r="E912" s="1" t="s">
        <v>2780</v>
      </c>
      <c r="F912" s="1" t="s">
        <v>2936</v>
      </c>
      <c r="G912" s="1" t="s">
        <v>2943</v>
      </c>
      <c r="H912" s="1" t="s">
        <v>475</v>
      </c>
      <c r="I912" s="1" t="str">
        <f t="shared" si="1"/>
        <v>x</v>
      </c>
      <c r="J912" s="5"/>
      <c r="K912" s="1" t="str">
        <f t="shared" si="2"/>
        <v>6</v>
      </c>
      <c r="L912" s="5"/>
      <c r="M912" s="2" t="str">
        <f t="shared" si="3"/>
        <v>1403</v>
      </c>
      <c r="N912" s="5"/>
      <c r="O912" s="2">
        <v>3.0</v>
      </c>
      <c r="P912" s="5"/>
      <c r="Q912" s="5"/>
      <c r="R912" s="6" t="s">
        <v>476</v>
      </c>
      <c r="S912" s="5"/>
      <c r="T912" s="1" t="str">
        <f>IFERROR(__xludf.DUMMYFUNCTION("INDEX(SPLIT(A912, ""/""), 2)"),"انجمن‌های علمی و نشریات وابسته به دانشکده‌ها")</f>
        <v>انجمن‌های علمی و نشریات وابسته به دانشکده‌ها</v>
      </c>
      <c r="U912" s="1" t="str">
        <f>IFERROR(__xludf.DUMMYFUNCTION("INDEX(SPLIT(A912, ""/""), 3)"),"دانشکده مهندسی مکانیک")</f>
        <v>دانشکده مهندسی مکانیک</v>
      </c>
      <c r="V912" s="1" t="str">
        <f>IFERROR(__xludf.DUMMYFUNCTION("INDEX(SPLIT(A912, ""/""), 4)"),"خمش و برش")</f>
        <v>خمش و برش</v>
      </c>
    </row>
    <row r="913">
      <c r="A913" s="1" t="s">
        <v>2777</v>
      </c>
      <c r="B913" s="1" t="s">
        <v>2944</v>
      </c>
      <c r="C913" s="1" t="s">
        <v>21</v>
      </c>
      <c r="D913" s="4" t="s">
        <v>2945</v>
      </c>
      <c r="E913" s="1" t="s">
        <v>2780</v>
      </c>
      <c r="F913" s="1" t="s">
        <v>2936</v>
      </c>
      <c r="G913" s="1" t="s">
        <v>2943</v>
      </c>
      <c r="H913" s="1" t="s">
        <v>2734</v>
      </c>
      <c r="I913" s="1" t="str">
        <f t="shared" si="1"/>
        <v>x</v>
      </c>
      <c r="J913" s="5"/>
      <c r="K913" s="1" t="str">
        <f t="shared" si="2"/>
        <v>x</v>
      </c>
      <c r="L913" s="1">
        <v>3.0</v>
      </c>
      <c r="M913" s="2" t="str">
        <f t="shared" si="3"/>
        <v>1403</v>
      </c>
      <c r="N913" s="5"/>
      <c r="O913" s="2">
        <v>4.0</v>
      </c>
      <c r="P913" s="5"/>
      <c r="Q913" s="5"/>
      <c r="R913" s="8" t="s">
        <v>2735</v>
      </c>
      <c r="S913" s="5"/>
      <c r="T913" s="1" t="str">
        <f>IFERROR(__xludf.DUMMYFUNCTION("INDEX(SPLIT(A913, ""/""), 2)"),"انجمن‌های علمی و نشریات وابسته به دانشکده‌ها")</f>
        <v>انجمن‌های علمی و نشریات وابسته به دانشکده‌ها</v>
      </c>
      <c r="U913" s="1" t="str">
        <f>IFERROR(__xludf.DUMMYFUNCTION("INDEX(SPLIT(A913, ""/""), 3)"),"دانشکده مهندسی مکانیک")</f>
        <v>دانشکده مهندسی مکانیک</v>
      </c>
      <c r="V913" s="1" t="str">
        <f>IFERROR(__xludf.DUMMYFUNCTION("INDEX(SPLIT(A913, ""/""), 4)"),"خمش و برش")</f>
        <v>خمش و برش</v>
      </c>
    </row>
    <row r="914">
      <c r="A914" s="1" t="s">
        <v>2946</v>
      </c>
      <c r="B914" s="1" t="s">
        <v>2947</v>
      </c>
      <c r="C914" s="1" t="s">
        <v>21</v>
      </c>
      <c r="D914" s="4" t="s">
        <v>2948</v>
      </c>
      <c r="E914" s="1" t="s">
        <v>71</v>
      </c>
      <c r="F914" s="1" t="s">
        <v>71</v>
      </c>
      <c r="G914" s="1" t="s">
        <v>71</v>
      </c>
      <c r="H914" s="1" t="s">
        <v>291</v>
      </c>
      <c r="I914" s="1" t="str">
        <f t="shared" si="1"/>
        <v>x</v>
      </c>
      <c r="J914" s="5"/>
      <c r="K914" s="1" t="str">
        <f t="shared" si="2"/>
        <v>x</v>
      </c>
      <c r="L914" s="5"/>
      <c r="M914" s="2" t="str">
        <f t="shared" si="3"/>
        <v>x</v>
      </c>
      <c r="N914" s="5"/>
      <c r="O914" s="2">
        <v>1.0</v>
      </c>
      <c r="P914" s="7" t="s">
        <v>2949</v>
      </c>
      <c r="Q914" s="7" t="s">
        <v>2669</v>
      </c>
      <c r="R914" s="6" t="s">
        <v>2950</v>
      </c>
      <c r="S914" s="5"/>
      <c r="T914" s="1" t="str">
        <f>IFERROR(__xludf.DUMMYFUNCTION("INDEX(SPLIT(A914, ""/""), 2)"),"انجمن‌های علمی و نشریات وابسته به دانشکده‌ها")</f>
        <v>انجمن‌های علمی و نشریات وابسته به دانشکده‌ها</v>
      </c>
      <c r="U914" s="1" t="str">
        <f>IFERROR(__xludf.DUMMYFUNCTION("INDEX(SPLIT(A914, ""/""), 3)"),"دانشکده فیزیک")</f>
        <v>دانشکده فیزیک</v>
      </c>
      <c r="V914" s="1" t="str">
        <f>IFERROR(__xludf.DUMMYFUNCTION("INDEX(SPLIT(A914, ""/""), 4)"),"دال")</f>
        <v>دال</v>
      </c>
    </row>
    <row r="915">
      <c r="A915" s="1" t="s">
        <v>2946</v>
      </c>
      <c r="B915" s="1" t="s">
        <v>2951</v>
      </c>
      <c r="C915" s="1" t="s">
        <v>21</v>
      </c>
      <c r="D915" s="4" t="s">
        <v>2952</v>
      </c>
      <c r="E915" s="1" t="s">
        <v>71</v>
      </c>
      <c r="F915" s="1" t="s">
        <v>71</v>
      </c>
      <c r="G915" s="1" t="s">
        <v>71</v>
      </c>
      <c r="H915" s="1" t="s">
        <v>291</v>
      </c>
      <c r="I915" s="1" t="str">
        <f t="shared" si="1"/>
        <v>x</v>
      </c>
      <c r="J915" s="5"/>
      <c r="K915" s="1" t="str">
        <f t="shared" si="2"/>
        <v>x</v>
      </c>
      <c r="L915" s="5"/>
      <c r="M915" s="2" t="str">
        <f t="shared" si="3"/>
        <v>x</v>
      </c>
      <c r="N915" s="5"/>
      <c r="O915" s="2">
        <v>2.0</v>
      </c>
      <c r="P915" s="7" t="s">
        <v>2949</v>
      </c>
      <c r="Q915" s="7" t="s">
        <v>2669</v>
      </c>
      <c r="R915" s="6" t="s">
        <v>2950</v>
      </c>
      <c r="S915" s="5"/>
      <c r="T915" s="1" t="str">
        <f>IFERROR(__xludf.DUMMYFUNCTION("INDEX(SPLIT(A915, ""/""), 2)"),"انجمن‌های علمی و نشریات وابسته به دانشکده‌ها")</f>
        <v>انجمن‌های علمی و نشریات وابسته به دانشکده‌ها</v>
      </c>
      <c r="U915" s="1" t="str">
        <f>IFERROR(__xludf.DUMMYFUNCTION("INDEX(SPLIT(A915, ""/""), 3)"),"دانشکده فیزیک")</f>
        <v>دانشکده فیزیک</v>
      </c>
      <c r="V915" s="1" t="str">
        <f>IFERROR(__xludf.DUMMYFUNCTION("INDEX(SPLIT(A915, ""/""), 4)"),"دال")</f>
        <v>دال</v>
      </c>
    </row>
    <row r="916">
      <c r="A916" s="1" t="s">
        <v>2946</v>
      </c>
      <c r="B916" s="1" t="s">
        <v>2953</v>
      </c>
      <c r="C916" s="1" t="s">
        <v>21</v>
      </c>
      <c r="D916" s="4" t="s">
        <v>2954</v>
      </c>
      <c r="E916" s="1" t="s">
        <v>71</v>
      </c>
      <c r="F916" s="1" t="s">
        <v>2955</v>
      </c>
      <c r="G916" s="1" t="s">
        <v>2955</v>
      </c>
      <c r="H916" s="1" t="s">
        <v>2956</v>
      </c>
      <c r="I916" s="1" t="str">
        <f t="shared" si="1"/>
        <v>x</v>
      </c>
      <c r="J916" s="5"/>
      <c r="K916" s="1" t="str">
        <f t="shared" si="2"/>
        <v>7</v>
      </c>
      <c r="L916" s="5"/>
      <c r="M916" s="2" t="str">
        <f t="shared" si="3"/>
        <v>1386</v>
      </c>
      <c r="N916" s="5"/>
      <c r="O916" s="2">
        <v>3.0</v>
      </c>
      <c r="P916" s="5"/>
      <c r="Q916" s="5"/>
      <c r="R916" s="6" t="s">
        <v>2957</v>
      </c>
      <c r="S916" s="5"/>
      <c r="T916" s="1" t="str">
        <f>IFERROR(__xludf.DUMMYFUNCTION("INDEX(SPLIT(A916, ""/""), 2)"),"انجمن‌های علمی و نشریات وابسته به دانشکده‌ها")</f>
        <v>انجمن‌های علمی و نشریات وابسته به دانشکده‌ها</v>
      </c>
      <c r="U916" s="1" t="str">
        <f>IFERROR(__xludf.DUMMYFUNCTION("INDEX(SPLIT(A916, ""/""), 3)"),"دانشکده فیزیک")</f>
        <v>دانشکده فیزیک</v>
      </c>
      <c r="V916" s="1" t="str">
        <f>IFERROR(__xludf.DUMMYFUNCTION("INDEX(SPLIT(A916, ""/""), 4)"),"دال")</f>
        <v>دال</v>
      </c>
    </row>
    <row r="917">
      <c r="A917" s="1" t="s">
        <v>2946</v>
      </c>
      <c r="B917" s="1" t="s">
        <v>2958</v>
      </c>
      <c r="C917" s="1" t="s">
        <v>21</v>
      </c>
      <c r="D917" s="4" t="s">
        <v>2959</v>
      </c>
      <c r="E917" s="1" t="s">
        <v>71</v>
      </c>
      <c r="F917" s="1" t="s">
        <v>2955</v>
      </c>
      <c r="G917" s="1" t="s">
        <v>2960</v>
      </c>
      <c r="H917" s="1" t="s">
        <v>2961</v>
      </c>
      <c r="I917" s="1" t="str">
        <f t="shared" si="1"/>
        <v>x</v>
      </c>
      <c r="J917" s="5"/>
      <c r="K917" s="1" t="str">
        <f t="shared" si="2"/>
        <v>8</v>
      </c>
      <c r="L917" s="5"/>
      <c r="M917" s="2" t="str">
        <f t="shared" si="3"/>
        <v>1386</v>
      </c>
      <c r="N917" s="5"/>
      <c r="O917" s="2" t="s">
        <v>2962</v>
      </c>
      <c r="P917" s="5"/>
      <c r="Q917" s="5"/>
      <c r="R917" s="6" t="s">
        <v>2963</v>
      </c>
      <c r="S917" s="5"/>
      <c r="T917" s="1" t="str">
        <f>IFERROR(__xludf.DUMMYFUNCTION("INDEX(SPLIT(A917, ""/""), 2)"),"انجمن‌های علمی و نشریات وابسته به دانشکده‌ها")</f>
        <v>انجمن‌های علمی و نشریات وابسته به دانشکده‌ها</v>
      </c>
      <c r="U917" s="1" t="str">
        <f>IFERROR(__xludf.DUMMYFUNCTION("INDEX(SPLIT(A917, ""/""), 3)"),"دانشکده فیزیک")</f>
        <v>دانشکده فیزیک</v>
      </c>
      <c r="V917" s="1" t="str">
        <f>IFERROR(__xludf.DUMMYFUNCTION("INDEX(SPLIT(A917, ""/""), 4)"),"دال")</f>
        <v>دال</v>
      </c>
    </row>
    <row r="918">
      <c r="A918" s="1" t="s">
        <v>2946</v>
      </c>
      <c r="B918" s="1" t="s">
        <v>2964</v>
      </c>
      <c r="C918" s="1" t="s">
        <v>21</v>
      </c>
      <c r="D918" s="4" t="s">
        <v>2965</v>
      </c>
      <c r="E918" s="1" t="s">
        <v>71</v>
      </c>
      <c r="F918" s="1" t="s">
        <v>2955</v>
      </c>
      <c r="G918" s="1" t="s">
        <v>2966</v>
      </c>
      <c r="H918" s="1" t="s">
        <v>2967</v>
      </c>
      <c r="I918" s="1" t="str">
        <f t="shared" si="1"/>
        <v>x</v>
      </c>
      <c r="J918" s="5"/>
      <c r="K918" s="1" t="str">
        <f t="shared" si="2"/>
        <v>3</v>
      </c>
      <c r="L918" s="5"/>
      <c r="M918" s="2" t="str">
        <f t="shared" si="3"/>
        <v>1387</v>
      </c>
      <c r="N918" s="5"/>
      <c r="O918" s="2">
        <v>4.0</v>
      </c>
      <c r="P918" s="5"/>
      <c r="Q918" s="5"/>
      <c r="R918" s="6" t="s">
        <v>2968</v>
      </c>
      <c r="S918" s="5"/>
      <c r="T918" s="1" t="str">
        <f>IFERROR(__xludf.DUMMYFUNCTION("INDEX(SPLIT(A918, ""/""), 2)"),"انجمن‌های علمی و نشریات وابسته به دانشکده‌ها")</f>
        <v>انجمن‌های علمی و نشریات وابسته به دانشکده‌ها</v>
      </c>
      <c r="U918" s="1" t="str">
        <f>IFERROR(__xludf.DUMMYFUNCTION("INDEX(SPLIT(A918, ""/""), 3)"),"دانشکده فیزیک")</f>
        <v>دانشکده فیزیک</v>
      </c>
      <c r="V918" s="1" t="str">
        <f>IFERROR(__xludf.DUMMYFUNCTION("INDEX(SPLIT(A918, ""/""), 4)"),"دال")</f>
        <v>دال</v>
      </c>
    </row>
    <row r="919">
      <c r="A919" s="1" t="s">
        <v>2946</v>
      </c>
      <c r="B919" s="1" t="s">
        <v>2969</v>
      </c>
      <c r="C919" s="1" t="s">
        <v>21</v>
      </c>
      <c r="D919" s="4" t="s">
        <v>2970</v>
      </c>
      <c r="E919" s="1" t="s">
        <v>71</v>
      </c>
      <c r="F919" s="1" t="s">
        <v>2955</v>
      </c>
      <c r="G919" s="1" t="s">
        <v>2966</v>
      </c>
      <c r="H919" s="1" t="s">
        <v>2967</v>
      </c>
      <c r="I919" s="1" t="str">
        <f t="shared" si="1"/>
        <v>x</v>
      </c>
      <c r="J919" s="5"/>
      <c r="K919" s="1" t="str">
        <f t="shared" si="2"/>
        <v>3</v>
      </c>
      <c r="L919" s="5"/>
      <c r="M919" s="2" t="str">
        <f t="shared" si="3"/>
        <v>1387</v>
      </c>
      <c r="N919" s="5"/>
      <c r="O919" s="2" t="s">
        <v>2971</v>
      </c>
      <c r="P919" s="5"/>
      <c r="Q919" s="5"/>
      <c r="R919" s="6" t="s">
        <v>2968</v>
      </c>
      <c r="S919" s="5"/>
      <c r="T919" s="1" t="str">
        <f>IFERROR(__xludf.DUMMYFUNCTION("INDEX(SPLIT(A919, ""/""), 2)"),"انجمن‌های علمی و نشریات وابسته به دانشکده‌ها")</f>
        <v>انجمن‌های علمی و نشریات وابسته به دانشکده‌ها</v>
      </c>
      <c r="U919" s="1" t="str">
        <f>IFERROR(__xludf.DUMMYFUNCTION("INDEX(SPLIT(A919, ""/""), 3)"),"دانشکده فیزیک")</f>
        <v>دانشکده فیزیک</v>
      </c>
      <c r="V919" s="1" t="str">
        <f>IFERROR(__xludf.DUMMYFUNCTION("INDEX(SPLIT(A919, ""/""), 4)"),"دال")</f>
        <v>دال</v>
      </c>
    </row>
    <row r="920">
      <c r="A920" s="1" t="s">
        <v>2946</v>
      </c>
      <c r="B920" s="1" t="s">
        <v>2972</v>
      </c>
      <c r="C920" s="1" t="s">
        <v>21</v>
      </c>
      <c r="D920" s="4" t="s">
        <v>2973</v>
      </c>
      <c r="E920" s="1" t="s">
        <v>71</v>
      </c>
      <c r="F920" s="1" t="s">
        <v>2955</v>
      </c>
      <c r="G920" s="1" t="s">
        <v>2966</v>
      </c>
      <c r="H920" s="1" t="s">
        <v>291</v>
      </c>
      <c r="I920" s="1" t="str">
        <f t="shared" si="1"/>
        <v>x</v>
      </c>
      <c r="J920" s="5"/>
      <c r="K920" s="1" t="str">
        <f t="shared" si="2"/>
        <v>x</v>
      </c>
      <c r="L920" s="5"/>
      <c r="M920" s="2" t="str">
        <f t="shared" si="3"/>
        <v>x</v>
      </c>
      <c r="N920" s="5"/>
      <c r="O920" s="2" t="s">
        <v>2974</v>
      </c>
      <c r="P920" s="7" t="s">
        <v>2975</v>
      </c>
      <c r="Q920" s="7" t="s">
        <v>2976</v>
      </c>
      <c r="R920" s="6" t="s">
        <v>2977</v>
      </c>
      <c r="S920" s="5"/>
      <c r="T920" s="1" t="str">
        <f>IFERROR(__xludf.DUMMYFUNCTION("INDEX(SPLIT(A920, ""/""), 2)"),"انجمن‌های علمی و نشریات وابسته به دانشکده‌ها")</f>
        <v>انجمن‌های علمی و نشریات وابسته به دانشکده‌ها</v>
      </c>
      <c r="U920" s="1" t="str">
        <f>IFERROR(__xludf.DUMMYFUNCTION("INDEX(SPLIT(A920, ""/""), 3)"),"دانشکده فیزیک")</f>
        <v>دانشکده فیزیک</v>
      </c>
      <c r="V920" s="1" t="str">
        <f>IFERROR(__xludf.DUMMYFUNCTION("INDEX(SPLIT(A920, ""/""), 4)"),"دال")</f>
        <v>دال</v>
      </c>
    </row>
    <row r="921">
      <c r="A921" s="1" t="s">
        <v>2946</v>
      </c>
      <c r="B921" s="1" t="s">
        <v>2978</v>
      </c>
      <c r="C921" s="1" t="s">
        <v>21</v>
      </c>
      <c r="D921" s="4" t="s">
        <v>2979</v>
      </c>
      <c r="E921" s="1" t="s">
        <v>71</v>
      </c>
      <c r="F921" s="1" t="s">
        <v>2955</v>
      </c>
      <c r="G921" s="1" t="s">
        <v>2960</v>
      </c>
      <c r="H921" s="1" t="s">
        <v>291</v>
      </c>
      <c r="I921" s="1" t="str">
        <f t="shared" si="1"/>
        <v>x</v>
      </c>
      <c r="J921" s="5"/>
      <c r="K921" s="1" t="str">
        <f t="shared" si="2"/>
        <v>x</v>
      </c>
      <c r="L921" s="5"/>
      <c r="M921" s="2" t="str">
        <f t="shared" si="3"/>
        <v>x</v>
      </c>
      <c r="N921" s="5"/>
      <c r="O921" s="2">
        <v>6.0</v>
      </c>
      <c r="P921" s="7" t="s">
        <v>2975</v>
      </c>
      <c r="Q921" s="7" t="s">
        <v>2976</v>
      </c>
      <c r="R921" s="6" t="s">
        <v>2977</v>
      </c>
      <c r="S921" s="5"/>
      <c r="T921" s="1" t="str">
        <f>IFERROR(__xludf.DUMMYFUNCTION("INDEX(SPLIT(A921, ""/""), 2)"),"انجمن‌های علمی و نشریات وابسته به دانشکده‌ها")</f>
        <v>انجمن‌های علمی و نشریات وابسته به دانشکده‌ها</v>
      </c>
      <c r="U921" s="1" t="str">
        <f>IFERROR(__xludf.DUMMYFUNCTION("INDEX(SPLIT(A921, ""/""), 3)"),"دانشکده فیزیک")</f>
        <v>دانشکده فیزیک</v>
      </c>
      <c r="V921" s="1" t="str">
        <f>IFERROR(__xludf.DUMMYFUNCTION("INDEX(SPLIT(A921, ""/""), 4)"),"دال")</f>
        <v>دال</v>
      </c>
    </row>
    <row r="922">
      <c r="A922" s="1" t="s">
        <v>2946</v>
      </c>
      <c r="B922" s="1" t="s">
        <v>2980</v>
      </c>
      <c r="C922" s="1" t="s">
        <v>21</v>
      </c>
      <c r="D922" s="4" t="s">
        <v>2981</v>
      </c>
      <c r="E922" s="1" t="s">
        <v>71</v>
      </c>
      <c r="F922" s="1" t="s">
        <v>2982</v>
      </c>
      <c r="G922" s="1" t="s">
        <v>752</v>
      </c>
      <c r="H922" s="1" t="s">
        <v>2983</v>
      </c>
      <c r="I922" s="1" t="str">
        <f t="shared" si="1"/>
        <v>x</v>
      </c>
      <c r="J922" s="5"/>
      <c r="K922" s="1" t="str">
        <f t="shared" si="2"/>
        <v>1</v>
      </c>
      <c r="L922" s="5"/>
      <c r="M922" s="2" t="str">
        <f t="shared" si="3"/>
        <v>1389</v>
      </c>
      <c r="N922" s="5"/>
      <c r="O922" s="2">
        <v>7.0</v>
      </c>
      <c r="P922" s="5"/>
      <c r="Q922" s="5"/>
      <c r="R922" s="6" t="s">
        <v>2984</v>
      </c>
      <c r="S922" s="1" t="s">
        <v>2985</v>
      </c>
      <c r="T922" s="1" t="str">
        <f>IFERROR(__xludf.DUMMYFUNCTION("INDEX(SPLIT(A922, ""/""), 2)"),"انجمن‌های علمی و نشریات وابسته به دانشکده‌ها")</f>
        <v>انجمن‌های علمی و نشریات وابسته به دانشکده‌ها</v>
      </c>
      <c r="U922" s="1" t="str">
        <f>IFERROR(__xludf.DUMMYFUNCTION("INDEX(SPLIT(A922, ""/""), 3)"),"دانشکده فیزیک")</f>
        <v>دانشکده فیزیک</v>
      </c>
      <c r="V922" s="1" t="str">
        <f>IFERROR(__xludf.DUMMYFUNCTION("INDEX(SPLIT(A922, ""/""), 4)"),"دال")</f>
        <v>دال</v>
      </c>
    </row>
    <row r="923">
      <c r="A923" s="1" t="s">
        <v>2946</v>
      </c>
      <c r="B923" s="1" t="s">
        <v>2986</v>
      </c>
      <c r="C923" s="1" t="s">
        <v>21</v>
      </c>
      <c r="D923" s="4" t="s">
        <v>2987</v>
      </c>
      <c r="E923" s="1" t="s">
        <v>71</v>
      </c>
      <c r="F923" s="1" t="s">
        <v>2982</v>
      </c>
      <c r="G923" s="1" t="s">
        <v>752</v>
      </c>
      <c r="H923" s="1" t="s">
        <v>97</v>
      </c>
      <c r="I923" s="1" t="str">
        <f t="shared" si="1"/>
        <v>x</v>
      </c>
      <c r="J923" s="5"/>
      <c r="K923" s="1" t="str">
        <f t="shared" si="2"/>
        <v>3</v>
      </c>
      <c r="L923" s="5"/>
      <c r="M923" s="2" t="str">
        <f t="shared" si="3"/>
        <v>1389</v>
      </c>
      <c r="N923" s="5"/>
      <c r="O923" s="2">
        <v>8.0</v>
      </c>
      <c r="P923" s="5"/>
      <c r="Q923" s="5"/>
      <c r="R923" s="6" t="s">
        <v>2988</v>
      </c>
      <c r="S923" s="5"/>
      <c r="T923" s="1" t="str">
        <f>IFERROR(__xludf.DUMMYFUNCTION("INDEX(SPLIT(A923, ""/""), 2)"),"انجمن‌های علمی و نشریات وابسته به دانشکده‌ها")</f>
        <v>انجمن‌های علمی و نشریات وابسته به دانشکده‌ها</v>
      </c>
      <c r="U923" s="1" t="str">
        <f>IFERROR(__xludf.DUMMYFUNCTION("INDEX(SPLIT(A923, ""/""), 3)"),"دانشکده فیزیک")</f>
        <v>دانشکده فیزیک</v>
      </c>
      <c r="V923" s="1" t="str">
        <f>IFERROR(__xludf.DUMMYFUNCTION("INDEX(SPLIT(A923, ""/""), 4)"),"دال")</f>
        <v>دال</v>
      </c>
    </row>
    <row r="924">
      <c r="A924" s="1" t="s">
        <v>2946</v>
      </c>
      <c r="B924" s="1" t="s">
        <v>2989</v>
      </c>
      <c r="C924" s="1" t="s">
        <v>21</v>
      </c>
      <c r="D924" s="4" t="s">
        <v>2990</v>
      </c>
      <c r="E924" s="1" t="s">
        <v>71</v>
      </c>
      <c r="F924" s="1" t="s">
        <v>2982</v>
      </c>
      <c r="G924" s="1" t="s">
        <v>2991</v>
      </c>
      <c r="H924" s="1" t="s">
        <v>1662</v>
      </c>
      <c r="I924" s="1" t="str">
        <f t="shared" si="1"/>
        <v>x</v>
      </c>
      <c r="J924" s="5"/>
      <c r="K924" s="1" t="str">
        <f t="shared" si="2"/>
        <v>12</v>
      </c>
      <c r="L924" s="5"/>
      <c r="M924" s="2" t="str">
        <f t="shared" si="3"/>
        <v>1389</v>
      </c>
      <c r="N924" s="5"/>
      <c r="O924" s="2">
        <v>9.0</v>
      </c>
      <c r="P924" s="5"/>
      <c r="Q924" s="5"/>
      <c r="R924" s="6" t="s">
        <v>1663</v>
      </c>
      <c r="S924" s="5"/>
      <c r="T924" s="1" t="str">
        <f>IFERROR(__xludf.DUMMYFUNCTION("INDEX(SPLIT(A924, ""/""), 2)"),"انجمن‌های علمی و نشریات وابسته به دانشکده‌ها")</f>
        <v>انجمن‌های علمی و نشریات وابسته به دانشکده‌ها</v>
      </c>
      <c r="U924" s="1" t="str">
        <f>IFERROR(__xludf.DUMMYFUNCTION("INDEX(SPLIT(A924, ""/""), 3)"),"دانشکده فیزیک")</f>
        <v>دانشکده فیزیک</v>
      </c>
      <c r="V924" s="1" t="str">
        <f>IFERROR(__xludf.DUMMYFUNCTION("INDEX(SPLIT(A924, ""/""), 4)"),"دال")</f>
        <v>دال</v>
      </c>
    </row>
    <row r="925">
      <c r="A925" s="1" t="s">
        <v>2992</v>
      </c>
      <c r="B925" s="1" t="s">
        <v>2993</v>
      </c>
      <c r="C925" s="1" t="s">
        <v>21</v>
      </c>
      <c r="D925" s="4" t="s">
        <v>2994</v>
      </c>
      <c r="E925" s="1" t="s">
        <v>71</v>
      </c>
      <c r="F925" s="1" t="s">
        <v>71</v>
      </c>
      <c r="G925" s="1" t="s">
        <v>71</v>
      </c>
      <c r="H925" s="1" t="s">
        <v>2995</v>
      </c>
      <c r="I925" s="1" t="str">
        <f t="shared" si="1"/>
        <v>x</v>
      </c>
      <c r="J925" s="5"/>
      <c r="K925" s="1" t="str">
        <f t="shared" si="2"/>
        <v>8</v>
      </c>
      <c r="L925" s="5"/>
      <c r="M925" s="2" t="str">
        <f t="shared" si="3"/>
        <v>1395</v>
      </c>
      <c r="N925" s="1">
        <v>1.0</v>
      </c>
      <c r="O925" s="2">
        <v>1.0</v>
      </c>
      <c r="P925" s="5"/>
      <c r="Q925" s="5"/>
      <c r="R925" s="6" t="s">
        <v>2996</v>
      </c>
      <c r="S925" s="5"/>
      <c r="T925" s="1" t="str">
        <f>IFERROR(__xludf.DUMMYFUNCTION("INDEX(SPLIT(A925, ""/""), 2)"),"انجمن‌های علمی و نشریات وابسته به دانشکده‌ها")</f>
        <v>انجمن‌های علمی و نشریات وابسته به دانشکده‌ها</v>
      </c>
      <c r="U925" s="1" t="str">
        <f>IFERROR(__xludf.DUMMYFUNCTION("INDEX(SPLIT(A925, ""/""), 3)"),"دانشکده ریاضی")</f>
        <v>دانشکده ریاضی</v>
      </c>
      <c r="V925" s="1" t="str">
        <f>IFERROR(__xludf.DUMMYFUNCTION("INDEX(SPLIT(A925, ""/""), 4)"),"درایه")</f>
        <v>درایه</v>
      </c>
    </row>
    <row r="926">
      <c r="A926" s="1" t="s">
        <v>2992</v>
      </c>
      <c r="B926" s="1" t="s">
        <v>2997</v>
      </c>
      <c r="C926" s="1" t="s">
        <v>21</v>
      </c>
      <c r="D926" s="4" t="s">
        <v>2998</v>
      </c>
      <c r="E926" s="1" t="s">
        <v>71</v>
      </c>
      <c r="F926" s="1" t="s">
        <v>2999</v>
      </c>
      <c r="G926" s="1" t="s">
        <v>71</v>
      </c>
      <c r="H926" s="1" t="s">
        <v>270</v>
      </c>
      <c r="I926" s="1" t="str">
        <f t="shared" si="1"/>
        <v>x</v>
      </c>
      <c r="J926" s="5"/>
      <c r="K926" s="1" t="str">
        <f t="shared" si="2"/>
        <v>7</v>
      </c>
      <c r="L926" s="5"/>
      <c r="M926" s="2" t="str">
        <f t="shared" si="3"/>
        <v>1396</v>
      </c>
      <c r="N926" s="1">
        <v>2.0</v>
      </c>
      <c r="O926" s="2">
        <v>1.0</v>
      </c>
      <c r="P926" s="5"/>
      <c r="Q926" s="5"/>
      <c r="R926" s="6" t="s">
        <v>271</v>
      </c>
      <c r="S926" s="5"/>
      <c r="T926" s="1" t="str">
        <f>IFERROR(__xludf.DUMMYFUNCTION("INDEX(SPLIT(A926, ""/""), 2)"),"انجمن‌های علمی و نشریات وابسته به دانشکده‌ها")</f>
        <v>انجمن‌های علمی و نشریات وابسته به دانشکده‌ها</v>
      </c>
      <c r="U926" s="1" t="str">
        <f>IFERROR(__xludf.DUMMYFUNCTION("INDEX(SPLIT(A926, ""/""), 3)"),"دانشکده ریاضی")</f>
        <v>دانشکده ریاضی</v>
      </c>
      <c r="V926" s="1" t="str">
        <f>IFERROR(__xludf.DUMMYFUNCTION("INDEX(SPLIT(A926, ""/""), 4)"),"درایه")</f>
        <v>درایه</v>
      </c>
    </row>
    <row r="927">
      <c r="A927" s="1" t="s">
        <v>2992</v>
      </c>
      <c r="B927" s="1" t="s">
        <v>3000</v>
      </c>
      <c r="C927" s="1" t="s">
        <v>21</v>
      </c>
      <c r="D927" s="4" t="s">
        <v>3001</v>
      </c>
      <c r="E927" s="1" t="s">
        <v>71</v>
      </c>
      <c r="F927" s="1" t="s">
        <v>3002</v>
      </c>
      <c r="G927" s="1" t="s">
        <v>71</v>
      </c>
      <c r="H927" s="1" t="s">
        <v>274</v>
      </c>
      <c r="I927" s="1" t="str">
        <f t="shared" si="1"/>
        <v>x</v>
      </c>
      <c r="J927" s="5"/>
      <c r="K927" s="1" t="str">
        <f t="shared" si="2"/>
        <v>8</v>
      </c>
      <c r="L927" s="5"/>
      <c r="M927" s="2" t="str">
        <f t="shared" si="3"/>
        <v>1396</v>
      </c>
      <c r="N927" s="1">
        <v>2.0</v>
      </c>
      <c r="O927" s="2">
        <v>2.0</v>
      </c>
      <c r="P927" s="5"/>
      <c r="Q927" s="5"/>
      <c r="R927" s="6" t="s">
        <v>275</v>
      </c>
      <c r="S927" s="5"/>
      <c r="T927" s="1" t="str">
        <f>IFERROR(__xludf.DUMMYFUNCTION("INDEX(SPLIT(A927, ""/""), 2)"),"انجمن‌های علمی و نشریات وابسته به دانشکده‌ها")</f>
        <v>انجمن‌های علمی و نشریات وابسته به دانشکده‌ها</v>
      </c>
      <c r="U927" s="1" t="str">
        <f>IFERROR(__xludf.DUMMYFUNCTION("INDEX(SPLIT(A927, ""/""), 3)"),"دانشکده ریاضی")</f>
        <v>دانشکده ریاضی</v>
      </c>
      <c r="V927" s="1" t="str">
        <f>IFERROR(__xludf.DUMMYFUNCTION("INDEX(SPLIT(A927, ""/""), 4)"),"درایه")</f>
        <v>درایه</v>
      </c>
    </row>
    <row r="928">
      <c r="A928" s="1" t="s">
        <v>2992</v>
      </c>
      <c r="B928" s="1" t="s">
        <v>3003</v>
      </c>
      <c r="C928" s="1" t="s">
        <v>21</v>
      </c>
      <c r="D928" s="4" t="s">
        <v>3004</v>
      </c>
      <c r="E928" s="1" t="s">
        <v>71</v>
      </c>
      <c r="F928" s="1" t="s">
        <v>3002</v>
      </c>
      <c r="G928" s="1" t="s">
        <v>71</v>
      </c>
      <c r="H928" s="1" t="s">
        <v>274</v>
      </c>
      <c r="I928" s="1" t="str">
        <f t="shared" si="1"/>
        <v>x</v>
      </c>
      <c r="J928" s="5"/>
      <c r="K928" s="1" t="str">
        <f t="shared" si="2"/>
        <v>8</v>
      </c>
      <c r="L928" s="5"/>
      <c r="M928" s="2" t="str">
        <f t="shared" si="3"/>
        <v>1396</v>
      </c>
      <c r="N928" s="1">
        <v>2.0</v>
      </c>
      <c r="O928" s="2">
        <v>3.0</v>
      </c>
      <c r="P928" s="5"/>
      <c r="Q928" s="5"/>
      <c r="R928" s="6" t="s">
        <v>275</v>
      </c>
      <c r="S928" s="5"/>
      <c r="T928" s="1" t="str">
        <f>IFERROR(__xludf.DUMMYFUNCTION("INDEX(SPLIT(A928, ""/""), 2)"),"انجمن‌های علمی و نشریات وابسته به دانشکده‌ها")</f>
        <v>انجمن‌های علمی و نشریات وابسته به دانشکده‌ها</v>
      </c>
      <c r="U928" s="1" t="str">
        <f>IFERROR(__xludf.DUMMYFUNCTION("INDEX(SPLIT(A928, ""/""), 3)"),"دانشکده ریاضی")</f>
        <v>دانشکده ریاضی</v>
      </c>
      <c r="V928" s="1" t="str">
        <f>IFERROR(__xludf.DUMMYFUNCTION("INDEX(SPLIT(A928, ""/""), 4)"),"درایه")</f>
        <v>درایه</v>
      </c>
    </row>
    <row r="929">
      <c r="A929" s="1" t="s">
        <v>2992</v>
      </c>
      <c r="B929" s="1" t="s">
        <v>3005</v>
      </c>
      <c r="C929" s="1" t="s">
        <v>21</v>
      </c>
      <c r="D929" s="4" t="s">
        <v>3006</v>
      </c>
      <c r="E929" s="1" t="s">
        <v>71</v>
      </c>
      <c r="F929" s="1" t="s">
        <v>3007</v>
      </c>
      <c r="G929" s="1" t="s">
        <v>71</v>
      </c>
      <c r="H929" s="1" t="s">
        <v>308</v>
      </c>
      <c r="I929" s="1" t="str">
        <f t="shared" si="1"/>
        <v>x</v>
      </c>
      <c r="J929" s="5"/>
      <c r="K929" s="1" t="str">
        <f t="shared" si="2"/>
        <v>7</v>
      </c>
      <c r="L929" s="5"/>
      <c r="M929" s="2" t="str">
        <f t="shared" si="3"/>
        <v>1397</v>
      </c>
      <c r="N929" s="1">
        <v>3.0</v>
      </c>
      <c r="O929" s="2">
        <v>1.0</v>
      </c>
      <c r="P929" s="5"/>
      <c r="Q929" s="5"/>
      <c r="R929" s="6" t="s">
        <v>309</v>
      </c>
      <c r="S929" s="5"/>
      <c r="T929" s="1" t="str">
        <f>IFERROR(__xludf.DUMMYFUNCTION("INDEX(SPLIT(A929, ""/""), 2)"),"انجمن‌های علمی و نشریات وابسته به دانشکده‌ها")</f>
        <v>انجمن‌های علمی و نشریات وابسته به دانشکده‌ها</v>
      </c>
      <c r="U929" s="1" t="str">
        <f>IFERROR(__xludf.DUMMYFUNCTION("INDEX(SPLIT(A929, ""/""), 3)"),"دانشکده ریاضی")</f>
        <v>دانشکده ریاضی</v>
      </c>
      <c r="V929" s="1" t="str">
        <f>IFERROR(__xludf.DUMMYFUNCTION("INDEX(SPLIT(A929, ""/""), 4)"),"درایه")</f>
        <v>درایه</v>
      </c>
    </row>
    <row r="930">
      <c r="A930" s="1" t="s">
        <v>2992</v>
      </c>
      <c r="B930" s="1" t="s">
        <v>3008</v>
      </c>
      <c r="C930" s="1" t="s">
        <v>21</v>
      </c>
      <c r="D930" s="4" t="s">
        <v>3009</v>
      </c>
      <c r="E930" s="1" t="s">
        <v>71</v>
      </c>
      <c r="F930" s="1" t="s">
        <v>3010</v>
      </c>
      <c r="G930" s="1" t="s">
        <v>71</v>
      </c>
      <c r="H930" s="1" t="s">
        <v>347</v>
      </c>
      <c r="I930" s="1" t="str">
        <f t="shared" si="1"/>
        <v>x</v>
      </c>
      <c r="J930" s="5"/>
      <c r="K930" s="1" t="str">
        <f t="shared" si="2"/>
        <v>7</v>
      </c>
      <c r="L930" s="5"/>
      <c r="M930" s="2" t="str">
        <f t="shared" si="3"/>
        <v>1398</v>
      </c>
      <c r="N930" s="1">
        <v>4.0</v>
      </c>
      <c r="O930" s="2">
        <v>1.0</v>
      </c>
      <c r="P930" s="5"/>
      <c r="Q930" s="5"/>
      <c r="R930" s="6" t="s">
        <v>348</v>
      </c>
      <c r="S930" s="5"/>
      <c r="T930" s="1" t="str">
        <f>IFERROR(__xludf.DUMMYFUNCTION("INDEX(SPLIT(A930, ""/""), 2)"),"انجمن‌های علمی و نشریات وابسته به دانشکده‌ها")</f>
        <v>انجمن‌های علمی و نشریات وابسته به دانشکده‌ها</v>
      </c>
      <c r="U930" s="1" t="str">
        <f>IFERROR(__xludf.DUMMYFUNCTION("INDEX(SPLIT(A930, ""/""), 3)"),"دانشکده ریاضی")</f>
        <v>دانشکده ریاضی</v>
      </c>
      <c r="V930" s="1" t="str">
        <f>IFERROR(__xludf.DUMMYFUNCTION("INDEX(SPLIT(A930, ""/""), 4)"),"درایه")</f>
        <v>درایه</v>
      </c>
    </row>
    <row r="931">
      <c r="A931" s="1" t="s">
        <v>2992</v>
      </c>
      <c r="B931" s="1" t="s">
        <v>3011</v>
      </c>
      <c r="C931" s="1" t="s">
        <v>21</v>
      </c>
      <c r="D931" s="4" t="s">
        <v>3012</v>
      </c>
      <c r="E931" s="1" t="s">
        <v>71</v>
      </c>
      <c r="F931" s="1" t="s">
        <v>3010</v>
      </c>
      <c r="G931" s="1" t="s">
        <v>71</v>
      </c>
      <c r="H931" s="1" t="s">
        <v>347</v>
      </c>
      <c r="I931" s="1" t="str">
        <f t="shared" si="1"/>
        <v>x</v>
      </c>
      <c r="J931" s="5"/>
      <c r="K931" s="1" t="str">
        <f t="shared" si="2"/>
        <v>7</v>
      </c>
      <c r="L931" s="5"/>
      <c r="M931" s="2" t="str">
        <f t="shared" si="3"/>
        <v>1398</v>
      </c>
      <c r="N931" s="1">
        <v>4.0</v>
      </c>
      <c r="O931" s="2">
        <v>2.0</v>
      </c>
      <c r="P931" s="5"/>
      <c r="Q931" s="5"/>
      <c r="R931" s="6" t="s">
        <v>348</v>
      </c>
      <c r="S931" s="5"/>
      <c r="T931" s="1" t="str">
        <f>IFERROR(__xludf.DUMMYFUNCTION("INDEX(SPLIT(A931, ""/""), 2)"),"انجمن‌های علمی و نشریات وابسته به دانشکده‌ها")</f>
        <v>انجمن‌های علمی و نشریات وابسته به دانشکده‌ها</v>
      </c>
      <c r="U931" s="1" t="str">
        <f>IFERROR(__xludf.DUMMYFUNCTION("INDEX(SPLIT(A931, ""/""), 3)"),"دانشکده ریاضی")</f>
        <v>دانشکده ریاضی</v>
      </c>
      <c r="V931" s="1" t="str">
        <f>IFERROR(__xludf.DUMMYFUNCTION("INDEX(SPLIT(A931, ""/""), 4)"),"درایه")</f>
        <v>درایه</v>
      </c>
    </row>
    <row r="932">
      <c r="A932" s="1" t="s">
        <v>2992</v>
      </c>
      <c r="B932" s="1" t="s">
        <v>3013</v>
      </c>
      <c r="C932" s="1" t="s">
        <v>21</v>
      </c>
      <c r="D932" s="4" t="s">
        <v>3014</v>
      </c>
      <c r="E932" s="1" t="s">
        <v>71</v>
      </c>
      <c r="F932" s="1" t="s">
        <v>3010</v>
      </c>
      <c r="G932" s="1" t="s">
        <v>71</v>
      </c>
      <c r="H932" s="1" t="s">
        <v>347</v>
      </c>
      <c r="I932" s="1" t="str">
        <f t="shared" si="1"/>
        <v>x</v>
      </c>
      <c r="J932" s="5"/>
      <c r="K932" s="1" t="str">
        <f t="shared" si="2"/>
        <v>7</v>
      </c>
      <c r="L932" s="5"/>
      <c r="M932" s="2" t="str">
        <f t="shared" si="3"/>
        <v>1398</v>
      </c>
      <c r="N932" s="1">
        <v>4.0</v>
      </c>
      <c r="O932" s="2">
        <v>3.0</v>
      </c>
      <c r="P932" s="5"/>
      <c r="Q932" s="5"/>
      <c r="R932" s="6" t="s">
        <v>348</v>
      </c>
      <c r="S932" s="5"/>
      <c r="T932" s="1" t="str">
        <f>IFERROR(__xludf.DUMMYFUNCTION("INDEX(SPLIT(A932, ""/""), 2)"),"انجمن‌های علمی و نشریات وابسته به دانشکده‌ها")</f>
        <v>انجمن‌های علمی و نشریات وابسته به دانشکده‌ها</v>
      </c>
      <c r="U932" s="1" t="str">
        <f>IFERROR(__xludf.DUMMYFUNCTION("INDEX(SPLIT(A932, ""/""), 3)"),"دانشکده ریاضی")</f>
        <v>دانشکده ریاضی</v>
      </c>
      <c r="V932" s="1" t="str">
        <f>IFERROR(__xludf.DUMMYFUNCTION("INDEX(SPLIT(A932, ""/""), 4)"),"درایه")</f>
        <v>درایه</v>
      </c>
    </row>
    <row r="933">
      <c r="A933" s="1" t="s">
        <v>2992</v>
      </c>
      <c r="B933" s="1" t="s">
        <v>3015</v>
      </c>
      <c r="C933" s="1" t="s">
        <v>21</v>
      </c>
      <c r="D933" s="4" t="s">
        <v>3016</v>
      </c>
      <c r="E933" s="1" t="s">
        <v>71</v>
      </c>
      <c r="F933" s="1" t="s">
        <v>3010</v>
      </c>
      <c r="G933" s="1" t="s">
        <v>71</v>
      </c>
      <c r="H933" s="1" t="s">
        <v>351</v>
      </c>
      <c r="I933" s="1" t="str">
        <f t="shared" si="1"/>
        <v>x</v>
      </c>
      <c r="J933" s="5"/>
      <c r="K933" s="1" t="str">
        <f t="shared" si="2"/>
        <v>8</v>
      </c>
      <c r="L933" s="5"/>
      <c r="M933" s="2" t="str">
        <f t="shared" si="3"/>
        <v>1398</v>
      </c>
      <c r="N933" s="1">
        <v>4.0</v>
      </c>
      <c r="O933" s="2">
        <v>4.0</v>
      </c>
      <c r="P933" s="5"/>
      <c r="Q933" s="5"/>
      <c r="R933" s="6" t="s">
        <v>352</v>
      </c>
      <c r="S933" s="5"/>
      <c r="T933" s="1" t="str">
        <f>IFERROR(__xludf.DUMMYFUNCTION("INDEX(SPLIT(A933, ""/""), 2)"),"انجمن‌های علمی و نشریات وابسته به دانشکده‌ها")</f>
        <v>انجمن‌های علمی و نشریات وابسته به دانشکده‌ها</v>
      </c>
      <c r="U933" s="1" t="str">
        <f>IFERROR(__xludf.DUMMYFUNCTION("INDEX(SPLIT(A933, ""/""), 3)"),"دانشکده ریاضی")</f>
        <v>دانشکده ریاضی</v>
      </c>
      <c r="V933" s="1" t="str">
        <f>IFERROR(__xludf.DUMMYFUNCTION("INDEX(SPLIT(A933, ""/""), 4)"),"درایه")</f>
        <v>درایه</v>
      </c>
    </row>
    <row r="934">
      <c r="A934" s="1" t="s">
        <v>2992</v>
      </c>
      <c r="B934" s="1" t="s">
        <v>3017</v>
      </c>
      <c r="C934" s="1" t="s">
        <v>21</v>
      </c>
      <c r="D934" s="4" t="s">
        <v>3018</v>
      </c>
      <c r="E934" s="1" t="s">
        <v>3002</v>
      </c>
      <c r="F934" s="1" t="s">
        <v>3019</v>
      </c>
      <c r="G934" s="1" t="s">
        <v>3020</v>
      </c>
      <c r="H934" s="1" t="s">
        <v>48</v>
      </c>
      <c r="I934" s="1" t="str">
        <f t="shared" si="1"/>
        <v>x</v>
      </c>
      <c r="J934" s="5"/>
      <c r="K934" s="1" t="str">
        <f t="shared" si="2"/>
        <v>12</v>
      </c>
      <c r="L934" s="5"/>
      <c r="M934" s="2" t="str">
        <f t="shared" si="3"/>
        <v>1399</v>
      </c>
      <c r="N934" s="1">
        <v>5.0</v>
      </c>
      <c r="O934" s="2">
        <v>1.0</v>
      </c>
      <c r="P934" s="5"/>
      <c r="Q934" s="5"/>
      <c r="R934" s="6" t="s">
        <v>49</v>
      </c>
      <c r="S934" s="5"/>
      <c r="T934" s="1" t="str">
        <f>IFERROR(__xludf.DUMMYFUNCTION("INDEX(SPLIT(A934, ""/""), 2)"),"انجمن‌های علمی و نشریات وابسته به دانشکده‌ها")</f>
        <v>انجمن‌های علمی و نشریات وابسته به دانشکده‌ها</v>
      </c>
      <c r="U934" s="1" t="str">
        <f>IFERROR(__xludf.DUMMYFUNCTION("INDEX(SPLIT(A934, ""/""), 3)"),"دانشکده ریاضی")</f>
        <v>دانشکده ریاضی</v>
      </c>
      <c r="V934" s="1" t="str">
        <f>IFERROR(__xludf.DUMMYFUNCTION("INDEX(SPLIT(A934, ""/""), 4)"),"درایه")</f>
        <v>درایه</v>
      </c>
    </row>
    <row r="935">
      <c r="A935" s="1" t="s">
        <v>2992</v>
      </c>
      <c r="B935" s="1" t="s">
        <v>3021</v>
      </c>
      <c r="C935" s="1" t="s">
        <v>21</v>
      </c>
      <c r="D935" s="4" t="s">
        <v>3022</v>
      </c>
      <c r="E935" s="1" t="s">
        <v>3002</v>
      </c>
      <c r="F935" s="1" t="s">
        <v>3019</v>
      </c>
      <c r="G935" s="1" t="s">
        <v>3023</v>
      </c>
      <c r="H935" s="1" t="s">
        <v>408</v>
      </c>
      <c r="I935" s="1" t="str">
        <f t="shared" si="1"/>
        <v>x</v>
      </c>
      <c r="J935" s="5"/>
      <c r="K935" s="1" t="str">
        <f t="shared" si="2"/>
        <v>7</v>
      </c>
      <c r="L935" s="5"/>
      <c r="M935" s="2" t="str">
        <f t="shared" si="3"/>
        <v>1400</v>
      </c>
      <c r="N935" s="1">
        <v>6.0</v>
      </c>
      <c r="O935" s="2">
        <v>1.0</v>
      </c>
      <c r="P935" s="5"/>
      <c r="Q935" s="5"/>
      <c r="R935" s="6" t="s">
        <v>409</v>
      </c>
      <c r="S935" s="5"/>
      <c r="T935" s="1" t="str">
        <f>IFERROR(__xludf.DUMMYFUNCTION("INDEX(SPLIT(A935, ""/""), 2)"),"انجمن‌های علمی و نشریات وابسته به دانشکده‌ها")</f>
        <v>انجمن‌های علمی و نشریات وابسته به دانشکده‌ها</v>
      </c>
      <c r="U935" s="1" t="str">
        <f>IFERROR(__xludf.DUMMYFUNCTION("INDEX(SPLIT(A935, ""/""), 3)"),"دانشکده ریاضی")</f>
        <v>دانشکده ریاضی</v>
      </c>
      <c r="V935" s="1" t="str">
        <f>IFERROR(__xludf.DUMMYFUNCTION("INDEX(SPLIT(A935, ""/""), 4)"),"درایه")</f>
        <v>درایه</v>
      </c>
    </row>
    <row r="936">
      <c r="A936" s="1" t="s">
        <v>2992</v>
      </c>
      <c r="B936" s="1" t="s">
        <v>3024</v>
      </c>
      <c r="C936" s="1" t="s">
        <v>21</v>
      </c>
      <c r="D936" s="4" t="s">
        <v>3025</v>
      </c>
      <c r="E936" s="1" t="s">
        <v>3002</v>
      </c>
      <c r="F936" s="1" t="s">
        <v>3019</v>
      </c>
      <c r="G936" s="1" t="s">
        <v>3023</v>
      </c>
      <c r="H936" s="1" t="s">
        <v>414</v>
      </c>
      <c r="I936" s="1" t="str">
        <f t="shared" si="1"/>
        <v>x</v>
      </c>
      <c r="J936" s="5"/>
      <c r="K936" s="1" t="str">
        <f t="shared" si="2"/>
        <v>9</v>
      </c>
      <c r="L936" s="5"/>
      <c r="M936" s="2" t="str">
        <f t="shared" si="3"/>
        <v>1400</v>
      </c>
      <c r="N936" s="1">
        <v>6.0</v>
      </c>
      <c r="O936" s="2">
        <v>2.0</v>
      </c>
      <c r="P936" s="5"/>
      <c r="Q936" s="5"/>
      <c r="R936" s="6" t="s">
        <v>415</v>
      </c>
      <c r="S936" s="5"/>
      <c r="T936" s="1" t="str">
        <f>IFERROR(__xludf.DUMMYFUNCTION("INDEX(SPLIT(A936, ""/""), 2)"),"انجمن‌های علمی و نشریات وابسته به دانشکده‌ها")</f>
        <v>انجمن‌های علمی و نشریات وابسته به دانشکده‌ها</v>
      </c>
      <c r="U936" s="1" t="str">
        <f>IFERROR(__xludf.DUMMYFUNCTION("INDEX(SPLIT(A936, ""/""), 3)"),"دانشکده ریاضی")</f>
        <v>دانشکده ریاضی</v>
      </c>
      <c r="V936" s="1" t="str">
        <f>IFERROR(__xludf.DUMMYFUNCTION("INDEX(SPLIT(A936, ""/""), 4)"),"درایه")</f>
        <v>درایه</v>
      </c>
    </row>
    <row r="937">
      <c r="A937" s="1" t="s">
        <v>2992</v>
      </c>
      <c r="B937" s="1" t="s">
        <v>3026</v>
      </c>
      <c r="C937" s="1" t="s">
        <v>21</v>
      </c>
      <c r="D937" s="4" t="s">
        <v>3027</v>
      </c>
      <c r="E937" s="1" t="s">
        <v>3002</v>
      </c>
      <c r="F937" s="1" t="s">
        <v>3019</v>
      </c>
      <c r="G937" s="1" t="s">
        <v>3023</v>
      </c>
      <c r="H937" s="1" t="s">
        <v>2410</v>
      </c>
      <c r="I937" s="1" t="str">
        <f t="shared" si="1"/>
        <v>x</v>
      </c>
      <c r="J937" s="5"/>
      <c r="K937" s="1" t="str">
        <f t="shared" si="2"/>
        <v>1</v>
      </c>
      <c r="L937" s="5"/>
      <c r="M937" s="2" t="str">
        <f t="shared" si="3"/>
        <v>1401</v>
      </c>
      <c r="N937" s="1">
        <v>6.0</v>
      </c>
      <c r="O937" s="2">
        <v>3.0</v>
      </c>
      <c r="P937" s="5"/>
      <c r="Q937" s="5"/>
      <c r="R937" s="6" t="s">
        <v>2411</v>
      </c>
      <c r="S937" s="5"/>
      <c r="T937" s="1" t="str">
        <f>IFERROR(__xludf.DUMMYFUNCTION("INDEX(SPLIT(A937, ""/""), 2)"),"انجمن‌های علمی و نشریات وابسته به دانشکده‌ها")</f>
        <v>انجمن‌های علمی و نشریات وابسته به دانشکده‌ها</v>
      </c>
      <c r="U937" s="1" t="str">
        <f>IFERROR(__xludf.DUMMYFUNCTION("INDEX(SPLIT(A937, ""/""), 3)"),"دانشکده ریاضی")</f>
        <v>دانشکده ریاضی</v>
      </c>
      <c r="V937" s="1" t="str">
        <f>IFERROR(__xludf.DUMMYFUNCTION("INDEX(SPLIT(A937, ""/""), 4)"),"درایه")</f>
        <v>درایه</v>
      </c>
    </row>
    <row r="938">
      <c r="A938" s="1" t="s">
        <v>2992</v>
      </c>
      <c r="B938" s="1" t="s">
        <v>3028</v>
      </c>
      <c r="C938" s="1" t="s">
        <v>21</v>
      </c>
      <c r="D938" s="4" t="s">
        <v>3029</v>
      </c>
      <c r="E938" s="1" t="s">
        <v>3002</v>
      </c>
      <c r="F938" s="1" t="s">
        <v>3019</v>
      </c>
      <c r="G938" s="1" t="s">
        <v>3023</v>
      </c>
      <c r="H938" s="1" t="s">
        <v>433</v>
      </c>
      <c r="I938" s="1" t="str">
        <f t="shared" si="1"/>
        <v>x</v>
      </c>
      <c r="J938" s="5"/>
      <c r="K938" s="1" t="str">
        <f t="shared" si="2"/>
        <v>6</v>
      </c>
      <c r="L938" s="5"/>
      <c r="M938" s="2" t="str">
        <f t="shared" si="3"/>
        <v>1401</v>
      </c>
      <c r="N938" s="1">
        <v>6.0</v>
      </c>
      <c r="O938" s="2">
        <v>4.0</v>
      </c>
      <c r="P938" s="5"/>
      <c r="Q938" s="5"/>
      <c r="R938" s="6" t="s">
        <v>434</v>
      </c>
      <c r="S938" s="5"/>
      <c r="T938" s="1" t="str">
        <f>IFERROR(__xludf.DUMMYFUNCTION("INDEX(SPLIT(A938, ""/""), 2)"),"انجمن‌های علمی و نشریات وابسته به دانشکده‌ها")</f>
        <v>انجمن‌های علمی و نشریات وابسته به دانشکده‌ها</v>
      </c>
      <c r="U938" s="1" t="str">
        <f>IFERROR(__xludf.DUMMYFUNCTION("INDEX(SPLIT(A938, ""/""), 3)"),"دانشکده ریاضی")</f>
        <v>دانشکده ریاضی</v>
      </c>
      <c r="V938" s="1" t="str">
        <f>IFERROR(__xludf.DUMMYFUNCTION("INDEX(SPLIT(A938, ""/""), 4)"),"درایه")</f>
        <v>درایه</v>
      </c>
    </row>
    <row r="939">
      <c r="A939" s="1" t="s">
        <v>2992</v>
      </c>
      <c r="B939" s="1" t="s">
        <v>3030</v>
      </c>
      <c r="C939" s="1" t="s">
        <v>21</v>
      </c>
      <c r="D939" s="4" t="s">
        <v>3031</v>
      </c>
      <c r="E939" s="1" t="s">
        <v>3002</v>
      </c>
      <c r="F939" s="1" t="s">
        <v>3019</v>
      </c>
      <c r="G939" s="1" t="s">
        <v>3032</v>
      </c>
      <c r="H939" s="1" t="s">
        <v>2406</v>
      </c>
      <c r="I939" s="1" t="str">
        <f t="shared" si="1"/>
        <v>x</v>
      </c>
      <c r="J939" s="5"/>
      <c r="K939" s="1" t="str">
        <f t="shared" si="2"/>
        <v>9</v>
      </c>
      <c r="L939" s="5"/>
      <c r="M939" s="2" t="str">
        <f t="shared" si="3"/>
        <v>1401</v>
      </c>
      <c r="N939" s="1">
        <v>7.0</v>
      </c>
      <c r="O939" s="2">
        <v>1.0</v>
      </c>
      <c r="P939" s="5"/>
      <c r="Q939" s="5"/>
      <c r="R939" s="6" t="s">
        <v>2407</v>
      </c>
      <c r="S939" s="5"/>
      <c r="T939" s="1" t="str">
        <f>IFERROR(__xludf.DUMMYFUNCTION("INDEX(SPLIT(A939, ""/""), 2)"),"انجمن‌های علمی و نشریات وابسته به دانشکده‌ها")</f>
        <v>انجمن‌های علمی و نشریات وابسته به دانشکده‌ها</v>
      </c>
      <c r="U939" s="1" t="str">
        <f>IFERROR(__xludf.DUMMYFUNCTION("INDEX(SPLIT(A939, ""/""), 3)"),"دانشکده ریاضی")</f>
        <v>دانشکده ریاضی</v>
      </c>
      <c r="V939" s="1" t="str">
        <f>IFERROR(__xludf.DUMMYFUNCTION("INDEX(SPLIT(A939, ""/""), 4)"),"درایه")</f>
        <v>درایه</v>
      </c>
    </row>
    <row r="940">
      <c r="A940" s="1" t="s">
        <v>2992</v>
      </c>
      <c r="B940" s="1" t="s">
        <v>3033</v>
      </c>
      <c r="C940" s="1" t="s">
        <v>21</v>
      </c>
      <c r="D940" s="4" t="s">
        <v>3034</v>
      </c>
      <c r="E940" s="1" t="s">
        <v>3002</v>
      </c>
      <c r="F940" s="1" t="s">
        <v>3019</v>
      </c>
      <c r="G940" s="1" t="s">
        <v>3032</v>
      </c>
      <c r="H940" s="1" t="s">
        <v>155</v>
      </c>
      <c r="I940" s="1" t="str">
        <f t="shared" si="1"/>
        <v>x</v>
      </c>
      <c r="J940" s="5"/>
      <c r="K940" s="1" t="str">
        <f t="shared" si="2"/>
        <v>12</v>
      </c>
      <c r="L940" s="5"/>
      <c r="M940" s="2" t="str">
        <f t="shared" si="3"/>
        <v>1401</v>
      </c>
      <c r="N940" s="1">
        <v>7.0</v>
      </c>
      <c r="O940" s="2">
        <v>2.0</v>
      </c>
      <c r="P940" s="5"/>
      <c r="Q940" s="5"/>
      <c r="R940" s="6" t="s">
        <v>156</v>
      </c>
      <c r="S940" s="5"/>
      <c r="T940" s="1" t="str">
        <f>IFERROR(__xludf.DUMMYFUNCTION("INDEX(SPLIT(A940, ""/""), 2)"),"انجمن‌های علمی و نشریات وابسته به دانشکده‌ها")</f>
        <v>انجمن‌های علمی و نشریات وابسته به دانشکده‌ها</v>
      </c>
      <c r="U940" s="1" t="str">
        <f>IFERROR(__xludf.DUMMYFUNCTION("INDEX(SPLIT(A940, ""/""), 3)"),"دانشکده ریاضی")</f>
        <v>دانشکده ریاضی</v>
      </c>
      <c r="V940" s="1" t="str">
        <f>IFERROR(__xludf.DUMMYFUNCTION("INDEX(SPLIT(A940, ""/""), 4)"),"درایه")</f>
        <v>درایه</v>
      </c>
    </row>
    <row r="941">
      <c r="A941" s="1" t="s">
        <v>2992</v>
      </c>
      <c r="B941" s="1" t="s">
        <v>3035</v>
      </c>
      <c r="C941" s="1" t="s">
        <v>21</v>
      </c>
      <c r="D941" s="4" t="s">
        <v>3036</v>
      </c>
      <c r="E941" s="1" t="s">
        <v>3002</v>
      </c>
      <c r="F941" s="5"/>
      <c r="G941" s="1" t="s">
        <v>3037</v>
      </c>
      <c r="H941" s="1" t="s">
        <v>160</v>
      </c>
      <c r="I941" s="1" t="str">
        <f t="shared" si="1"/>
        <v>x</v>
      </c>
      <c r="J941" s="5"/>
      <c r="K941" s="1" t="str">
        <f t="shared" si="2"/>
        <v>5</v>
      </c>
      <c r="L941" s="5"/>
      <c r="M941" s="2" t="str">
        <f t="shared" si="3"/>
        <v>1402</v>
      </c>
      <c r="N941" s="1">
        <v>7.0</v>
      </c>
      <c r="O941" s="2">
        <v>3.0</v>
      </c>
      <c r="P941" s="5"/>
      <c r="Q941" s="5"/>
      <c r="R941" s="6" t="s">
        <v>161</v>
      </c>
      <c r="S941" s="5"/>
      <c r="T941" s="1" t="str">
        <f>IFERROR(__xludf.DUMMYFUNCTION("INDEX(SPLIT(A941, ""/""), 2)"),"انجمن‌های علمی و نشریات وابسته به دانشکده‌ها")</f>
        <v>انجمن‌های علمی و نشریات وابسته به دانشکده‌ها</v>
      </c>
      <c r="U941" s="1" t="str">
        <f>IFERROR(__xludf.DUMMYFUNCTION("INDEX(SPLIT(A941, ""/""), 3)"),"دانشکده ریاضی")</f>
        <v>دانشکده ریاضی</v>
      </c>
      <c r="V941" s="1" t="str">
        <f>IFERROR(__xludf.DUMMYFUNCTION("INDEX(SPLIT(A941, ""/""), 4)"),"درایه")</f>
        <v>درایه</v>
      </c>
    </row>
    <row r="942">
      <c r="A942" s="1" t="s">
        <v>2992</v>
      </c>
      <c r="B942" s="1" t="s">
        <v>3038</v>
      </c>
      <c r="C942" s="1" t="s">
        <v>21</v>
      </c>
      <c r="D942" s="4" t="s">
        <v>3039</v>
      </c>
      <c r="E942" s="1" t="s">
        <v>71</v>
      </c>
      <c r="F942" s="1" t="s">
        <v>3040</v>
      </c>
      <c r="G942" s="1" t="s">
        <v>3041</v>
      </c>
      <c r="H942" s="1" t="s">
        <v>529</v>
      </c>
      <c r="I942" s="1" t="str">
        <f t="shared" si="1"/>
        <v>x</v>
      </c>
      <c r="J942" s="5"/>
      <c r="K942" s="1" t="str">
        <f t="shared" si="2"/>
        <v>11</v>
      </c>
      <c r="L942" s="5"/>
      <c r="M942" s="2" t="str">
        <f t="shared" si="3"/>
        <v>1402</v>
      </c>
      <c r="N942" s="1">
        <v>8.0</v>
      </c>
      <c r="O942" s="2">
        <v>1.0</v>
      </c>
      <c r="P942" s="5"/>
      <c r="Q942" s="5"/>
      <c r="R942" s="6" t="s">
        <v>530</v>
      </c>
      <c r="S942" s="5"/>
      <c r="T942" s="1" t="str">
        <f>IFERROR(__xludf.DUMMYFUNCTION("INDEX(SPLIT(A942, ""/""), 2)"),"انجمن‌های علمی و نشریات وابسته به دانشکده‌ها")</f>
        <v>انجمن‌های علمی و نشریات وابسته به دانشکده‌ها</v>
      </c>
      <c r="U942" s="1" t="str">
        <f>IFERROR(__xludf.DUMMYFUNCTION("INDEX(SPLIT(A942, ""/""), 3)"),"دانشکده ریاضی")</f>
        <v>دانشکده ریاضی</v>
      </c>
      <c r="V942" s="1" t="str">
        <f>IFERROR(__xludf.DUMMYFUNCTION("INDEX(SPLIT(A942, ""/""), 4)"),"درایه")</f>
        <v>درایه</v>
      </c>
    </row>
    <row r="943">
      <c r="A943" s="1" t="s">
        <v>3042</v>
      </c>
      <c r="B943" s="1" t="s">
        <v>3043</v>
      </c>
      <c r="C943" s="1" t="s">
        <v>21</v>
      </c>
      <c r="D943" s="4" t="s">
        <v>3044</v>
      </c>
      <c r="E943" s="1" t="s">
        <v>3045</v>
      </c>
      <c r="F943" s="1" t="s">
        <v>3046</v>
      </c>
      <c r="G943" s="1" t="s">
        <v>3047</v>
      </c>
      <c r="H943" s="7" t="s">
        <v>3048</v>
      </c>
      <c r="I943" s="1" t="str">
        <f t="shared" si="1"/>
        <v>7</v>
      </c>
      <c r="J943" s="5"/>
      <c r="K943" s="1" t="str">
        <f t="shared" si="2"/>
        <v>8</v>
      </c>
      <c r="L943" s="5"/>
      <c r="M943" s="2" t="str">
        <f t="shared" si="3"/>
        <v>1391</v>
      </c>
      <c r="N943" s="5"/>
      <c r="O943" s="1">
        <v>1.0</v>
      </c>
      <c r="P943" s="5"/>
      <c r="Q943" s="5"/>
      <c r="R943" s="8" t="s">
        <v>3048</v>
      </c>
      <c r="S943" s="5"/>
      <c r="T943" s="1" t="str">
        <f>IFERROR(__xludf.DUMMYFUNCTION("INDEX(SPLIT(A943, ""/""), 2)"),"انجمن‌های علمی و نشریات وابسته به دانشکده‌ها")</f>
        <v>انجمن‌های علمی و نشریات وابسته به دانشکده‌ها</v>
      </c>
      <c r="U943" s="1" t="str">
        <f>IFERROR(__xludf.DUMMYFUNCTION("INDEX(SPLIT(A943, ""/""), 3)"),"دانشکده مهندسی شیمی و نفت")</f>
        <v>دانشکده مهندسی شیمی و نفت</v>
      </c>
      <c r="V943" s="1" t="str">
        <f>IFERROR(__xludf.DUMMYFUNCTION("INDEX(SPLIT(A943, ""/""), 4)"),"دردانشکده")</f>
        <v>دردانشکده</v>
      </c>
    </row>
    <row r="944">
      <c r="A944" s="1" t="s">
        <v>3042</v>
      </c>
      <c r="B944" s="1" t="s">
        <v>3049</v>
      </c>
      <c r="C944" s="1" t="s">
        <v>21</v>
      </c>
      <c r="D944" s="4" t="s">
        <v>3050</v>
      </c>
      <c r="E944" s="1" t="s">
        <v>3045</v>
      </c>
      <c r="F944" s="1" t="s">
        <v>3051</v>
      </c>
      <c r="G944" s="1" t="s">
        <v>3052</v>
      </c>
      <c r="H944" s="1" t="s">
        <v>3053</v>
      </c>
      <c r="I944" s="1" t="str">
        <f t="shared" si="1"/>
        <v>28</v>
      </c>
      <c r="J944" s="5"/>
      <c r="K944" s="1" t="str">
        <f t="shared" si="2"/>
        <v>8</v>
      </c>
      <c r="L944" s="5"/>
      <c r="M944" s="2" t="str">
        <f t="shared" si="3"/>
        <v>1391</v>
      </c>
      <c r="N944" s="5"/>
      <c r="O944" s="1">
        <v>2.0</v>
      </c>
      <c r="P944" s="5"/>
      <c r="Q944" s="5"/>
      <c r="R944" s="6" t="s">
        <v>3053</v>
      </c>
      <c r="S944" s="5"/>
      <c r="T944" s="1" t="str">
        <f>IFERROR(__xludf.DUMMYFUNCTION("INDEX(SPLIT(A944, ""/""), 2)"),"انجمن‌های علمی و نشریات وابسته به دانشکده‌ها")</f>
        <v>انجمن‌های علمی و نشریات وابسته به دانشکده‌ها</v>
      </c>
      <c r="U944" s="1" t="str">
        <f>IFERROR(__xludf.DUMMYFUNCTION("INDEX(SPLIT(A944, ""/""), 3)"),"دانشکده مهندسی شیمی و نفت")</f>
        <v>دانشکده مهندسی شیمی و نفت</v>
      </c>
      <c r="V944" s="1" t="str">
        <f>IFERROR(__xludf.DUMMYFUNCTION("INDEX(SPLIT(A944, ""/""), 4)"),"دردانشکده")</f>
        <v>دردانشکده</v>
      </c>
    </row>
    <row r="945">
      <c r="A945" s="1" t="s">
        <v>3042</v>
      </c>
      <c r="B945" s="1" t="s">
        <v>3054</v>
      </c>
      <c r="C945" s="1" t="s">
        <v>21</v>
      </c>
      <c r="D945" s="4" t="s">
        <v>3055</v>
      </c>
      <c r="E945" s="1" t="s">
        <v>3056</v>
      </c>
      <c r="F945" s="1" t="s">
        <v>3051</v>
      </c>
      <c r="G945" s="1" t="s">
        <v>3052</v>
      </c>
      <c r="H945" s="1" t="s">
        <v>3057</v>
      </c>
      <c r="I945" s="1" t="str">
        <f t="shared" si="1"/>
        <v>19</v>
      </c>
      <c r="J945" s="5"/>
      <c r="K945" s="1" t="str">
        <f t="shared" si="2"/>
        <v>9</v>
      </c>
      <c r="L945" s="5"/>
      <c r="M945" s="2" t="str">
        <f t="shared" si="3"/>
        <v>1391</v>
      </c>
      <c r="N945" s="5"/>
      <c r="O945" s="1">
        <v>3.0</v>
      </c>
      <c r="P945" s="5"/>
      <c r="Q945" s="5"/>
      <c r="R945" s="6" t="s">
        <v>3057</v>
      </c>
      <c r="S945" s="5"/>
      <c r="T945" s="1" t="str">
        <f>IFERROR(__xludf.DUMMYFUNCTION("INDEX(SPLIT(A945, ""/""), 2)"),"انجمن‌های علمی و نشریات وابسته به دانشکده‌ها")</f>
        <v>انجمن‌های علمی و نشریات وابسته به دانشکده‌ها</v>
      </c>
      <c r="U945" s="1" t="str">
        <f>IFERROR(__xludf.DUMMYFUNCTION("INDEX(SPLIT(A945, ""/""), 3)"),"دانشکده مهندسی شیمی و نفت")</f>
        <v>دانشکده مهندسی شیمی و نفت</v>
      </c>
      <c r="V945" s="1" t="str">
        <f>IFERROR(__xludf.DUMMYFUNCTION("INDEX(SPLIT(A945, ""/""), 4)"),"دردانشکده")</f>
        <v>دردانشکده</v>
      </c>
    </row>
    <row r="946">
      <c r="A946" s="1" t="s">
        <v>3042</v>
      </c>
      <c r="B946" s="1" t="s">
        <v>3058</v>
      </c>
      <c r="C946" s="1" t="s">
        <v>21</v>
      </c>
      <c r="D946" s="4" t="s">
        <v>3059</v>
      </c>
      <c r="E946" s="1" t="s">
        <v>3056</v>
      </c>
      <c r="F946" s="1" t="s">
        <v>3051</v>
      </c>
      <c r="G946" s="1" t="s">
        <v>3052</v>
      </c>
      <c r="H946" s="7" t="s">
        <v>3060</v>
      </c>
      <c r="I946" s="1" t="str">
        <f t="shared" si="1"/>
        <v>1</v>
      </c>
      <c r="J946" s="5"/>
      <c r="K946" s="1" t="str">
        <f t="shared" si="2"/>
        <v>12</v>
      </c>
      <c r="L946" s="5"/>
      <c r="M946" s="2" t="str">
        <f t="shared" si="3"/>
        <v>1391</v>
      </c>
      <c r="N946" s="5"/>
      <c r="O946" s="1">
        <v>4.0</v>
      </c>
      <c r="P946" s="5"/>
      <c r="Q946" s="5"/>
      <c r="R946" s="8" t="s">
        <v>3060</v>
      </c>
      <c r="S946" s="5"/>
      <c r="T946" s="1" t="str">
        <f>IFERROR(__xludf.DUMMYFUNCTION("INDEX(SPLIT(A946, ""/""), 2)"),"انجمن‌های علمی و نشریات وابسته به دانشکده‌ها")</f>
        <v>انجمن‌های علمی و نشریات وابسته به دانشکده‌ها</v>
      </c>
      <c r="U946" s="1" t="str">
        <f>IFERROR(__xludf.DUMMYFUNCTION("INDEX(SPLIT(A946, ""/""), 3)"),"دانشکده مهندسی شیمی و نفت")</f>
        <v>دانشکده مهندسی شیمی و نفت</v>
      </c>
      <c r="V946" s="1" t="str">
        <f>IFERROR(__xludf.DUMMYFUNCTION("INDEX(SPLIT(A946, ""/""), 4)"),"دردانشکده")</f>
        <v>دردانشکده</v>
      </c>
    </row>
    <row r="947">
      <c r="A947" s="1" t="s">
        <v>3042</v>
      </c>
      <c r="B947" s="1" t="s">
        <v>3061</v>
      </c>
      <c r="C947" s="1" t="s">
        <v>21</v>
      </c>
      <c r="D947" s="4" t="s">
        <v>3062</v>
      </c>
      <c r="E947" s="1" t="s">
        <v>3056</v>
      </c>
      <c r="F947" s="1" t="s">
        <v>3051</v>
      </c>
      <c r="G947" s="1" t="s">
        <v>3052</v>
      </c>
      <c r="H947" s="1" t="s">
        <v>3063</v>
      </c>
      <c r="I947" s="1" t="str">
        <f t="shared" si="1"/>
        <v>29</v>
      </c>
      <c r="J947" s="5"/>
      <c r="K947" s="1" t="str">
        <f t="shared" si="2"/>
        <v>2</v>
      </c>
      <c r="L947" s="5"/>
      <c r="M947" s="2" t="str">
        <f t="shared" si="3"/>
        <v>1399</v>
      </c>
      <c r="N947" s="5"/>
      <c r="O947" s="1">
        <v>5.0</v>
      </c>
      <c r="P947" s="5"/>
      <c r="Q947" s="5"/>
      <c r="R947" s="6" t="s">
        <v>3063</v>
      </c>
      <c r="S947" s="5"/>
      <c r="T947" s="1" t="str">
        <f>IFERROR(__xludf.DUMMYFUNCTION("INDEX(SPLIT(A947, ""/""), 2)"),"انجمن‌های علمی و نشریات وابسته به دانشکده‌ها")</f>
        <v>انجمن‌های علمی و نشریات وابسته به دانشکده‌ها</v>
      </c>
      <c r="U947" s="1" t="str">
        <f>IFERROR(__xludf.DUMMYFUNCTION("INDEX(SPLIT(A947, ""/""), 3)"),"دانشکده مهندسی شیمی و نفت")</f>
        <v>دانشکده مهندسی شیمی و نفت</v>
      </c>
      <c r="V947" s="1" t="str">
        <f>IFERROR(__xludf.DUMMYFUNCTION("INDEX(SPLIT(A947, ""/""), 4)"),"دردانشکده")</f>
        <v>دردانشکده</v>
      </c>
    </row>
    <row r="948">
      <c r="A948" s="1" t="s">
        <v>3042</v>
      </c>
      <c r="B948" s="1" t="s">
        <v>3064</v>
      </c>
      <c r="C948" s="1" t="s">
        <v>21</v>
      </c>
      <c r="D948" s="4" t="s">
        <v>3065</v>
      </c>
      <c r="E948" s="1" t="s">
        <v>3056</v>
      </c>
      <c r="F948" s="1" t="s">
        <v>3051</v>
      </c>
      <c r="G948" s="1" t="s">
        <v>3066</v>
      </c>
      <c r="H948" s="1" t="s">
        <v>3067</v>
      </c>
      <c r="I948" s="1" t="str">
        <f t="shared" si="1"/>
        <v>14</v>
      </c>
      <c r="J948" s="5"/>
      <c r="K948" s="1" t="str">
        <f t="shared" si="2"/>
        <v>7</v>
      </c>
      <c r="L948" s="5"/>
      <c r="M948" s="2" t="str">
        <f t="shared" si="3"/>
        <v>1392</v>
      </c>
      <c r="N948" s="5"/>
      <c r="O948" s="1">
        <v>6.0</v>
      </c>
      <c r="P948" s="5"/>
      <c r="Q948" s="5"/>
      <c r="R948" s="6" t="s">
        <v>3067</v>
      </c>
      <c r="S948" s="5"/>
      <c r="T948" s="1" t="str">
        <f>IFERROR(__xludf.DUMMYFUNCTION("INDEX(SPLIT(A948, ""/""), 2)"),"انجمن‌های علمی و نشریات وابسته به دانشکده‌ها")</f>
        <v>انجمن‌های علمی و نشریات وابسته به دانشکده‌ها</v>
      </c>
      <c r="U948" s="1" t="str">
        <f>IFERROR(__xludf.DUMMYFUNCTION("INDEX(SPLIT(A948, ""/""), 3)"),"دانشکده مهندسی شیمی و نفت")</f>
        <v>دانشکده مهندسی شیمی و نفت</v>
      </c>
      <c r="V948" s="1" t="str">
        <f>IFERROR(__xludf.DUMMYFUNCTION("INDEX(SPLIT(A948, ""/""), 4)"),"دردانشکده")</f>
        <v>دردانشکده</v>
      </c>
    </row>
    <row r="949">
      <c r="A949" s="1" t="s">
        <v>3042</v>
      </c>
      <c r="B949" s="1" t="s">
        <v>3068</v>
      </c>
      <c r="C949" s="1" t="s">
        <v>21</v>
      </c>
      <c r="D949" s="4" t="s">
        <v>3069</v>
      </c>
      <c r="E949" s="1" t="s">
        <v>3056</v>
      </c>
      <c r="F949" s="1" t="s">
        <v>3051</v>
      </c>
      <c r="G949" s="1" t="s">
        <v>3066</v>
      </c>
      <c r="H949" s="1" t="s">
        <v>3070</v>
      </c>
      <c r="I949" s="1" t="str">
        <f t="shared" si="1"/>
        <v>28</v>
      </c>
      <c r="J949" s="5"/>
      <c r="K949" s="1" t="str">
        <f t="shared" si="2"/>
        <v>7</v>
      </c>
      <c r="L949" s="5"/>
      <c r="M949" s="2" t="str">
        <f t="shared" si="3"/>
        <v>1392</v>
      </c>
      <c r="N949" s="5"/>
      <c r="O949" s="1">
        <v>7.0</v>
      </c>
      <c r="P949" s="5"/>
      <c r="Q949" s="5"/>
      <c r="R949" s="6" t="s">
        <v>3070</v>
      </c>
      <c r="S949" s="5"/>
      <c r="T949" s="1" t="str">
        <f>IFERROR(__xludf.DUMMYFUNCTION("INDEX(SPLIT(A949, ""/""), 2)"),"انجمن‌های علمی و نشریات وابسته به دانشکده‌ها")</f>
        <v>انجمن‌های علمی و نشریات وابسته به دانشکده‌ها</v>
      </c>
      <c r="U949" s="1" t="str">
        <f>IFERROR(__xludf.DUMMYFUNCTION("INDEX(SPLIT(A949, ""/""), 3)"),"دانشکده مهندسی شیمی و نفت")</f>
        <v>دانشکده مهندسی شیمی و نفت</v>
      </c>
      <c r="V949" s="1" t="str">
        <f>IFERROR(__xludf.DUMMYFUNCTION("INDEX(SPLIT(A949, ""/""), 4)"),"دردانشکده")</f>
        <v>دردانشکده</v>
      </c>
    </row>
    <row r="950">
      <c r="A950" s="1" t="s">
        <v>3042</v>
      </c>
      <c r="B950" s="1" t="s">
        <v>3071</v>
      </c>
      <c r="C950" s="1" t="s">
        <v>21</v>
      </c>
      <c r="D950" s="4" t="s">
        <v>3072</v>
      </c>
      <c r="E950" s="1" t="s">
        <v>3056</v>
      </c>
      <c r="F950" s="1" t="s">
        <v>3051</v>
      </c>
      <c r="G950" s="1" t="s">
        <v>3066</v>
      </c>
      <c r="H950" s="1" t="s">
        <v>3073</v>
      </c>
      <c r="I950" s="1" t="str">
        <f t="shared" si="1"/>
        <v>13</v>
      </c>
      <c r="J950" s="5"/>
      <c r="K950" s="1" t="str">
        <f t="shared" si="2"/>
        <v>8</v>
      </c>
      <c r="L950" s="5"/>
      <c r="M950" s="2" t="str">
        <f t="shared" si="3"/>
        <v>1392</v>
      </c>
      <c r="N950" s="5"/>
      <c r="O950" s="1">
        <v>8.0</v>
      </c>
      <c r="P950" s="5"/>
      <c r="Q950" s="5"/>
      <c r="R950" s="6" t="s">
        <v>3073</v>
      </c>
      <c r="S950" s="5"/>
      <c r="T950" s="1" t="str">
        <f>IFERROR(__xludf.DUMMYFUNCTION("INDEX(SPLIT(A950, ""/""), 2)"),"انجمن‌های علمی و نشریات وابسته به دانشکده‌ها")</f>
        <v>انجمن‌های علمی و نشریات وابسته به دانشکده‌ها</v>
      </c>
      <c r="U950" s="1" t="str">
        <f>IFERROR(__xludf.DUMMYFUNCTION("INDEX(SPLIT(A950, ""/""), 3)"),"دانشکده مهندسی شیمی و نفت")</f>
        <v>دانشکده مهندسی شیمی و نفت</v>
      </c>
      <c r="V950" s="1" t="str">
        <f>IFERROR(__xludf.DUMMYFUNCTION("INDEX(SPLIT(A950, ""/""), 4)"),"دردانشکده")</f>
        <v>دردانشکده</v>
      </c>
    </row>
    <row r="951">
      <c r="A951" s="1" t="s">
        <v>3042</v>
      </c>
      <c r="B951" s="1" t="s">
        <v>3074</v>
      </c>
      <c r="C951" s="1" t="s">
        <v>21</v>
      </c>
      <c r="D951" s="4" t="s">
        <v>3075</v>
      </c>
      <c r="E951" s="1" t="s">
        <v>3056</v>
      </c>
      <c r="F951" s="1" t="s">
        <v>3051</v>
      </c>
      <c r="G951" s="1" t="s">
        <v>3066</v>
      </c>
      <c r="H951" s="1" t="s">
        <v>3076</v>
      </c>
      <c r="I951" s="1" t="str">
        <f t="shared" si="1"/>
        <v>28</v>
      </c>
      <c r="J951" s="5"/>
      <c r="K951" s="1" t="str">
        <f t="shared" si="2"/>
        <v>8</v>
      </c>
      <c r="L951" s="5"/>
      <c r="M951" s="2" t="str">
        <f t="shared" si="3"/>
        <v>1392</v>
      </c>
      <c r="N951" s="5"/>
      <c r="O951" s="1">
        <v>9.0</v>
      </c>
      <c r="P951" s="5"/>
      <c r="Q951" s="5"/>
      <c r="R951" s="6" t="s">
        <v>3076</v>
      </c>
      <c r="S951" s="5"/>
      <c r="T951" s="1" t="str">
        <f>IFERROR(__xludf.DUMMYFUNCTION("INDEX(SPLIT(A951, ""/""), 2)"),"انجمن‌های علمی و نشریات وابسته به دانشکده‌ها")</f>
        <v>انجمن‌های علمی و نشریات وابسته به دانشکده‌ها</v>
      </c>
      <c r="U951" s="1" t="str">
        <f>IFERROR(__xludf.DUMMYFUNCTION("INDEX(SPLIT(A951, ""/""), 3)"),"دانشکده مهندسی شیمی و نفت")</f>
        <v>دانشکده مهندسی شیمی و نفت</v>
      </c>
      <c r="V951" s="1" t="str">
        <f>IFERROR(__xludf.DUMMYFUNCTION("INDEX(SPLIT(A951, ""/""), 4)"),"دردانشکده")</f>
        <v>دردانشکده</v>
      </c>
    </row>
    <row r="952">
      <c r="A952" s="1" t="s">
        <v>3042</v>
      </c>
      <c r="B952" s="1" t="s">
        <v>3077</v>
      </c>
      <c r="C952" s="1" t="s">
        <v>21</v>
      </c>
      <c r="D952" s="4" t="s">
        <v>3078</v>
      </c>
      <c r="E952" s="1" t="s">
        <v>3056</v>
      </c>
      <c r="F952" s="1" t="s">
        <v>3051</v>
      </c>
      <c r="G952" s="1" t="s">
        <v>3066</v>
      </c>
      <c r="H952" s="7" t="s">
        <v>3079</v>
      </c>
      <c r="I952" s="1" t="str">
        <f t="shared" si="1"/>
        <v>11</v>
      </c>
      <c r="J952" s="5"/>
      <c r="K952" s="1" t="str">
        <f t="shared" si="2"/>
        <v>9</v>
      </c>
      <c r="L952" s="5"/>
      <c r="M952" s="2" t="str">
        <f t="shared" si="3"/>
        <v>1392</v>
      </c>
      <c r="N952" s="5"/>
      <c r="O952" s="1">
        <v>10.0</v>
      </c>
      <c r="P952" s="5"/>
      <c r="Q952" s="5"/>
      <c r="R952" s="8" t="s">
        <v>3079</v>
      </c>
      <c r="S952" s="5"/>
      <c r="T952" s="1" t="str">
        <f>IFERROR(__xludf.DUMMYFUNCTION("INDEX(SPLIT(A952, ""/""), 2)"),"انجمن‌های علمی و نشریات وابسته به دانشکده‌ها")</f>
        <v>انجمن‌های علمی و نشریات وابسته به دانشکده‌ها</v>
      </c>
      <c r="U952" s="1" t="str">
        <f>IFERROR(__xludf.DUMMYFUNCTION("INDEX(SPLIT(A952, ""/""), 3)"),"دانشکده مهندسی شیمی و نفت")</f>
        <v>دانشکده مهندسی شیمی و نفت</v>
      </c>
      <c r="V952" s="1" t="str">
        <f>IFERROR(__xludf.DUMMYFUNCTION("INDEX(SPLIT(A952, ""/""), 4)"),"دردانشکده")</f>
        <v>دردانشکده</v>
      </c>
    </row>
    <row r="953">
      <c r="A953" s="1" t="s">
        <v>3042</v>
      </c>
      <c r="B953" s="1" t="s">
        <v>3080</v>
      </c>
      <c r="C953" s="1" t="s">
        <v>21</v>
      </c>
      <c r="D953" s="4" t="s">
        <v>3081</v>
      </c>
      <c r="E953" s="1" t="s">
        <v>3056</v>
      </c>
      <c r="F953" s="1" t="s">
        <v>3051</v>
      </c>
      <c r="G953" s="1" t="s">
        <v>3066</v>
      </c>
      <c r="H953" s="1" t="s">
        <v>3082</v>
      </c>
      <c r="I953" s="1" t="str">
        <f t="shared" si="1"/>
        <v>25</v>
      </c>
      <c r="J953" s="5"/>
      <c r="K953" s="1" t="str">
        <f t="shared" si="2"/>
        <v>9</v>
      </c>
      <c r="L953" s="5"/>
      <c r="M953" s="2" t="str">
        <f t="shared" si="3"/>
        <v>1392</v>
      </c>
      <c r="N953" s="5"/>
      <c r="O953" s="1">
        <v>11.0</v>
      </c>
      <c r="P953" s="5"/>
      <c r="Q953" s="5"/>
      <c r="R953" s="6" t="s">
        <v>3082</v>
      </c>
      <c r="S953" s="5"/>
      <c r="T953" s="1" t="str">
        <f>IFERROR(__xludf.DUMMYFUNCTION("INDEX(SPLIT(A953, ""/""), 2)"),"انجمن‌های علمی و نشریات وابسته به دانشکده‌ها")</f>
        <v>انجمن‌های علمی و نشریات وابسته به دانشکده‌ها</v>
      </c>
      <c r="U953" s="1" t="str">
        <f>IFERROR(__xludf.DUMMYFUNCTION("INDEX(SPLIT(A953, ""/""), 3)"),"دانشکده مهندسی شیمی و نفت")</f>
        <v>دانشکده مهندسی شیمی و نفت</v>
      </c>
      <c r="V953" s="1" t="str">
        <f>IFERROR(__xludf.DUMMYFUNCTION("INDEX(SPLIT(A953, ""/""), 4)"),"دردانشکده")</f>
        <v>دردانشکده</v>
      </c>
    </row>
    <row r="954">
      <c r="A954" s="1" t="s">
        <v>3042</v>
      </c>
      <c r="B954" s="1" t="s">
        <v>3083</v>
      </c>
      <c r="C954" s="1" t="s">
        <v>21</v>
      </c>
      <c r="D954" s="4" t="s">
        <v>3084</v>
      </c>
      <c r="E954" s="1" t="s">
        <v>3056</v>
      </c>
      <c r="F954" s="1" t="s">
        <v>3051</v>
      </c>
      <c r="G954" s="1" t="s">
        <v>3066</v>
      </c>
      <c r="H954" s="1" t="s">
        <v>3085</v>
      </c>
      <c r="I954" s="1" t="str">
        <f t="shared" si="1"/>
        <v>28</v>
      </c>
      <c r="J954" s="5"/>
      <c r="K954" s="1" t="str">
        <f t="shared" si="2"/>
        <v>11</v>
      </c>
      <c r="L954" s="5"/>
      <c r="M954" s="2" t="str">
        <f t="shared" si="3"/>
        <v>1392</v>
      </c>
      <c r="N954" s="5"/>
      <c r="O954" s="1">
        <v>12.0</v>
      </c>
      <c r="P954" s="5"/>
      <c r="Q954" s="5"/>
      <c r="R954" s="6" t="s">
        <v>3085</v>
      </c>
      <c r="S954" s="5"/>
      <c r="T954" s="1" t="str">
        <f>IFERROR(__xludf.DUMMYFUNCTION("INDEX(SPLIT(A954, ""/""), 2)"),"انجمن‌های علمی و نشریات وابسته به دانشکده‌ها")</f>
        <v>انجمن‌های علمی و نشریات وابسته به دانشکده‌ها</v>
      </c>
      <c r="U954" s="1" t="str">
        <f>IFERROR(__xludf.DUMMYFUNCTION("INDEX(SPLIT(A954, ""/""), 3)"),"دانشکده مهندسی شیمی و نفت")</f>
        <v>دانشکده مهندسی شیمی و نفت</v>
      </c>
      <c r="V954" s="1" t="str">
        <f>IFERROR(__xludf.DUMMYFUNCTION("INDEX(SPLIT(A954, ""/""), 4)"),"دردانشکده")</f>
        <v>دردانشکده</v>
      </c>
    </row>
    <row r="955">
      <c r="A955" s="1" t="s">
        <v>3042</v>
      </c>
      <c r="B955" s="1" t="s">
        <v>3086</v>
      </c>
      <c r="C955" s="1" t="s">
        <v>21</v>
      </c>
      <c r="D955" s="4" t="s">
        <v>3087</v>
      </c>
      <c r="E955" s="1" t="s">
        <v>3056</v>
      </c>
      <c r="F955" s="1" t="s">
        <v>3051</v>
      </c>
      <c r="G955" s="1" t="s">
        <v>3066</v>
      </c>
      <c r="H955" s="1" t="s">
        <v>3088</v>
      </c>
      <c r="I955" s="1" t="str">
        <f t="shared" si="1"/>
        <v>x</v>
      </c>
      <c r="J955" s="5"/>
      <c r="K955" s="1" t="str">
        <f t="shared" si="2"/>
        <v>x</v>
      </c>
      <c r="L955" s="1">
        <v>1.0</v>
      </c>
      <c r="M955" s="2" t="str">
        <f t="shared" si="3"/>
        <v>1393</v>
      </c>
      <c r="N955" s="5"/>
      <c r="O955" s="1">
        <v>13.0</v>
      </c>
      <c r="P955" s="1"/>
      <c r="Q955" s="1"/>
      <c r="R955" s="8" t="s">
        <v>1725</v>
      </c>
      <c r="S955" s="5"/>
      <c r="T955" s="1" t="str">
        <f>IFERROR(__xludf.DUMMYFUNCTION("INDEX(SPLIT(A955, ""/""), 2)"),"انجمن‌های علمی و نشریات وابسته به دانشکده‌ها")</f>
        <v>انجمن‌های علمی و نشریات وابسته به دانشکده‌ها</v>
      </c>
      <c r="U955" s="1" t="str">
        <f>IFERROR(__xludf.DUMMYFUNCTION("INDEX(SPLIT(A955, ""/""), 3)"),"دانشکده مهندسی شیمی و نفت")</f>
        <v>دانشکده مهندسی شیمی و نفت</v>
      </c>
      <c r="V955" s="1" t="str">
        <f>IFERROR(__xludf.DUMMYFUNCTION("INDEX(SPLIT(A955, ""/""), 4)"),"دردانشکده")</f>
        <v>دردانشکده</v>
      </c>
    </row>
    <row r="956">
      <c r="A956" s="1" t="s">
        <v>3042</v>
      </c>
      <c r="B956" s="1" t="s">
        <v>3089</v>
      </c>
      <c r="C956" s="1" t="s">
        <v>21</v>
      </c>
      <c r="D956" s="4" t="s">
        <v>3090</v>
      </c>
      <c r="E956" s="1" t="s">
        <v>3056</v>
      </c>
      <c r="F956" s="1" t="s">
        <v>3051</v>
      </c>
      <c r="G956" s="1" t="s">
        <v>3066</v>
      </c>
      <c r="H956" s="1" t="s">
        <v>3091</v>
      </c>
      <c r="I956" s="1" t="str">
        <f t="shared" si="1"/>
        <v>26</v>
      </c>
      <c r="J956" s="5"/>
      <c r="K956" s="1" t="str">
        <f t="shared" si="2"/>
        <v>1</v>
      </c>
      <c r="L956" s="5"/>
      <c r="M956" s="2" t="str">
        <f t="shared" si="3"/>
        <v>1393</v>
      </c>
      <c r="N956" s="5"/>
      <c r="O956" s="1">
        <v>14.0</v>
      </c>
      <c r="P956" s="5"/>
      <c r="Q956" s="5"/>
      <c r="R956" s="6" t="s">
        <v>3091</v>
      </c>
      <c r="S956" s="5"/>
      <c r="T956" s="1" t="str">
        <f>IFERROR(__xludf.DUMMYFUNCTION("INDEX(SPLIT(A956, ""/""), 2)"),"انجمن‌های علمی و نشریات وابسته به دانشکده‌ها")</f>
        <v>انجمن‌های علمی و نشریات وابسته به دانشکده‌ها</v>
      </c>
      <c r="U956" s="1" t="str">
        <f>IFERROR(__xludf.DUMMYFUNCTION("INDEX(SPLIT(A956, ""/""), 3)"),"دانشکده مهندسی شیمی و نفت")</f>
        <v>دانشکده مهندسی شیمی و نفت</v>
      </c>
      <c r="V956" s="1" t="str">
        <f>IFERROR(__xludf.DUMMYFUNCTION("INDEX(SPLIT(A956, ""/""), 4)"),"دردانشکده")</f>
        <v>دردانشکده</v>
      </c>
    </row>
    <row r="957">
      <c r="A957" s="1" t="s">
        <v>3042</v>
      </c>
      <c r="B957" s="1" t="s">
        <v>3092</v>
      </c>
      <c r="C957" s="1" t="s">
        <v>21</v>
      </c>
      <c r="D957" s="4" t="s">
        <v>3093</v>
      </c>
      <c r="E957" s="1" t="s">
        <v>3056</v>
      </c>
      <c r="F957" s="1" t="s">
        <v>3051</v>
      </c>
      <c r="G957" s="1" t="s">
        <v>3066</v>
      </c>
      <c r="H957" s="7" t="s">
        <v>3094</v>
      </c>
      <c r="I957" s="1" t="str">
        <f t="shared" si="1"/>
        <v>8</v>
      </c>
      <c r="J957" s="5"/>
      <c r="K957" s="1" t="str">
        <f t="shared" si="2"/>
        <v>2</v>
      </c>
      <c r="L957" s="5"/>
      <c r="M957" s="2" t="str">
        <f t="shared" si="3"/>
        <v>1393</v>
      </c>
      <c r="N957" s="5"/>
      <c r="O957" s="1">
        <v>15.0</v>
      </c>
      <c r="P957" s="5"/>
      <c r="Q957" s="5"/>
      <c r="R957" s="8" t="s">
        <v>3094</v>
      </c>
      <c r="S957" s="5"/>
      <c r="T957" s="1" t="str">
        <f>IFERROR(__xludf.DUMMYFUNCTION("INDEX(SPLIT(A957, ""/""), 2)"),"انجمن‌های علمی و نشریات وابسته به دانشکده‌ها")</f>
        <v>انجمن‌های علمی و نشریات وابسته به دانشکده‌ها</v>
      </c>
      <c r="U957" s="1" t="str">
        <f>IFERROR(__xludf.DUMMYFUNCTION("INDEX(SPLIT(A957, ""/""), 3)"),"دانشکده مهندسی شیمی و نفت")</f>
        <v>دانشکده مهندسی شیمی و نفت</v>
      </c>
      <c r="V957" s="1" t="str">
        <f>IFERROR(__xludf.DUMMYFUNCTION("INDEX(SPLIT(A957, ""/""), 4)"),"دردانشکده")</f>
        <v>دردانشکده</v>
      </c>
    </row>
    <row r="958">
      <c r="A958" s="1" t="s">
        <v>3042</v>
      </c>
      <c r="B958" s="1" t="s">
        <v>3095</v>
      </c>
      <c r="C958" s="1" t="s">
        <v>21</v>
      </c>
      <c r="D958" s="4" t="s">
        <v>3096</v>
      </c>
      <c r="E958" s="1" t="s">
        <v>3056</v>
      </c>
      <c r="F958" s="1" t="s">
        <v>3051</v>
      </c>
      <c r="G958" s="1" t="s">
        <v>3066</v>
      </c>
      <c r="H958" s="1" t="s">
        <v>3097</v>
      </c>
      <c r="I958" s="1" t="str">
        <f t="shared" si="1"/>
        <v>22</v>
      </c>
      <c r="J958" s="5"/>
      <c r="K958" s="1" t="str">
        <f t="shared" si="2"/>
        <v>2</v>
      </c>
      <c r="L958" s="5"/>
      <c r="M958" s="2" t="str">
        <f t="shared" si="3"/>
        <v>1393</v>
      </c>
      <c r="N958" s="5"/>
      <c r="O958" s="1">
        <v>16.0</v>
      </c>
      <c r="P958" s="5"/>
      <c r="Q958" s="5"/>
      <c r="R958" s="6" t="s">
        <v>3097</v>
      </c>
      <c r="S958" s="5"/>
      <c r="T958" s="1" t="str">
        <f>IFERROR(__xludf.DUMMYFUNCTION("INDEX(SPLIT(A958, ""/""), 2)"),"انجمن‌های علمی و نشریات وابسته به دانشکده‌ها")</f>
        <v>انجمن‌های علمی و نشریات وابسته به دانشکده‌ها</v>
      </c>
      <c r="U958" s="1" t="str">
        <f>IFERROR(__xludf.DUMMYFUNCTION("INDEX(SPLIT(A958, ""/""), 3)"),"دانشکده مهندسی شیمی و نفت")</f>
        <v>دانشکده مهندسی شیمی و نفت</v>
      </c>
      <c r="V958" s="1" t="str">
        <f>IFERROR(__xludf.DUMMYFUNCTION("INDEX(SPLIT(A958, ""/""), 4)"),"دردانشکده")</f>
        <v>دردانشکده</v>
      </c>
    </row>
    <row r="959">
      <c r="A959" s="1" t="s">
        <v>3042</v>
      </c>
      <c r="B959" s="1" t="s">
        <v>3098</v>
      </c>
      <c r="C959" s="1" t="s">
        <v>21</v>
      </c>
      <c r="D959" s="4" t="s">
        <v>3099</v>
      </c>
      <c r="E959" s="1" t="s">
        <v>3056</v>
      </c>
      <c r="F959" s="1" t="s">
        <v>3051</v>
      </c>
      <c r="G959" s="1" t="s">
        <v>3066</v>
      </c>
      <c r="H959" s="7" t="s">
        <v>3100</v>
      </c>
      <c r="I959" s="1" t="str">
        <f t="shared" si="1"/>
        <v>5</v>
      </c>
      <c r="J959" s="5"/>
      <c r="K959" s="1" t="str">
        <f t="shared" si="2"/>
        <v>9</v>
      </c>
      <c r="L959" s="5"/>
      <c r="M959" s="2" t="str">
        <f t="shared" si="3"/>
        <v>1393</v>
      </c>
      <c r="N959" s="5"/>
      <c r="O959" s="1">
        <v>17.0</v>
      </c>
      <c r="P959" s="5"/>
      <c r="Q959" s="5"/>
      <c r="R959" s="8" t="s">
        <v>3100</v>
      </c>
      <c r="S959" s="5"/>
      <c r="T959" s="1" t="str">
        <f>IFERROR(__xludf.DUMMYFUNCTION("INDEX(SPLIT(A959, ""/""), 2)"),"انجمن‌های علمی و نشریات وابسته به دانشکده‌ها")</f>
        <v>انجمن‌های علمی و نشریات وابسته به دانشکده‌ها</v>
      </c>
      <c r="U959" s="1" t="str">
        <f>IFERROR(__xludf.DUMMYFUNCTION("INDEX(SPLIT(A959, ""/""), 3)"),"دانشکده مهندسی شیمی و نفت")</f>
        <v>دانشکده مهندسی شیمی و نفت</v>
      </c>
      <c r="V959" s="1" t="str">
        <f>IFERROR(__xludf.DUMMYFUNCTION("INDEX(SPLIT(A959, ""/""), 4)"),"دردانشکده")</f>
        <v>دردانشکده</v>
      </c>
    </row>
    <row r="960">
      <c r="A960" s="1" t="s">
        <v>3042</v>
      </c>
      <c r="B960" s="1" t="s">
        <v>3101</v>
      </c>
      <c r="C960" s="1" t="s">
        <v>21</v>
      </c>
      <c r="D960" s="4" t="s">
        <v>3102</v>
      </c>
      <c r="E960" s="1" t="s">
        <v>3056</v>
      </c>
      <c r="F960" s="1" t="s">
        <v>3051</v>
      </c>
      <c r="G960" s="1" t="s">
        <v>3066</v>
      </c>
      <c r="H960" s="1" t="s">
        <v>3103</v>
      </c>
      <c r="I960" s="1" t="str">
        <f t="shared" si="1"/>
        <v>31</v>
      </c>
      <c r="J960" s="5"/>
      <c r="K960" s="1" t="str">
        <f t="shared" si="2"/>
        <v>6</v>
      </c>
      <c r="L960" s="5"/>
      <c r="M960" s="2" t="str">
        <f t="shared" si="3"/>
        <v>1393</v>
      </c>
      <c r="N960" s="5"/>
      <c r="O960" s="1">
        <v>18.0</v>
      </c>
      <c r="P960" s="5"/>
      <c r="Q960" s="5"/>
      <c r="R960" s="6" t="s">
        <v>3103</v>
      </c>
      <c r="S960" s="5"/>
      <c r="T960" s="1" t="str">
        <f>IFERROR(__xludf.DUMMYFUNCTION("INDEX(SPLIT(A960, ""/""), 2)"),"انجمن‌های علمی و نشریات وابسته به دانشکده‌ها")</f>
        <v>انجمن‌های علمی و نشریات وابسته به دانشکده‌ها</v>
      </c>
      <c r="U960" s="1" t="str">
        <f>IFERROR(__xludf.DUMMYFUNCTION("INDEX(SPLIT(A960, ""/""), 3)"),"دانشکده مهندسی شیمی و نفت")</f>
        <v>دانشکده مهندسی شیمی و نفت</v>
      </c>
      <c r="V960" s="1" t="str">
        <f>IFERROR(__xludf.DUMMYFUNCTION("INDEX(SPLIT(A960, ""/""), 4)"),"دردانشکده")</f>
        <v>دردانشکده</v>
      </c>
    </row>
    <row r="961">
      <c r="A961" s="1" t="s">
        <v>3042</v>
      </c>
      <c r="B961" s="1" t="s">
        <v>3104</v>
      </c>
      <c r="C961" s="1" t="s">
        <v>21</v>
      </c>
      <c r="D961" s="4" t="s">
        <v>3105</v>
      </c>
      <c r="E961" s="1" t="s">
        <v>3056</v>
      </c>
      <c r="F961" s="1" t="s">
        <v>3051</v>
      </c>
      <c r="G961" s="1" t="s">
        <v>3066</v>
      </c>
      <c r="H961" s="1" t="s">
        <v>3106</v>
      </c>
      <c r="I961" s="1" t="str">
        <f t="shared" si="1"/>
        <v>14</v>
      </c>
      <c r="J961" s="5"/>
      <c r="K961" s="1" t="str">
        <f t="shared" si="2"/>
        <v>7</v>
      </c>
      <c r="L961" s="5"/>
      <c r="M961" s="2" t="str">
        <f t="shared" si="3"/>
        <v>1393</v>
      </c>
      <c r="N961" s="5"/>
      <c r="O961" s="1">
        <v>19.0</v>
      </c>
      <c r="P961" s="5"/>
      <c r="Q961" s="5"/>
      <c r="R961" s="6" t="s">
        <v>3106</v>
      </c>
      <c r="S961" s="5"/>
      <c r="T961" s="1" t="str">
        <f>IFERROR(__xludf.DUMMYFUNCTION("INDEX(SPLIT(A961, ""/""), 2)"),"انجمن‌های علمی و نشریات وابسته به دانشکده‌ها")</f>
        <v>انجمن‌های علمی و نشریات وابسته به دانشکده‌ها</v>
      </c>
      <c r="U961" s="1" t="str">
        <f>IFERROR(__xludf.DUMMYFUNCTION("INDEX(SPLIT(A961, ""/""), 3)"),"دانشکده مهندسی شیمی و نفت")</f>
        <v>دانشکده مهندسی شیمی و نفت</v>
      </c>
      <c r="V961" s="1" t="str">
        <f>IFERROR(__xludf.DUMMYFUNCTION("INDEX(SPLIT(A961, ""/""), 4)"),"دردانشکده")</f>
        <v>دردانشکده</v>
      </c>
    </row>
    <row r="962">
      <c r="A962" s="1" t="s">
        <v>3042</v>
      </c>
      <c r="B962" s="1" t="s">
        <v>3107</v>
      </c>
      <c r="C962" s="1" t="s">
        <v>21</v>
      </c>
      <c r="D962" s="4" t="s">
        <v>3108</v>
      </c>
      <c r="E962" s="1" t="s">
        <v>3056</v>
      </c>
      <c r="F962" s="1" t="s">
        <v>3051</v>
      </c>
      <c r="G962" s="1" t="s">
        <v>3066</v>
      </c>
      <c r="H962" s="1" t="s">
        <v>3109</v>
      </c>
      <c r="I962" s="1" t="str">
        <f t="shared" si="1"/>
        <v>29</v>
      </c>
      <c r="J962" s="5"/>
      <c r="K962" s="1" t="str">
        <f t="shared" si="2"/>
        <v>7</v>
      </c>
      <c r="L962" s="5"/>
      <c r="M962" s="2" t="str">
        <f t="shared" si="3"/>
        <v>1393</v>
      </c>
      <c r="N962" s="5"/>
      <c r="O962" s="1">
        <v>20.0</v>
      </c>
      <c r="P962" s="5"/>
      <c r="Q962" s="5"/>
      <c r="R962" s="6" t="s">
        <v>3109</v>
      </c>
      <c r="S962" s="5"/>
      <c r="T962" s="1" t="str">
        <f>IFERROR(__xludf.DUMMYFUNCTION("INDEX(SPLIT(A962, ""/""), 2)"),"انجمن‌های علمی و نشریات وابسته به دانشکده‌ها")</f>
        <v>انجمن‌های علمی و نشریات وابسته به دانشکده‌ها</v>
      </c>
      <c r="U962" s="1" t="str">
        <f>IFERROR(__xludf.DUMMYFUNCTION("INDEX(SPLIT(A962, ""/""), 3)"),"دانشکده مهندسی شیمی و نفت")</f>
        <v>دانشکده مهندسی شیمی و نفت</v>
      </c>
      <c r="V962" s="1" t="str">
        <f>IFERROR(__xludf.DUMMYFUNCTION("INDEX(SPLIT(A962, ""/""), 4)"),"دردانشکده")</f>
        <v>دردانشکده</v>
      </c>
    </row>
    <row r="963">
      <c r="A963" s="1" t="s">
        <v>3042</v>
      </c>
      <c r="B963" s="1" t="s">
        <v>3110</v>
      </c>
      <c r="C963" s="1" t="s">
        <v>21</v>
      </c>
      <c r="D963" s="4" t="s">
        <v>3111</v>
      </c>
      <c r="E963" s="1" t="s">
        <v>3056</v>
      </c>
      <c r="F963" s="1" t="s">
        <v>3051</v>
      </c>
      <c r="G963" s="1" t="s">
        <v>3066</v>
      </c>
      <c r="H963" s="7" t="s">
        <v>3112</v>
      </c>
      <c r="I963" s="1" t="str">
        <f t="shared" si="1"/>
        <v>11</v>
      </c>
      <c r="J963" s="5"/>
      <c r="K963" s="1" t="str">
        <f t="shared" si="2"/>
        <v>8</v>
      </c>
      <c r="L963" s="5"/>
      <c r="M963" s="2" t="str">
        <f t="shared" si="3"/>
        <v>1393</v>
      </c>
      <c r="N963" s="5"/>
      <c r="O963" s="1">
        <v>21.0</v>
      </c>
      <c r="P963" s="5"/>
      <c r="Q963" s="5"/>
      <c r="R963" s="8" t="s">
        <v>3112</v>
      </c>
      <c r="S963" s="5"/>
      <c r="T963" s="1" t="str">
        <f>IFERROR(__xludf.DUMMYFUNCTION("INDEX(SPLIT(A963, ""/""), 2)"),"انجمن‌های علمی و نشریات وابسته به دانشکده‌ها")</f>
        <v>انجمن‌های علمی و نشریات وابسته به دانشکده‌ها</v>
      </c>
      <c r="U963" s="1" t="str">
        <f>IFERROR(__xludf.DUMMYFUNCTION("INDEX(SPLIT(A963, ""/""), 3)"),"دانشکده مهندسی شیمی و نفت")</f>
        <v>دانشکده مهندسی شیمی و نفت</v>
      </c>
      <c r="V963" s="1" t="str">
        <f>IFERROR(__xludf.DUMMYFUNCTION("INDEX(SPLIT(A963, ""/""), 4)"),"دردانشکده")</f>
        <v>دردانشکده</v>
      </c>
    </row>
    <row r="964">
      <c r="A964" s="1" t="s">
        <v>3042</v>
      </c>
      <c r="B964" s="1" t="s">
        <v>3113</v>
      </c>
      <c r="C964" s="1" t="s">
        <v>21</v>
      </c>
      <c r="D964" s="4" t="s">
        <v>3114</v>
      </c>
      <c r="E964" s="1" t="s">
        <v>3056</v>
      </c>
      <c r="F964" s="1" t="s">
        <v>3051</v>
      </c>
      <c r="G964" s="1" t="s">
        <v>3066</v>
      </c>
      <c r="H964" s="1" t="s">
        <v>3115</v>
      </c>
      <c r="I964" s="1" t="str">
        <f t="shared" si="1"/>
        <v>25</v>
      </c>
      <c r="J964" s="5"/>
      <c r="K964" s="1" t="str">
        <f t="shared" si="2"/>
        <v>8</v>
      </c>
      <c r="L964" s="5"/>
      <c r="M964" s="2" t="str">
        <f t="shared" si="3"/>
        <v>1393</v>
      </c>
      <c r="N964" s="5"/>
      <c r="O964" s="1">
        <v>22.0</v>
      </c>
      <c r="P964" s="5"/>
      <c r="Q964" s="5"/>
      <c r="R964" s="6" t="s">
        <v>3115</v>
      </c>
      <c r="S964" s="5"/>
      <c r="T964" s="1" t="str">
        <f>IFERROR(__xludf.DUMMYFUNCTION("INDEX(SPLIT(A964, ""/""), 2)"),"انجمن‌های علمی و نشریات وابسته به دانشکده‌ها")</f>
        <v>انجمن‌های علمی و نشریات وابسته به دانشکده‌ها</v>
      </c>
      <c r="U964" s="1" t="str">
        <f>IFERROR(__xludf.DUMMYFUNCTION("INDEX(SPLIT(A964, ""/""), 3)"),"دانشکده مهندسی شیمی و نفت")</f>
        <v>دانشکده مهندسی شیمی و نفت</v>
      </c>
      <c r="V964" s="1" t="str">
        <f>IFERROR(__xludf.DUMMYFUNCTION("INDEX(SPLIT(A964, ""/""), 4)"),"دردانشکده")</f>
        <v>دردانشکده</v>
      </c>
    </row>
    <row r="965">
      <c r="A965" s="1" t="s">
        <v>3042</v>
      </c>
      <c r="B965" s="1" t="s">
        <v>3116</v>
      </c>
      <c r="C965" s="1" t="s">
        <v>21</v>
      </c>
      <c r="D965" s="4" t="s">
        <v>3117</v>
      </c>
      <c r="E965" s="1" t="s">
        <v>3056</v>
      </c>
      <c r="F965" s="1" t="s">
        <v>3051</v>
      </c>
      <c r="G965" s="1" t="s">
        <v>3066</v>
      </c>
      <c r="H965" s="7" t="s">
        <v>3118</v>
      </c>
      <c r="I965" s="1" t="str">
        <f t="shared" si="1"/>
        <v>9</v>
      </c>
      <c r="J965" s="5"/>
      <c r="K965" s="1" t="str">
        <f t="shared" si="2"/>
        <v>9</v>
      </c>
      <c r="L965" s="5"/>
      <c r="M965" s="2" t="str">
        <f t="shared" si="3"/>
        <v>1393</v>
      </c>
      <c r="N965" s="5"/>
      <c r="O965" s="1">
        <v>23.0</v>
      </c>
      <c r="P965" s="5"/>
      <c r="Q965" s="5"/>
      <c r="R965" s="8" t="s">
        <v>3118</v>
      </c>
      <c r="S965" s="5"/>
      <c r="T965" s="1" t="str">
        <f>IFERROR(__xludf.DUMMYFUNCTION("INDEX(SPLIT(A965, ""/""), 2)"),"انجمن‌های علمی و نشریات وابسته به دانشکده‌ها")</f>
        <v>انجمن‌های علمی و نشریات وابسته به دانشکده‌ها</v>
      </c>
      <c r="U965" s="1" t="str">
        <f>IFERROR(__xludf.DUMMYFUNCTION("INDEX(SPLIT(A965, ""/""), 3)"),"دانشکده مهندسی شیمی و نفت")</f>
        <v>دانشکده مهندسی شیمی و نفت</v>
      </c>
      <c r="V965" s="1" t="str">
        <f>IFERROR(__xludf.DUMMYFUNCTION("INDEX(SPLIT(A965, ""/""), 4)"),"دردانشکده")</f>
        <v>دردانشکده</v>
      </c>
    </row>
    <row r="966">
      <c r="A966" s="1" t="s">
        <v>3042</v>
      </c>
      <c r="B966" s="1" t="s">
        <v>3119</v>
      </c>
      <c r="C966" s="1" t="s">
        <v>21</v>
      </c>
      <c r="D966" s="4" t="s">
        <v>3120</v>
      </c>
      <c r="E966" s="1" t="s">
        <v>3056</v>
      </c>
      <c r="F966" s="1" t="s">
        <v>3051</v>
      </c>
      <c r="G966" s="1" t="s">
        <v>3066</v>
      </c>
      <c r="H966" s="1" t="s">
        <v>3121</v>
      </c>
      <c r="I966" s="1" t="str">
        <f t="shared" si="1"/>
        <v>23</v>
      </c>
      <c r="J966" s="5"/>
      <c r="K966" s="1" t="str">
        <f t="shared" si="2"/>
        <v>9</v>
      </c>
      <c r="L966" s="5"/>
      <c r="M966" s="2" t="str">
        <f t="shared" si="3"/>
        <v>1393</v>
      </c>
      <c r="N966" s="5"/>
      <c r="O966" s="1">
        <v>24.0</v>
      </c>
      <c r="P966" s="5"/>
      <c r="Q966" s="5"/>
      <c r="R966" s="6" t="s">
        <v>3121</v>
      </c>
      <c r="S966" s="5"/>
      <c r="T966" s="1" t="str">
        <f>IFERROR(__xludf.DUMMYFUNCTION("INDEX(SPLIT(A966, ""/""), 2)"),"انجمن‌های علمی و نشریات وابسته به دانشکده‌ها")</f>
        <v>انجمن‌های علمی و نشریات وابسته به دانشکده‌ها</v>
      </c>
      <c r="U966" s="1" t="str">
        <f>IFERROR(__xludf.DUMMYFUNCTION("INDEX(SPLIT(A966, ""/""), 3)"),"دانشکده مهندسی شیمی و نفت")</f>
        <v>دانشکده مهندسی شیمی و نفت</v>
      </c>
      <c r="V966" s="1" t="str">
        <f>IFERROR(__xludf.DUMMYFUNCTION("INDEX(SPLIT(A966, ""/""), 4)"),"دردانشکده")</f>
        <v>دردانشکده</v>
      </c>
    </row>
    <row r="967">
      <c r="A967" s="1" t="s">
        <v>3042</v>
      </c>
      <c r="B967" s="1" t="s">
        <v>3122</v>
      </c>
      <c r="C967" s="1" t="s">
        <v>21</v>
      </c>
      <c r="D967" s="4" t="s">
        <v>3123</v>
      </c>
      <c r="E967" s="1" t="s">
        <v>3056</v>
      </c>
      <c r="F967" s="1" t="s">
        <v>3051</v>
      </c>
      <c r="G967" s="1" t="s">
        <v>3066</v>
      </c>
      <c r="H967" s="7" t="s">
        <v>3124</v>
      </c>
      <c r="I967" s="1" t="str">
        <f t="shared" si="1"/>
        <v>8</v>
      </c>
      <c r="J967" s="5"/>
      <c r="K967" s="1" t="str">
        <f t="shared" si="2"/>
        <v>10</v>
      </c>
      <c r="L967" s="5"/>
      <c r="M967" s="2" t="str">
        <f t="shared" si="3"/>
        <v>1393</v>
      </c>
      <c r="N967" s="5"/>
      <c r="O967" s="1">
        <v>25.0</v>
      </c>
      <c r="P967" s="5"/>
      <c r="Q967" s="5"/>
      <c r="R967" s="8" t="s">
        <v>3124</v>
      </c>
      <c r="S967" s="5"/>
      <c r="T967" s="1" t="str">
        <f>IFERROR(__xludf.DUMMYFUNCTION("INDEX(SPLIT(A967, ""/""), 2)"),"انجمن‌های علمی و نشریات وابسته به دانشکده‌ها")</f>
        <v>انجمن‌های علمی و نشریات وابسته به دانشکده‌ها</v>
      </c>
      <c r="U967" s="1" t="str">
        <f>IFERROR(__xludf.DUMMYFUNCTION("INDEX(SPLIT(A967, ""/""), 3)"),"دانشکده مهندسی شیمی و نفت")</f>
        <v>دانشکده مهندسی شیمی و نفت</v>
      </c>
      <c r="V967" s="1" t="str">
        <f>IFERROR(__xludf.DUMMYFUNCTION("INDEX(SPLIT(A967, ""/""), 4)"),"دردانشکده")</f>
        <v>دردانشکده</v>
      </c>
    </row>
    <row r="968">
      <c r="A968" s="1" t="s">
        <v>3042</v>
      </c>
      <c r="B968" s="1" t="s">
        <v>3125</v>
      </c>
      <c r="C968" s="1" t="s">
        <v>21</v>
      </c>
      <c r="D968" s="4" t="s">
        <v>3126</v>
      </c>
      <c r="E968" s="1" t="s">
        <v>3056</v>
      </c>
      <c r="F968" s="1" t="s">
        <v>3051</v>
      </c>
      <c r="G968" s="1" t="s">
        <v>3066</v>
      </c>
      <c r="H968" s="1" t="s">
        <v>3127</v>
      </c>
      <c r="I968" s="1" t="str">
        <f t="shared" si="1"/>
        <v>27</v>
      </c>
      <c r="J968" s="5"/>
      <c r="K968" s="1" t="str">
        <f t="shared" si="2"/>
        <v>11</v>
      </c>
      <c r="L968" s="5"/>
      <c r="M968" s="2" t="str">
        <f t="shared" si="3"/>
        <v>1393</v>
      </c>
      <c r="N968" s="5"/>
      <c r="O968" s="1">
        <v>26.0</v>
      </c>
      <c r="P968" s="5"/>
      <c r="Q968" s="5"/>
      <c r="R968" s="6" t="s">
        <v>3127</v>
      </c>
      <c r="S968" s="5"/>
      <c r="T968" s="1" t="str">
        <f>IFERROR(__xludf.DUMMYFUNCTION("INDEX(SPLIT(A968, ""/""), 2)"),"انجمن‌های علمی و نشریات وابسته به دانشکده‌ها")</f>
        <v>انجمن‌های علمی و نشریات وابسته به دانشکده‌ها</v>
      </c>
      <c r="U968" s="1" t="str">
        <f>IFERROR(__xludf.DUMMYFUNCTION("INDEX(SPLIT(A968, ""/""), 3)"),"دانشکده مهندسی شیمی و نفت")</f>
        <v>دانشکده مهندسی شیمی و نفت</v>
      </c>
      <c r="V968" s="1" t="str">
        <f>IFERROR(__xludf.DUMMYFUNCTION("INDEX(SPLIT(A968, ""/""), 4)"),"دردانشکده")</f>
        <v>دردانشکده</v>
      </c>
    </row>
    <row r="969">
      <c r="A969" s="1" t="s">
        <v>3042</v>
      </c>
      <c r="B969" s="1" t="s">
        <v>3128</v>
      </c>
      <c r="C969" s="1" t="s">
        <v>21</v>
      </c>
      <c r="D969" s="4" t="s">
        <v>3129</v>
      </c>
      <c r="E969" s="1" t="s">
        <v>3056</v>
      </c>
      <c r="F969" s="1" t="s">
        <v>3051</v>
      </c>
      <c r="G969" s="1" t="s">
        <v>3066</v>
      </c>
      <c r="H969" s="7" t="s">
        <v>1150</v>
      </c>
      <c r="I969" s="1" t="str">
        <f t="shared" si="1"/>
        <v>11</v>
      </c>
      <c r="J969" s="5"/>
      <c r="K969" s="1" t="str">
        <f t="shared" si="2"/>
        <v>12</v>
      </c>
      <c r="L969" s="5"/>
      <c r="M969" s="2" t="str">
        <f t="shared" si="3"/>
        <v>1393</v>
      </c>
      <c r="N969" s="5"/>
      <c r="O969" s="1">
        <v>27.0</v>
      </c>
      <c r="P969" s="5"/>
      <c r="Q969" s="5"/>
      <c r="R969" s="8" t="s">
        <v>1150</v>
      </c>
      <c r="S969" s="5"/>
      <c r="T969" s="1" t="str">
        <f>IFERROR(__xludf.DUMMYFUNCTION("INDEX(SPLIT(A969, ""/""), 2)"),"انجمن‌های علمی و نشریات وابسته به دانشکده‌ها")</f>
        <v>انجمن‌های علمی و نشریات وابسته به دانشکده‌ها</v>
      </c>
      <c r="U969" s="1" t="str">
        <f>IFERROR(__xludf.DUMMYFUNCTION("INDEX(SPLIT(A969, ""/""), 3)"),"دانشکده مهندسی شیمی و نفت")</f>
        <v>دانشکده مهندسی شیمی و نفت</v>
      </c>
      <c r="V969" s="1" t="str">
        <f>IFERROR(__xludf.DUMMYFUNCTION("INDEX(SPLIT(A969, ""/""), 4)"),"دردانشکده")</f>
        <v>دردانشکده</v>
      </c>
    </row>
    <row r="970">
      <c r="A970" s="1" t="s">
        <v>3042</v>
      </c>
      <c r="B970" s="1" t="s">
        <v>3130</v>
      </c>
      <c r="C970" s="1" t="s">
        <v>21</v>
      </c>
      <c r="D970" s="4" t="s">
        <v>3131</v>
      </c>
      <c r="E970" s="1" t="s">
        <v>3132</v>
      </c>
      <c r="F970" s="1" t="s">
        <v>3051</v>
      </c>
      <c r="G970" s="1" t="s">
        <v>3066</v>
      </c>
      <c r="H970" s="1" t="s">
        <v>3133</v>
      </c>
      <c r="I970" s="1" t="str">
        <f t="shared" si="1"/>
        <v>24</v>
      </c>
      <c r="J970" s="5"/>
      <c r="K970" s="1" t="str">
        <f t="shared" si="2"/>
        <v>1</v>
      </c>
      <c r="L970" s="5"/>
      <c r="M970" s="2" t="str">
        <f t="shared" si="3"/>
        <v>1394</v>
      </c>
      <c r="N970" s="5"/>
      <c r="O970" s="1">
        <v>28.0</v>
      </c>
      <c r="P970" s="5"/>
      <c r="Q970" s="5"/>
      <c r="R970" s="6" t="s">
        <v>3133</v>
      </c>
      <c r="S970" s="5"/>
      <c r="T970" s="1" t="str">
        <f>IFERROR(__xludf.DUMMYFUNCTION("INDEX(SPLIT(A970, ""/""), 2)"),"انجمن‌های علمی و نشریات وابسته به دانشکده‌ها")</f>
        <v>انجمن‌های علمی و نشریات وابسته به دانشکده‌ها</v>
      </c>
      <c r="U970" s="1" t="str">
        <f>IFERROR(__xludf.DUMMYFUNCTION("INDEX(SPLIT(A970, ""/""), 3)"),"دانشکده مهندسی شیمی و نفت")</f>
        <v>دانشکده مهندسی شیمی و نفت</v>
      </c>
      <c r="V970" s="1" t="str">
        <f>IFERROR(__xludf.DUMMYFUNCTION("INDEX(SPLIT(A970, ""/""), 4)"),"دردانشکده")</f>
        <v>دردانشکده</v>
      </c>
    </row>
    <row r="971">
      <c r="A971" s="1" t="s">
        <v>3042</v>
      </c>
      <c r="B971" s="1" t="s">
        <v>3134</v>
      </c>
      <c r="C971" s="1" t="s">
        <v>21</v>
      </c>
      <c r="D971" s="4" t="s">
        <v>3135</v>
      </c>
      <c r="E971" s="1" t="s">
        <v>3132</v>
      </c>
      <c r="F971" s="1" t="s">
        <v>3051</v>
      </c>
      <c r="G971" s="1" t="s">
        <v>3066</v>
      </c>
      <c r="H971" s="1" t="s">
        <v>3136</v>
      </c>
      <c r="I971" s="1" t="str">
        <f t="shared" si="1"/>
        <v>13</v>
      </c>
      <c r="J971" s="5"/>
      <c r="K971" s="1" t="str">
        <f t="shared" si="2"/>
        <v>2</v>
      </c>
      <c r="L971" s="5"/>
      <c r="M971" s="2" t="str">
        <f t="shared" si="3"/>
        <v>1394</v>
      </c>
      <c r="N971" s="5"/>
      <c r="O971" s="1">
        <v>29.0</v>
      </c>
      <c r="P971" s="5"/>
      <c r="Q971" s="5"/>
      <c r="R971" s="6" t="s">
        <v>3136</v>
      </c>
      <c r="S971" s="5"/>
      <c r="T971" s="1" t="str">
        <f>IFERROR(__xludf.DUMMYFUNCTION("INDEX(SPLIT(A971, ""/""), 2)"),"انجمن‌های علمی و نشریات وابسته به دانشکده‌ها")</f>
        <v>انجمن‌های علمی و نشریات وابسته به دانشکده‌ها</v>
      </c>
      <c r="U971" s="1" t="str">
        <f>IFERROR(__xludf.DUMMYFUNCTION("INDEX(SPLIT(A971, ""/""), 3)"),"دانشکده مهندسی شیمی و نفت")</f>
        <v>دانشکده مهندسی شیمی و نفت</v>
      </c>
      <c r="V971" s="1" t="str">
        <f>IFERROR(__xludf.DUMMYFUNCTION("INDEX(SPLIT(A971, ""/""), 4)"),"دردانشکده")</f>
        <v>دردانشکده</v>
      </c>
    </row>
    <row r="972">
      <c r="A972" s="1" t="s">
        <v>3042</v>
      </c>
      <c r="B972" s="1" t="s">
        <v>3137</v>
      </c>
      <c r="C972" s="1" t="s">
        <v>21</v>
      </c>
      <c r="D972" s="4" t="s">
        <v>3138</v>
      </c>
      <c r="E972" s="1" t="s">
        <v>3132</v>
      </c>
      <c r="F972" s="1" t="s">
        <v>3051</v>
      </c>
      <c r="G972" s="1" t="s">
        <v>3066</v>
      </c>
      <c r="H972" s="1" t="s">
        <v>3139</v>
      </c>
      <c r="I972" s="1" t="str">
        <f t="shared" si="1"/>
        <v>27</v>
      </c>
      <c r="J972" s="5"/>
      <c r="K972" s="1" t="str">
        <f t="shared" si="2"/>
        <v>2</v>
      </c>
      <c r="L972" s="5"/>
      <c r="M972" s="2" t="str">
        <f t="shared" si="3"/>
        <v>1394</v>
      </c>
      <c r="N972" s="5"/>
      <c r="O972" s="1">
        <v>30.0</v>
      </c>
      <c r="P972" s="5"/>
      <c r="Q972" s="5"/>
      <c r="R972" s="6" t="s">
        <v>3139</v>
      </c>
      <c r="S972" s="5"/>
      <c r="T972" s="1" t="str">
        <f>IFERROR(__xludf.DUMMYFUNCTION("INDEX(SPLIT(A972, ""/""), 2)"),"انجمن‌های علمی و نشریات وابسته به دانشکده‌ها")</f>
        <v>انجمن‌های علمی و نشریات وابسته به دانشکده‌ها</v>
      </c>
      <c r="U972" s="1" t="str">
        <f>IFERROR(__xludf.DUMMYFUNCTION("INDEX(SPLIT(A972, ""/""), 3)"),"دانشکده مهندسی شیمی و نفت")</f>
        <v>دانشکده مهندسی شیمی و نفت</v>
      </c>
      <c r="V972" s="1" t="str">
        <f>IFERROR(__xludf.DUMMYFUNCTION("INDEX(SPLIT(A972, ""/""), 4)"),"دردانشکده")</f>
        <v>دردانشکده</v>
      </c>
    </row>
    <row r="973">
      <c r="A973" s="1" t="s">
        <v>3042</v>
      </c>
      <c r="B973" s="1" t="s">
        <v>3140</v>
      </c>
      <c r="C973" s="1" t="s">
        <v>21</v>
      </c>
      <c r="D973" s="4" t="s">
        <v>3141</v>
      </c>
      <c r="E973" s="1" t="s">
        <v>3132</v>
      </c>
      <c r="F973" s="1" t="s">
        <v>3051</v>
      </c>
      <c r="G973" s="1" t="s">
        <v>3066</v>
      </c>
      <c r="H973" s="1" t="s">
        <v>3142</v>
      </c>
      <c r="I973" s="1" t="str">
        <f t="shared" si="1"/>
        <v>15</v>
      </c>
      <c r="J973" s="5"/>
      <c r="K973" s="1" t="str">
        <f t="shared" si="2"/>
        <v>3</v>
      </c>
      <c r="L973" s="5"/>
      <c r="M973" s="2" t="str">
        <f t="shared" si="3"/>
        <v>1394</v>
      </c>
      <c r="N973" s="5"/>
      <c r="O973" s="1">
        <v>31.0</v>
      </c>
      <c r="P973" s="5"/>
      <c r="Q973" s="5"/>
      <c r="R973" s="6" t="s">
        <v>3142</v>
      </c>
      <c r="S973" s="5"/>
      <c r="T973" s="1" t="str">
        <f>IFERROR(__xludf.DUMMYFUNCTION("INDEX(SPLIT(A973, ""/""), 2)"),"انجمن‌های علمی و نشریات وابسته به دانشکده‌ها")</f>
        <v>انجمن‌های علمی و نشریات وابسته به دانشکده‌ها</v>
      </c>
      <c r="U973" s="1" t="str">
        <f>IFERROR(__xludf.DUMMYFUNCTION("INDEX(SPLIT(A973, ""/""), 3)"),"دانشکده مهندسی شیمی و نفت")</f>
        <v>دانشکده مهندسی شیمی و نفت</v>
      </c>
      <c r="V973" s="1" t="str">
        <f>IFERROR(__xludf.DUMMYFUNCTION("INDEX(SPLIT(A973, ""/""), 4)"),"دردانشکده")</f>
        <v>دردانشکده</v>
      </c>
    </row>
    <row r="974">
      <c r="A974" s="1" t="s">
        <v>3042</v>
      </c>
      <c r="B974" s="1" t="s">
        <v>3143</v>
      </c>
      <c r="C974" s="1" t="s">
        <v>21</v>
      </c>
      <c r="D974" s="4" t="s">
        <v>3144</v>
      </c>
      <c r="E974" s="1" t="s">
        <v>3132</v>
      </c>
      <c r="F974" s="1" t="s">
        <v>3051</v>
      </c>
      <c r="G974" s="1" t="s">
        <v>3066</v>
      </c>
      <c r="H974" s="7" t="s">
        <v>3145</v>
      </c>
      <c r="I974" s="1" t="str">
        <f t="shared" si="1"/>
        <v>7</v>
      </c>
      <c r="J974" s="5"/>
      <c r="K974" s="1" t="str">
        <f t="shared" si="2"/>
        <v>7</v>
      </c>
      <c r="L974" s="5"/>
      <c r="M974" s="2" t="str">
        <f t="shared" si="3"/>
        <v>1394</v>
      </c>
      <c r="N974" s="5"/>
      <c r="O974" s="1">
        <v>32.0</v>
      </c>
      <c r="P974" s="5"/>
      <c r="Q974" s="5"/>
      <c r="R974" s="8" t="s">
        <v>3145</v>
      </c>
      <c r="S974" s="5"/>
      <c r="T974" s="1" t="str">
        <f>IFERROR(__xludf.DUMMYFUNCTION("INDEX(SPLIT(A974, ""/""), 2)"),"انجمن‌های علمی و نشریات وابسته به دانشکده‌ها")</f>
        <v>انجمن‌های علمی و نشریات وابسته به دانشکده‌ها</v>
      </c>
      <c r="U974" s="1" t="str">
        <f>IFERROR(__xludf.DUMMYFUNCTION("INDEX(SPLIT(A974, ""/""), 3)"),"دانشکده مهندسی شیمی و نفت")</f>
        <v>دانشکده مهندسی شیمی و نفت</v>
      </c>
      <c r="V974" s="1" t="str">
        <f>IFERROR(__xludf.DUMMYFUNCTION("INDEX(SPLIT(A974, ""/""), 4)"),"دردانشکده")</f>
        <v>دردانشکده</v>
      </c>
    </row>
    <row r="975">
      <c r="A975" s="1" t="s">
        <v>3042</v>
      </c>
      <c r="B975" s="1" t="s">
        <v>3146</v>
      </c>
      <c r="C975" s="1" t="s">
        <v>21</v>
      </c>
      <c r="D975" s="4" t="s">
        <v>3147</v>
      </c>
      <c r="E975" s="1" t="s">
        <v>3132</v>
      </c>
      <c r="F975" s="1" t="s">
        <v>3051</v>
      </c>
      <c r="G975" s="1" t="s">
        <v>3066</v>
      </c>
      <c r="H975" s="1" t="s">
        <v>3148</v>
      </c>
      <c r="I975" s="1" t="str">
        <f t="shared" si="1"/>
        <v>28</v>
      </c>
      <c r="J975" s="5"/>
      <c r="K975" s="1" t="str">
        <f t="shared" si="2"/>
        <v>7</v>
      </c>
      <c r="L975" s="5"/>
      <c r="M975" s="2" t="str">
        <f t="shared" si="3"/>
        <v>1394</v>
      </c>
      <c r="N975" s="5"/>
      <c r="O975" s="1">
        <v>33.0</v>
      </c>
      <c r="P975" s="5"/>
      <c r="Q975" s="5"/>
      <c r="R975" s="6" t="s">
        <v>3148</v>
      </c>
      <c r="S975" s="5"/>
      <c r="T975" s="1" t="str">
        <f>IFERROR(__xludf.DUMMYFUNCTION("INDEX(SPLIT(A975, ""/""), 2)"),"انجمن‌های علمی و نشریات وابسته به دانشکده‌ها")</f>
        <v>انجمن‌های علمی و نشریات وابسته به دانشکده‌ها</v>
      </c>
      <c r="U975" s="1" t="str">
        <f>IFERROR(__xludf.DUMMYFUNCTION("INDEX(SPLIT(A975, ""/""), 3)"),"دانشکده مهندسی شیمی و نفت")</f>
        <v>دانشکده مهندسی شیمی و نفت</v>
      </c>
      <c r="V975" s="1" t="str">
        <f>IFERROR(__xludf.DUMMYFUNCTION("INDEX(SPLIT(A975, ""/""), 4)"),"دردانشکده")</f>
        <v>دردانشکده</v>
      </c>
    </row>
    <row r="976">
      <c r="A976" s="1" t="s">
        <v>3042</v>
      </c>
      <c r="B976" s="1" t="s">
        <v>3149</v>
      </c>
      <c r="C976" s="1" t="s">
        <v>21</v>
      </c>
      <c r="D976" s="4" t="s">
        <v>3150</v>
      </c>
      <c r="E976" s="1" t="s">
        <v>3132</v>
      </c>
      <c r="F976" s="1" t="s">
        <v>3051</v>
      </c>
      <c r="G976" s="1" t="s">
        <v>3066</v>
      </c>
      <c r="H976" s="7" t="s">
        <v>3151</v>
      </c>
      <c r="I976" s="1" t="str">
        <f t="shared" si="1"/>
        <v>12</v>
      </c>
      <c r="J976" s="5"/>
      <c r="K976" s="1" t="str">
        <f t="shared" si="2"/>
        <v>8</v>
      </c>
      <c r="L976" s="5"/>
      <c r="M976" s="2" t="str">
        <f t="shared" si="3"/>
        <v>1394</v>
      </c>
      <c r="N976" s="5"/>
      <c r="O976" s="1">
        <v>34.0</v>
      </c>
      <c r="P976" s="5"/>
      <c r="Q976" s="5"/>
      <c r="R976" s="8" t="s">
        <v>3151</v>
      </c>
      <c r="S976" s="5"/>
      <c r="T976" s="1" t="str">
        <f>IFERROR(__xludf.DUMMYFUNCTION("INDEX(SPLIT(A976, ""/""), 2)"),"انجمن‌های علمی و نشریات وابسته به دانشکده‌ها")</f>
        <v>انجمن‌های علمی و نشریات وابسته به دانشکده‌ها</v>
      </c>
      <c r="U976" s="1" t="str">
        <f>IFERROR(__xludf.DUMMYFUNCTION("INDEX(SPLIT(A976, ""/""), 3)"),"دانشکده مهندسی شیمی و نفت")</f>
        <v>دانشکده مهندسی شیمی و نفت</v>
      </c>
      <c r="V976" s="1" t="str">
        <f>IFERROR(__xludf.DUMMYFUNCTION("INDEX(SPLIT(A976, ""/""), 4)"),"دردانشکده")</f>
        <v>دردانشکده</v>
      </c>
    </row>
    <row r="977">
      <c r="A977" s="1" t="s">
        <v>3042</v>
      </c>
      <c r="B977" s="1" t="s">
        <v>3152</v>
      </c>
      <c r="C977" s="1" t="s">
        <v>21</v>
      </c>
      <c r="D977" s="4" t="s">
        <v>3153</v>
      </c>
      <c r="E977" s="1" t="s">
        <v>3132</v>
      </c>
      <c r="F977" s="1" t="s">
        <v>3051</v>
      </c>
      <c r="G977" s="1" t="s">
        <v>3066</v>
      </c>
      <c r="H977" s="1" t="s">
        <v>3154</v>
      </c>
      <c r="I977" s="1" t="str">
        <f t="shared" si="1"/>
        <v>25</v>
      </c>
      <c r="J977" s="5"/>
      <c r="K977" s="1" t="str">
        <f t="shared" si="2"/>
        <v>8</v>
      </c>
      <c r="L977" s="5"/>
      <c r="M977" s="2" t="str">
        <f t="shared" si="3"/>
        <v>1394</v>
      </c>
      <c r="N977" s="5"/>
      <c r="O977" s="1">
        <v>35.0</v>
      </c>
      <c r="P977" s="5"/>
      <c r="Q977" s="5"/>
      <c r="R977" s="6" t="s">
        <v>3154</v>
      </c>
      <c r="S977" s="5"/>
      <c r="T977" s="1" t="str">
        <f>IFERROR(__xludf.DUMMYFUNCTION("INDEX(SPLIT(A977, ""/""), 2)"),"انجمن‌های علمی و نشریات وابسته به دانشکده‌ها")</f>
        <v>انجمن‌های علمی و نشریات وابسته به دانشکده‌ها</v>
      </c>
      <c r="U977" s="1" t="str">
        <f>IFERROR(__xludf.DUMMYFUNCTION("INDEX(SPLIT(A977, ""/""), 3)"),"دانشکده مهندسی شیمی و نفت")</f>
        <v>دانشکده مهندسی شیمی و نفت</v>
      </c>
      <c r="V977" s="1" t="str">
        <f>IFERROR(__xludf.DUMMYFUNCTION("INDEX(SPLIT(A977, ""/""), 4)"),"دردانشکده")</f>
        <v>دردانشکده</v>
      </c>
    </row>
    <row r="978">
      <c r="A978" s="1" t="s">
        <v>3042</v>
      </c>
      <c r="B978" s="1" t="s">
        <v>3155</v>
      </c>
      <c r="C978" s="1" t="s">
        <v>21</v>
      </c>
      <c r="D978" s="4" t="s">
        <v>3156</v>
      </c>
      <c r="E978" s="1" t="s">
        <v>3132</v>
      </c>
      <c r="F978" s="1" t="s">
        <v>3051</v>
      </c>
      <c r="G978" s="1" t="s">
        <v>3066</v>
      </c>
      <c r="H978" s="7" t="s">
        <v>3157</v>
      </c>
      <c r="I978" s="1" t="str">
        <f t="shared" si="1"/>
        <v>10</v>
      </c>
      <c r="J978" s="5"/>
      <c r="K978" s="1" t="str">
        <f t="shared" si="2"/>
        <v>9</v>
      </c>
      <c r="L978" s="5"/>
      <c r="M978" s="2" t="str">
        <f t="shared" si="3"/>
        <v>1394</v>
      </c>
      <c r="N978" s="5"/>
      <c r="O978" s="1">
        <v>36.0</v>
      </c>
      <c r="P978" s="5"/>
      <c r="Q978" s="5"/>
      <c r="R978" s="8" t="s">
        <v>3157</v>
      </c>
      <c r="S978" s="5"/>
      <c r="T978" s="1" t="str">
        <f>IFERROR(__xludf.DUMMYFUNCTION("INDEX(SPLIT(A978, ""/""), 2)"),"انجمن‌های علمی و نشریات وابسته به دانشکده‌ها")</f>
        <v>انجمن‌های علمی و نشریات وابسته به دانشکده‌ها</v>
      </c>
      <c r="U978" s="1" t="str">
        <f>IFERROR(__xludf.DUMMYFUNCTION("INDEX(SPLIT(A978, ""/""), 3)"),"دانشکده مهندسی شیمی و نفت")</f>
        <v>دانشکده مهندسی شیمی و نفت</v>
      </c>
      <c r="V978" s="1" t="str">
        <f>IFERROR(__xludf.DUMMYFUNCTION("INDEX(SPLIT(A978, ""/""), 4)"),"دردانشکده")</f>
        <v>دردانشکده</v>
      </c>
    </row>
    <row r="979">
      <c r="A979" s="1" t="s">
        <v>3042</v>
      </c>
      <c r="B979" s="1" t="s">
        <v>3158</v>
      </c>
      <c r="C979" s="1" t="s">
        <v>21</v>
      </c>
      <c r="D979" s="4" t="s">
        <v>3159</v>
      </c>
      <c r="E979" s="1" t="s">
        <v>3132</v>
      </c>
      <c r="F979" s="1" t="s">
        <v>3051</v>
      </c>
      <c r="G979" s="1" t="s">
        <v>3066</v>
      </c>
      <c r="H979" s="1" t="s">
        <v>3160</v>
      </c>
      <c r="I979" s="1" t="str">
        <f t="shared" si="1"/>
        <v>24</v>
      </c>
      <c r="J979" s="5"/>
      <c r="K979" s="1" t="str">
        <f t="shared" si="2"/>
        <v>9</v>
      </c>
      <c r="L979" s="5"/>
      <c r="M979" s="2" t="str">
        <f t="shared" si="3"/>
        <v>1394</v>
      </c>
      <c r="N979" s="5"/>
      <c r="O979" s="1">
        <v>37.0</v>
      </c>
      <c r="P979" s="5"/>
      <c r="Q979" s="5"/>
      <c r="R979" s="6" t="s">
        <v>3160</v>
      </c>
      <c r="S979" s="5"/>
      <c r="T979" s="1" t="str">
        <f>IFERROR(__xludf.DUMMYFUNCTION("INDEX(SPLIT(A979, ""/""), 2)"),"انجمن‌های علمی و نشریات وابسته به دانشکده‌ها")</f>
        <v>انجمن‌های علمی و نشریات وابسته به دانشکده‌ها</v>
      </c>
      <c r="U979" s="1" t="str">
        <f>IFERROR(__xludf.DUMMYFUNCTION("INDEX(SPLIT(A979, ""/""), 3)"),"دانشکده مهندسی شیمی و نفت")</f>
        <v>دانشکده مهندسی شیمی و نفت</v>
      </c>
      <c r="V979" s="1" t="str">
        <f>IFERROR(__xludf.DUMMYFUNCTION("INDEX(SPLIT(A979, ""/""), 4)"),"دردانشکده")</f>
        <v>دردانشکده</v>
      </c>
    </row>
    <row r="980">
      <c r="A980" s="1" t="s">
        <v>3042</v>
      </c>
      <c r="B980" s="1" t="s">
        <v>3161</v>
      </c>
      <c r="C980" s="1" t="s">
        <v>21</v>
      </c>
      <c r="D980" s="4" t="s">
        <v>3162</v>
      </c>
      <c r="E980" s="1" t="s">
        <v>3132</v>
      </c>
      <c r="F980" s="1" t="s">
        <v>3066</v>
      </c>
      <c r="G980" s="1" t="s">
        <v>3163</v>
      </c>
      <c r="H980" s="1" t="s">
        <v>3164</v>
      </c>
      <c r="I980" s="1" t="str">
        <f t="shared" si="1"/>
        <v>26</v>
      </c>
      <c r="J980" s="5"/>
      <c r="K980" s="1" t="str">
        <f t="shared" si="2"/>
        <v>11</v>
      </c>
      <c r="L980" s="5"/>
      <c r="M980" s="2" t="str">
        <f t="shared" si="3"/>
        <v>1394</v>
      </c>
      <c r="N980" s="5"/>
      <c r="O980" s="1">
        <v>38.0</v>
      </c>
      <c r="P980" s="5"/>
      <c r="Q980" s="5"/>
      <c r="R980" s="6" t="s">
        <v>3164</v>
      </c>
      <c r="S980" s="5"/>
      <c r="T980" s="1" t="str">
        <f>IFERROR(__xludf.DUMMYFUNCTION("INDEX(SPLIT(A980, ""/""), 2)"),"انجمن‌های علمی و نشریات وابسته به دانشکده‌ها")</f>
        <v>انجمن‌های علمی و نشریات وابسته به دانشکده‌ها</v>
      </c>
      <c r="U980" s="1" t="str">
        <f>IFERROR(__xludf.DUMMYFUNCTION("INDEX(SPLIT(A980, ""/""), 3)"),"دانشکده مهندسی شیمی و نفت")</f>
        <v>دانشکده مهندسی شیمی و نفت</v>
      </c>
      <c r="V980" s="1" t="str">
        <f>IFERROR(__xludf.DUMMYFUNCTION("INDEX(SPLIT(A980, ""/""), 4)"),"دردانشکده")</f>
        <v>دردانشکده</v>
      </c>
    </row>
    <row r="981">
      <c r="A981" s="1" t="s">
        <v>3042</v>
      </c>
      <c r="B981" s="1" t="s">
        <v>3165</v>
      </c>
      <c r="C981" s="1" t="s">
        <v>21</v>
      </c>
      <c r="D981" s="4" t="s">
        <v>3166</v>
      </c>
      <c r="E981" s="1" t="s">
        <v>3132</v>
      </c>
      <c r="F981" s="1" t="s">
        <v>3066</v>
      </c>
      <c r="G981" s="1" t="s">
        <v>3163</v>
      </c>
      <c r="H981" s="7" t="s">
        <v>1938</v>
      </c>
      <c r="I981" s="1" t="str">
        <f t="shared" si="1"/>
        <v>10</v>
      </c>
      <c r="J981" s="5"/>
      <c r="K981" s="1" t="str">
        <f t="shared" si="2"/>
        <v>12</v>
      </c>
      <c r="L981" s="5"/>
      <c r="M981" s="2" t="str">
        <f t="shared" si="3"/>
        <v>1394</v>
      </c>
      <c r="N981" s="5"/>
      <c r="O981" s="1">
        <v>39.0</v>
      </c>
      <c r="P981" s="5"/>
      <c r="Q981" s="5"/>
      <c r="R981" s="8" t="s">
        <v>1938</v>
      </c>
      <c r="S981" s="5"/>
      <c r="T981" s="1" t="str">
        <f>IFERROR(__xludf.DUMMYFUNCTION("INDEX(SPLIT(A981, ""/""), 2)"),"انجمن‌های علمی و نشریات وابسته به دانشکده‌ها")</f>
        <v>انجمن‌های علمی و نشریات وابسته به دانشکده‌ها</v>
      </c>
      <c r="U981" s="1" t="str">
        <f>IFERROR(__xludf.DUMMYFUNCTION("INDEX(SPLIT(A981, ""/""), 3)"),"دانشکده مهندسی شیمی و نفت")</f>
        <v>دانشکده مهندسی شیمی و نفت</v>
      </c>
      <c r="V981" s="1" t="str">
        <f>IFERROR(__xludf.DUMMYFUNCTION("INDEX(SPLIT(A981, ""/""), 4)"),"دردانشکده")</f>
        <v>دردانشکده</v>
      </c>
    </row>
    <row r="982">
      <c r="A982" s="1" t="s">
        <v>3042</v>
      </c>
      <c r="B982" s="1" t="s">
        <v>3167</v>
      </c>
      <c r="C982" s="1" t="s">
        <v>21</v>
      </c>
      <c r="D982" s="4" t="s">
        <v>3168</v>
      </c>
      <c r="E982" s="1" t="s">
        <v>3132</v>
      </c>
      <c r="F982" s="1" t="s">
        <v>3066</v>
      </c>
      <c r="G982" s="1" t="s">
        <v>3163</v>
      </c>
      <c r="H982" s="1" t="s">
        <v>3169</v>
      </c>
      <c r="I982" s="1" t="str">
        <f t="shared" si="1"/>
        <v>30</v>
      </c>
      <c r="J982" s="5"/>
      <c r="K982" s="1" t="str">
        <f t="shared" si="2"/>
        <v>1</v>
      </c>
      <c r="L982" s="5"/>
      <c r="M982" s="2" t="str">
        <f t="shared" si="3"/>
        <v>1395</v>
      </c>
      <c r="N982" s="5"/>
      <c r="O982" s="1">
        <v>40.0</v>
      </c>
      <c r="P982" s="5"/>
      <c r="Q982" s="5"/>
      <c r="R982" s="6" t="s">
        <v>3169</v>
      </c>
      <c r="S982" s="5"/>
      <c r="T982" s="1" t="str">
        <f>IFERROR(__xludf.DUMMYFUNCTION("INDEX(SPLIT(A982, ""/""), 2)"),"انجمن‌های علمی و نشریات وابسته به دانشکده‌ها")</f>
        <v>انجمن‌های علمی و نشریات وابسته به دانشکده‌ها</v>
      </c>
      <c r="U982" s="1" t="str">
        <f>IFERROR(__xludf.DUMMYFUNCTION("INDEX(SPLIT(A982, ""/""), 3)"),"دانشکده مهندسی شیمی و نفت")</f>
        <v>دانشکده مهندسی شیمی و نفت</v>
      </c>
      <c r="V982" s="1" t="str">
        <f>IFERROR(__xludf.DUMMYFUNCTION("INDEX(SPLIT(A982, ""/""), 4)"),"دردانشکده")</f>
        <v>دردانشکده</v>
      </c>
    </row>
    <row r="983">
      <c r="A983" s="1" t="s">
        <v>3042</v>
      </c>
      <c r="B983" s="1" t="s">
        <v>3170</v>
      </c>
      <c r="C983" s="1" t="s">
        <v>21</v>
      </c>
      <c r="D983" s="4" t="s">
        <v>3171</v>
      </c>
      <c r="E983" s="1" t="s">
        <v>3132</v>
      </c>
      <c r="F983" s="1" t="s">
        <v>3066</v>
      </c>
      <c r="G983" s="1" t="s">
        <v>3163</v>
      </c>
      <c r="H983" s="1" t="s">
        <v>3172</v>
      </c>
      <c r="I983" s="1" t="str">
        <f t="shared" si="1"/>
        <v>13</v>
      </c>
      <c r="J983" s="5"/>
      <c r="K983" s="1" t="str">
        <f t="shared" si="2"/>
        <v>2</v>
      </c>
      <c r="L983" s="5"/>
      <c r="M983" s="2" t="str">
        <f t="shared" si="3"/>
        <v>1395</v>
      </c>
      <c r="N983" s="5"/>
      <c r="O983" s="1">
        <v>41.0</v>
      </c>
      <c r="P983" s="5"/>
      <c r="Q983" s="5"/>
      <c r="R983" s="6" t="s">
        <v>3172</v>
      </c>
      <c r="S983" s="5"/>
      <c r="T983" s="1" t="str">
        <f>IFERROR(__xludf.DUMMYFUNCTION("INDEX(SPLIT(A983, ""/""), 2)"),"انجمن‌های علمی و نشریات وابسته به دانشکده‌ها")</f>
        <v>انجمن‌های علمی و نشریات وابسته به دانشکده‌ها</v>
      </c>
      <c r="U983" s="1" t="str">
        <f>IFERROR(__xludf.DUMMYFUNCTION("INDEX(SPLIT(A983, ""/""), 3)"),"دانشکده مهندسی شیمی و نفت")</f>
        <v>دانشکده مهندسی شیمی و نفت</v>
      </c>
      <c r="V983" s="1" t="str">
        <f>IFERROR(__xludf.DUMMYFUNCTION("INDEX(SPLIT(A983, ""/""), 4)"),"دردانشکده")</f>
        <v>دردانشکده</v>
      </c>
    </row>
    <row r="984">
      <c r="A984" s="1" t="s">
        <v>3042</v>
      </c>
      <c r="B984" s="1" t="s">
        <v>3173</v>
      </c>
      <c r="C984" s="1" t="s">
        <v>21</v>
      </c>
      <c r="D984" s="4" t="s">
        <v>3174</v>
      </c>
      <c r="E984" s="1" t="s">
        <v>3132</v>
      </c>
      <c r="F984" s="1" t="s">
        <v>3066</v>
      </c>
      <c r="G984" s="1" t="s">
        <v>3163</v>
      </c>
      <c r="H984" s="1" t="s">
        <v>3175</v>
      </c>
      <c r="I984" s="1" t="str">
        <f t="shared" si="1"/>
        <v>27</v>
      </c>
      <c r="J984" s="5"/>
      <c r="K984" s="1" t="str">
        <f t="shared" si="2"/>
        <v>2</v>
      </c>
      <c r="L984" s="5"/>
      <c r="M984" s="2" t="str">
        <f t="shared" si="3"/>
        <v>1395</v>
      </c>
      <c r="N984" s="5"/>
      <c r="O984" s="1">
        <v>42.0</v>
      </c>
      <c r="P984" s="5"/>
      <c r="Q984" s="5"/>
      <c r="R984" s="6" t="s">
        <v>3175</v>
      </c>
      <c r="S984" s="5"/>
      <c r="T984" s="1" t="str">
        <f>IFERROR(__xludf.DUMMYFUNCTION("INDEX(SPLIT(A984, ""/""), 2)"),"انجمن‌های علمی و نشریات وابسته به دانشکده‌ها")</f>
        <v>انجمن‌های علمی و نشریات وابسته به دانشکده‌ها</v>
      </c>
      <c r="U984" s="1" t="str">
        <f>IFERROR(__xludf.DUMMYFUNCTION("INDEX(SPLIT(A984, ""/""), 3)"),"دانشکده مهندسی شیمی و نفت")</f>
        <v>دانشکده مهندسی شیمی و نفت</v>
      </c>
      <c r="V984" s="1" t="str">
        <f>IFERROR(__xludf.DUMMYFUNCTION("INDEX(SPLIT(A984, ""/""), 4)"),"دردانشکده")</f>
        <v>دردانشکده</v>
      </c>
    </row>
    <row r="985">
      <c r="A985" s="1" t="s">
        <v>3042</v>
      </c>
      <c r="B985" s="1" t="s">
        <v>3176</v>
      </c>
      <c r="C985" s="1" t="s">
        <v>21</v>
      </c>
      <c r="D985" s="4" t="s">
        <v>3177</v>
      </c>
      <c r="E985" s="1" t="s">
        <v>3132</v>
      </c>
      <c r="F985" s="1" t="s">
        <v>3066</v>
      </c>
      <c r="G985" s="1" t="s">
        <v>3163</v>
      </c>
      <c r="H985" s="1" t="s">
        <v>3178</v>
      </c>
      <c r="I985" s="1" t="str">
        <f t="shared" si="1"/>
        <v>17</v>
      </c>
      <c r="J985" s="5"/>
      <c r="K985" s="1" t="str">
        <f t="shared" si="2"/>
        <v>7</v>
      </c>
      <c r="L985" s="5"/>
      <c r="M985" s="2" t="str">
        <f t="shared" si="3"/>
        <v>1395</v>
      </c>
      <c r="N985" s="5"/>
      <c r="O985" s="1">
        <v>43.0</v>
      </c>
      <c r="P985" s="5"/>
      <c r="Q985" s="5"/>
      <c r="R985" s="6" t="s">
        <v>3178</v>
      </c>
      <c r="S985" s="5"/>
      <c r="T985" s="1" t="str">
        <f>IFERROR(__xludf.DUMMYFUNCTION("INDEX(SPLIT(A985, ""/""), 2)"),"انجمن‌های علمی و نشریات وابسته به دانشکده‌ها")</f>
        <v>انجمن‌های علمی و نشریات وابسته به دانشکده‌ها</v>
      </c>
      <c r="U985" s="1" t="str">
        <f>IFERROR(__xludf.DUMMYFUNCTION("INDEX(SPLIT(A985, ""/""), 3)"),"دانشکده مهندسی شیمی و نفت")</f>
        <v>دانشکده مهندسی شیمی و نفت</v>
      </c>
      <c r="V985" s="1" t="str">
        <f>IFERROR(__xludf.DUMMYFUNCTION("INDEX(SPLIT(A985, ""/""), 4)"),"دردانشکده")</f>
        <v>دردانشکده</v>
      </c>
    </row>
    <row r="986">
      <c r="A986" s="1" t="s">
        <v>3042</v>
      </c>
      <c r="B986" s="1" t="s">
        <v>3179</v>
      </c>
      <c r="C986" s="1" t="s">
        <v>21</v>
      </c>
      <c r="D986" s="4" t="s">
        <v>3180</v>
      </c>
      <c r="E986" s="1" t="s">
        <v>3132</v>
      </c>
      <c r="F986" s="1" t="s">
        <v>3066</v>
      </c>
      <c r="G986" s="1" t="s">
        <v>3163</v>
      </c>
      <c r="H986" s="1" t="s">
        <v>3181</v>
      </c>
      <c r="I986" s="1" t="str">
        <f t="shared" si="1"/>
        <v>x</v>
      </c>
      <c r="J986" s="5"/>
      <c r="K986" s="1" t="str">
        <f t="shared" si="2"/>
        <v>7</v>
      </c>
      <c r="L986" s="5"/>
      <c r="M986" s="2" t="str">
        <f t="shared" si="3"/>
        <v>1395</v>
      </c>
      <c r="N986" s="5"/>
      <c r="O986" s="1">
        <v>44.0</v>
      </c>
      <c r="P986" s="5"/>
      <c r="Q986" s="5"/>
      <c r="R986" s="6" t="s">
        <v>3182</v>
      </c>
      <c r="S986" s="5"/>
      <c r="T986" s="1" t="str">
        <f>IFERROR(__xludf.DUMMYFUNCTION("INDEX(SPLIT(A986, ""/""), 2)"),"انجمن‌های علمی و نشریات وابسته به دانشکده‌ها")</f>
        <v>انجمن‌های علمی و نشریات وابسته به دانشکده‌ها</v>
      </c>
      <c r="U986" s="1" t="str">
        <f>IFERROR(__xludf.DUMMYFUNCTION("INDEX(SPLIT(A986, ""/""), 3)"),"دانشکده مهندسی شیمی و نفت")</f>
        <v>دانشکده مهندسی شیمی و نفت</v>
      </c>
      <c r="V986" s="1" t="str">
        <f>IFERROR(__xludf.DUMMYFUNCTION("INDEX(SPLIT(A986, ""/""), 4)"),"دردانشکده")</f>
        <v>دردانشکده</v>
      </c>
    </row>
    <row r="987">
      <c r="A987" s="1" t="s">
        <v>3042</v>
      </c>
      <c r="B987" s="1" t="s">
        <v>3183</v>
      </c>
      <c r="C987" s="1" t="s">
        <v>21</v>
      </c>
      <c r="D987" s="4" t="s">
        <v>3184</v>
      </c>
      <c r="E987" s="1" t="s">
        <v>3132</v>
      </c>
      <c r="F987" s="1" t="s">
        <v>3163</v>
      </c>
      <c r="G987" s="1" t="s">
        <v>3185</v>
      </c>
      <c r="H987" s="7" t="s">
        <v>3186</v>
      </c>
      <c r="I987" s="1" t="str">
        <f t="shared" si="1"/>
        <v>1</v>
      </c>
      <c r="J987" s="5"/>
      <c r="K987" s="1" t="str">
        <f t="shared" si="2"/>
        <v>8</v>
      </c>
      <c r="L987" s="5"/>
      <c r="M987" s="2" t="str">
        <f t="shared" si="3"/>
        <v>1395</v>
      </c>
      <c r="N987" s="5"/>
      <c r="O987" s="1">
        <v>45.0</v>
      </c>
      <c r="P987" s="5"/>
      <c r="Q987" s="5"/>
      <c r="R987" s="8" t="s">
        <v>3186</v>
      </c>
      <c r="S987" s="5"/>
      <c r="T987" s="1" t="str">
        <f>IFERROR(__xludf.DUMMYFUNCTION("INDEX(SPLIT(A987, ""/""), 2)"),"انجمن‌های علمی و نشریات وابسته به دانشکده‌ها")</f>
        <v>انجمن‌های علمی و نشریات وابسته به دانشکده‌ها</v>
      </c>
      <c r="U987" s="1" t="str">
        <f>IFERROR(__xludf.DUMMYFUNCTION("INDEX(SPLIT(A987, ""/""), 3)"),"دانشکده مهندسی شیمی و نفت")</f>
        <v>دانشکده مهندسی شیمی و نفت</v>
      </c>
      <c r="V987" s="1" t="str">
        <f>IFERROR(__xludf.DUMMYFUNCTION("INDEX(SPLIT(A987, ""/""), 4)"),"دردانشکده")</f>
        <v>دردانشکده</v>
      </c>
    </row>
    <row r="988">
      <c r="A988" s="1" t="s">
        <v>3042</v>
      </c>
      <c r="B988" s="1" t="s">
        <v>3187</v>
      </c>
      <c r="C988" s="1" t="s">
        <v>21</v>
      </c>
      <c r="D988" s="4" t="s">
        <v>3188</v>
      </c>
      <c r="E988" s="1" t="s">
        <v>3132</v>
      </c>
      <c r="F988" s="1" t="s">
        <v>3163</v>
      </c>
      <c r="G988" s="1" t="s">
        <v>3185</v>
      </c>
      <c r="H988" s="1" t="s">
        <v>3189</v>
      </c>
      <c r="I988" s="1" t="str">
        <f t="shared" si="1"/>
        <v>16</v>
      </c>
      <c r="J988" s="5"/>
      <c r="K988" s="1" t="str">
        <f t="shared" si="2"/>
        <v>8</v>
      </c>
      <c r="L988" s="5"/>
      <c r="M988" s="2" t="str">
        <f t="shared" si="3"/>
        <v>1395</v>
      </c>
      <c r="N988" s="5"/>
      <c r="O988" s="1">
        <v>46.0</v>
      </c>
      <c r="P988" s="5"/>
      <c r="Q988" s="5"/>
      <c r="R988" s="6" t="s">
        <v>3189</v>
      </c>
      <c r="S988" s="5"/>
      <c r="T988" s="1" t="str">
        <f>IFERROR(__xludf.DUMMYFUNCTION("INDEX(SPLIT(A988, ""/""), 2)"),"انجمن‌های علمی و نشریات وابسته به دانشکده‌ها")</f>
        <v>انجمن‌های علمی و نشریات وابسته به دانشکده‌ها</v>
      </c>
      <c r="U988" s="1" t="str">
        <f>IFERROR(__xludf.DUMMYFUNCTION("INDEX(SPLIT(A988, ""/""), 3)"),"دانشکده مهندسی شیمی و نفت")</f>
        <v>دانشکده مهندسی شیمی و نفت</v>
      </c>
      <c r="V988" s="1" t="str">
        <f>IFERROR(__xludf.DUMMYFUNCTION("INDEX(SPLIT(A988, ""/""), 4)"),"دردانشکده")</f>
        <v>دردانشکده</v>
      </c>
    </row>
    <row r="989">
      <c r="A989" s="1" t="s">
        <v>3042</v>
      </c>
      <c r="B989" s="1" t="s">
        <v>3190</v>
      </c>
      <c r="C989" s="1" t="s">
        <v>21</v>
      </c>
      <c r="D989" s="4" t="s">
        <v>3191</v>
      </c>
      <c r="E989" s="1" t="s">
        <v>3132</v>
      </c>
      <c r="F989" s="1" t="s">
        <v>3163</v>
      </c>
      <c r="G989" s="1" t="s">
        <v>3185</v>
      </c>
      <c r="H989" s="7" t="s">
        <v>3192</v>
      </c>
      <c r="I989" s="1" t="str">
        <f t="shared" si="1"/>
        <v>3</v>
      </c>
      <c r="J989" s="5"/>
      <c r="K989" s="1" t="str">
        <f t="shared" si="2"/>
        <v>9</v>
      </c>
      <c r="L989" s="5"/>
      <c r="M989" s="2" t="str">
        <f t="shared" si="3"/>
        <v>1395</v>
      </c>
      <c r="N989" s="5"/>
      <c r="O989" s="1">
        <v>47.0</v>
      </c>
      <c r="P989" s="5"/>
      <c r="Q989" s="5"/>
      <c r="R989" s="8" t="s">
        <v>3192</v>
      </c>
      <c r="S989" s="5"/>
      <c r="T989" s="1" t="str">
        <f>IFERROR(__xludf.DUMMYFUNCTION("INDEX(SPLIT(A989, ""/""), 2)"),"انجمن‌های علمی و نشریات وابسته به دانشکده‌ها")</f>
        <v>انجمن‌های علمی و نشریات وابسته به دانشکده‌ها</v>
      </c>
      <c r="U989" s="1" t="str">
        <f>IFERROR(__xludf.DUMMYFUNCTION("INDEX(SPLIT(A989, ""/""), 3)"),"دانشکده مهندسی شیمی و نفت")</f>
        <v>دانشکده مهندسی شیمی و نفت</v>
      </c>
      <c r="V989" s="1" t="str">
        <f>IFERROR(__xludf.DUMMYFUNCTION("INDEX(SPLIT(A989, ""/""), 4)"),"دردانشکده")</f>
        <v>دردانشکده</v>
      </c>
    </row>
    <row r="990">
      <c r="A990" s="1" t="s">
        <v>3042</v>
      </c>
      <c r="B990" s="1" t="s">
        <v>3193</v>
      </c>
      <c r="C990" s="1" t="s">
        <v>21</v>
      </c>
      <c r="D990" s="4" t="s">
        <v>3194</v>
      </c>
      <c r="E990" s="1" t="s">
        <v>3132</v>
      </c>
      <c r="F990" s="1" t="s">
        <v>3163</v>
      </c>
      <c r="G990" s="1" t="s">
        <v>3185</v>
      </c>
      <c r="H990" s="1" t="s">
        <v>3195</v>
      </c>
      <c r="I990" s="1" t="str">
        <f t="shared" si="1"/>
        <v>22</v>
      </c>
      <c r="J990" s="5"/>
      <c r="K990" s="1" t="str">
        <f t="shared" si="2"/>
        <v>9</v>
      </c>
      <c r="L990" s="5"/>
      <c r="M990" s="2" t="str">
        <f t="shared" si="3"/>
        <v>1395</v>
      </c>
      <c r="N990" s="5"/>
      <c r="O990" s="1">
        <v>48.0</v>
      </c>
      <c r="P990" s="5"/>
      <c r="Q990" s="5"/>
      <c r="R990" s="6" t="s">
        <v>3195</v>
      </c>
      <c r="S990" s="5"/>
      <c r="T990" s="1" t="str">
        <f>IFERROR(__xludf.DUMMYFUNCTION("INDEX(SPLIT(A990, ""/""), 2)"),"انجمن‌های علمی و نشریات وابسته به دانشکده‌ها")</f>
        <v>انجمن‌های علمی و نشریات وابسته به دانشکده‌ها</v>
      </c>
      <c r="U990" s="1" t="str">
        <f>IFERROR(__xludf.DUMMYFUNCTION("INDEX(SPLIT(A990, ""/""), 3)"),"دانشکده مهندسی شیمی و نفت")</f>
        <v>دانشکده مهندسی شیمی و نفت</v>
      </c>
      <c r="V990" s="1" t="str">
        <f>IFERROR(__xludf.DUMMYFUNCTION("INDEX(SPLIT(A990, ""/""), 4)"),"دردانشکده")</f>
        <v>دردانشکده</v>
      </c>
    </row>
    <row r="991">
      <c r="A991" s="1" t="s">
        <v>3042</v>
      </c>
      <c r="B991" s="1" t="s">
        <v>3196</v>
      </c>
      <c r="C991" s="1" t="s">
        <v>21</v>
      </c>
      <c r="D991" s="4" t="s">
        <v>3197</v>
      </c>
      <c r="E991" s="1" t="s">
        <v>3132</v>
      </c>
      <c r="F991" s="1" t="s">
        <v>3163</v>
      </c>
      <c r="G991" s="1" t="s">
        <v>3185</v>
      </c>
      <c r="H991" s="7" t="s">
        <v>3198</v>
      </c>
      <c r="I991" s="1" t="str">
        <f t="shared" si="1"/>
        <v>5</v>
      </c>
      <c r="J991" s="5"/>
      <c r="K991" s="1" t="str">
        <f t="shared" si="2"/>
        <v>10</v>
      </c>
      <c r="L991" s="5"/>
      <c r="M991" s="2" t="str">
        <f t="shared" si="3"/>
        <v>1395</v>
      </c>
      <c r="N991" s="5"/>
      <c r="O991" s="1">
        <v>49.0</v>
      </c>
      <c r="P991" s="5"/>
      <c r="Q991" s="5"/>
      <c r="R991" s="8" t="s">
        <v>3198</v>
      </c>
      <c r="S991" s="5"/>
      <c r="T991" s="1" t="str">
        <f>IFERROR(__xludf.DUMMYFUNCTION("INDEX(SPLIT(A991, ""/""), 2)"),"انجمن‌های علمی و نشریات وابسته به دانشکده‌ها")</f>
        <v>انجمن‌های علمی و نشریات وابسته به دانشکده‌ها</v>
      </c>
      <c r="U991" s="1" t="str">
        <f>IFERROR(__xludf.DUMMYFUNCTION("INDEX(SPLIT(A991, ""/""), 3)"),"دانشکده مهندسی شیمی و نفت")</f>
        <v>دانشکده مهندسی شیمی و نفت</v>
      </c>
      <c r="V991" s="1" t="str">
        <f>IFERROR(__xludf.DUMMYFUNCTION("INDEX(SPLIT(A991, ""/""), 4)"),"دردانشکده")</f>
        <v>دردانشکده</v>
      </c>
    </row>
    <row r="992">
      <c r="A992" s="1" t="s">
        <v>3042</v>
      </c>
      <c r="B992" s="1" t="s">
        <v>3199</v>
      </c>
      <c r="C992" s="1" t="s">
        <v>21</v>
      </c>
      <c r="D992" s="4" t="s">
        <v>3200</v>
      </c>
      <c r="E992" s="1" t="s">
        <v>3132</v>
      </c>
      <c r="F992" s="1" t="s">
        <v>3163</v>
      </c>
      <c r="G992" s="1" t="s">
        <v>3185</v>
      </c>
      <c r="H992" s="7" t="s">
        <v>3201</v>
      </c>
      <c r="I992" s="1" t="str">
        <f t="shared" si="1"/>
        <v>1</v>
      </c>
      <c r="J992" s="5"/>
      <c r="K992" s="1" t="str">
        <f t="shared" si="2"/>
        <v>12</v>
      </c>
      <c r="L992" s="5"/>
      <c r="M992" s="2" t="str">
        <f t="shared" si="3"/>
        <v>1395</v>
      </c>
      <c r="N992" s="5"/>
      <c r="O992" s="1">
        <v>50.0</v>
      </c>
      <c r="P992" s="5"/>
      <c r="Q992" s="5"/>
      <c r="R992" s="8" t="s">
        <v>3201</v>
      </c>
      <c r="S992" s="5"/>
      <c r="T992" s="1" t="str">
        <f>IFERROR(__xludf.DUMMYFUNCTION("INDEX(SPLIT(A992, ""/""), 2)"),"انجمن‌های علمی و نشریات وابسته به دانشکده‌ها")</f>
        <v>انجمن‌های علمی و نشریات وابسته به دانشکده‌ها</v>
      </c>
      <c r="U992" s="1" t="str">
        <f>IFERROR(__xludf.DUMMYFUNCTION("INDEX(SPLIT(A992, ""/""), 3)"),"دانشکده مهندسی شیمی و نفت")</f>
        <v>دانشکده مهندسی شیمی و نفت</v>
      </c>
      <c r="V992" s="1" t="str">
        <f>IFERROR(__xludf.DUMMYFUNCTION("INDEX(SPLIT(A992, ""/""), 4)"),"دردانشکده")</f>
        <v>دردانشکده</v>
      </c>
    </row>
    <row r="993">
      <c r="A993" s="1" t="s">
        <v>3042</v>
      </c>
      <c r="B993" s="1" t="s">
        <v>3202</v>
      </c>
      <c r="C993" s="1" t="s">
        <v>21</v>
      </c>
      <c r="D993" s="4" t="s">
        <v>3203</v>
      </c>
      <c r="E993" s="1" t="s">
        <v>3132</v>
      </c>
      <c r="F993" s="1" t="s">
        <v>3163</v>
      </c>
      <c r="G993" s="1" t="s">
        <v>3185</v>
      </c>
      <c r="H993" s="1" t="s">
        <v>3204</v>
      </c>
      <c r="I993" s="1" t="str">
        <f t="shared" si="1"/>
        <v>23</v>
      </c>
      <c r="J993" s="5"/>
      <c r="K993" s="1" t="str">
        <f t="shared" si="2"/>
        <v>1</v>
      </c>
      <c r="L993" s="5"/>
      <c r="M993" s="2" t="str">
        <f t="shared" si="3"/>
        <v>1396</v>
      </c>
      <c r="N993" s="5"/>
      <c r="O993" s="1">
        <v>51.0</v>
      </c>
      <c r="P993" s="5"/>
      <c r="Q993" s="5"/>
      <c r="R993" s="6" t="s">
        <v>3204</v>
      </c>
      <c r="S993" s="5"/>
      <c r="T993" s="1" t="str">
        <f>IFERROR(__xludf.DUMMYFUNCTION("INDEX(SPLIT(A993, ""/""), 2)"),"انجمن‌های علمی و نشریات وابسته به دانشکده‌ها")</f>
        <v>انجمن‌های علمی و نشریات وابسته به دانشکده‌ها</v>
      </c>
      <c r="U993" s="1" t="str">
        <f>IFERROR(__xludf.DUMMYFUNCTION("INDEX(SPLIT(A993, ""/""), 3)"),"دانشکده مهندسی شیمی و نفت")</f>
        <v>دانشکده مهندسی شیمی و نفت</v>
      </c>
      <c r="V993" s="1" t="str">
        <f>IFERROR(__xludf.DUMMYFUNCTION("INDEX(SPLIT(A993, ""/""), 4)"),"دردانشکده")</f>
        <v>دردانشکده</v>
      </c>
    </row>
    <row r="994">
      <c r="A994" s="1" t="s">
        <v>3042</v>
      </c>
      <c r="B994" s="1" t="s">
        <v>3205</v>
      </c>
      <c r="C994" s="1" t="s">
        <v>21</v>
      </c>
      <c r="D994" s="4" t="s">
        <v>3206</v>
      </c>
      <c r="E994" s="1" t="s">
        <v>3132</v>
      </c>
      <c r="F994" s="1" t="s">
        <v>3163</v>
      </c>
      <c r="G994" s="1" t="s">
        <v>3185</v>
      </c>
      <c r="H994" s="7" t="s">
        <v>3207</v>
      </c>
      <c r="I994" s="1" t="str">
        <f t="shared" si="1"/>
        <v>8</v>
      </c>
      <c r="J994" s="5"/>
      <c r="K994" s="1" t="str">
        <f t="shared" si="2"/>
        <v>3</v>
      </c>
      <c r="L994" s="5"/>
      <c r="M994" s="2" t="str">
        <f t="shared" si="3"/>
        <v>1396</v>
      </c>
      <c r="N994" s="5"/>
      <c r="O994" s="1">
        <v>52.0</v>
      </c>
      <c r="P994" s="5"/>
      <c r="Q994" s="5"/>
      <c r="R994" s="8" t="s">
        <v>3207</v>
      </c>
      <c r="S994" s="5"/>
      <c r="T994" s="1" t="str">
        <f>IFERROR(__xludf.DUMMYFUNCTION("INDEX(SPLIT(A994, ""/""), 2)"),"انجمن‌های علمی و نشریات وابسته به دانشکده‌ها")</f>
        <v>انجمن‌های علمی و نشریات وابسته به دانشکده‌ها</v>
      </c>
      <c r="U994" s="1" t="str">
        <f>IFERROR(__xludf.DUMMYFUNCTION("INDEX(SPLIT(A994, ""/""), 3)"),"دانشکده مهندسی شیمی و نفت")</f>
        <v>دانشکده مهندسی شیمی و نفت</v>
      </c>
      <c r="V994" s="1" t="str">
        <f>IFERROR(__xludf.DUMMYFUNCTION("INDEX(SPLIT(A994, ""/""), 4)"),"دردانشکده")</f>
        <v>دردانشکده</v>
      </c>
    </row>
    <row r="995">
      <c r="A995" s="1" t="s">
        <v>3042</v>
      </c>
      <c r="B995" s="1" t="s">
        <v>3208</v>
      </c>
      <c r="C995" s="1" t="s">
        <v>21</v>
      </c>
      <c r="D995" s="4" t="s">
        <v>3209</v>
      </c>
      <c r="E995" s="1" t="s">
        <v>3132</v>
      </c>
      <c r="F995" s="1" t="s">
        <v>3163</v>
      </c>
      <c r="G995" s="1" t="s">
        <v>3185</v>
      </c>
      <c r="H995" s="1" t="s">
        <v>271</v>
      </c>
      <c r="I995" s="1" t="str">
        <f t="shared" si="1"/>
        <v>15</v>
      </c>
      <c r="J995" s="5"/>
      <c r="K995" s="1" t="str">
        <f t="shared" si="2"/>
        <v>7</v>
      </c>
      <c r="L995" s="5"/>
      <c r="M995" s="2" t="str">
        <f t="shared" si="3"/>
        <v>1396</v>
      </c>
      <c r="N995" s="5"/>
      <c r="O995" s="1">
        <v>53.0</v>
      </c>
      <c r="P995" s="5"/>
      <c r="Q995" s="5"/>
      <c r="R995" s="6" t="s">
        <v>271</v>
      </c>
      <c r="S995" s="5"/>
      <c r="T995" s="1" t="str">
        <f>IFERROR(__xludf.DUMMYFUNCTION("INDEX(SPLIT(A995, ""/""), 2)"),"انجمن‌های علمی و نشریات وابسته به دانشکده‌ها")</f>
        <v>انجمن‌های علمی و نشریات وابسته به دانشکده‌ها</v>
      </c>
      <c r="U995" s="1" t="str">
        <f>IFERROR(__xludf.DUMMYFUNCTION("INDEX(SPLIT(A995, ""/""), 3)"),"دانشکده مهندسی شیمی و نفت")</f>
        <v>دانشکده مهندسی شیمی و نفت</v>
      </c>
      <c r="V995" s="1" t="str">
        <f>IFERROR(__xludf.DUMMYFUNCTION("INDEX(SPLIT(A995, ""/""), 4)"),"دردانشکده")</f>
        <v>دردانشکده</v>
      </c>
    </row>
    <row r="996">
      <c r="A996" s="1" t="s">
        <v>3042</v>
      </c>
      <c r="B996" s="1" t="s">
        <v>3210</v>
      </c>
      <c r="C996" s="1" t="s">
        <v>21</v>
      </c>
      <c r="D996" s="4" t="s">
        <v>3211</v>
      </c>
      <c r="E996" s="1" t="s">
        <v>3132</v>
      </c>
      <c r="F996" s="1" t="s">
        <v>3163</v>
      </c>
      <c r="G996" s="1" t="s">
        <v>3185</v>
      </c>
      <c r="H996" s="1" t="s">
        <v>3212</v>
      </c>
      <c r="I996" s="1" t="str">
        <f t="shared" si="1"/>
        <v>18</v>
      </c>
      <c r="J996" s="5"/>
      <c r="K996" s="1" t="str">
        <f t="shared" si="2"/>
        <v>8</v>
      </c>
      <c r="L996" s="5"/>
      <c r="M996" s="2" t="str">
        <f t="shared" si="3"/>
        <v>1396</v>
      </c>
      <c r="N996" s="5"/>
      <c r="O996" s="1">
        <v>54.0</v>
      </c>
      <c r="P996" s="5"/>
      <c r="Q996" s="5"/>
      <c r="R996" s="6" t="s">
        <v>3212</v>
      </c>
      <c r="S996" s="5"/>
      <c r="T996" s="1" t="str">
        <f>IFERROR(__xludf.DUMMYFUNCTION("INDEX(SPLIT(A996, ""/""), 2)"),"انجمن‌های علمی و نشریات وابسته به دانشکده‌ها")</f>
        <v>انجمن‌های علمی و نشریات وابسته به دانشکده‌ها</v>
      </c>
      <c r="U996" s="1" t="str">
        <f>IFERROR(__xludf.DUMMYFUNCTION("INDEX(SPLIT(A996, ""/""), 3)"),"دانشکده مهندسی شیمی و نفت")</f>
        <v>دانشکده مهندسی شیمی و نفت</v>
      </c>
      <c r="V996" s="1" t="str">
        <f>IFERROR(__xludf.DUMMYFUNCTION("INDEX(SPLIT(A996, ""/""), 4)"),"دردانشکده")</f>
        <v>دردانشکده</v>
      </c>
    </row>
    <row r="997">
      <c r="A997" s="1" t="s">
        <v>3042</v>
      </c>
      <c r="B997" s="1" t="s">
        <v>3213</v>
      </c>
      <c r="C997" s="1" t="s">
        <v>21</v>
      </c>
      <c r="D997" s="4" t="s">
        <v>3214</v>
      </c>
      <c r="E997" s="1" t="s">
        <v>3132</v>
      </c>
      <c r="F997" s="1" t="s">
        <v>3163</v>
      </c>
      <c r="G997" s="1" t="s">
        <v>3185</v>
      </c>
      <c r="H997" s="1" t="s">
        <v>1238</v>
      </c>
      <c r="I997" s="1" t="str">
        <f t="shared" si="1"/>
        <v>29</v>
      </c>
      <c r="J997" s="5"/>
      <c r="K997" s="1" t="str">
        <f t="shared" si="2"/>
        <v>8</v>
      </c>
      <c r="L997" s="5"/>
      <c r="M997" s="2" t="str">
        <f t="shared" si="3"/>
        <v>1396</v>
      </c>
      <c r="N997" s="5"/>
      <c r="O997" s="1">
        <v>55.0</v>
      </c>
      <c r="P997" s="5"/>
      <c r="Q997" s="5"/>
      <c r="R997" s="6" t="s">
        <v>1238</v>
      </c>
      <c r="S997" s="5"/>
      <c r="T997" s="1" t="str">
        <f>IFERROR(__xludf.DUMMYFUNCTION("INDEX(SPLIT(A997, ""/""), 2)"),"انجمن‌های علمی و نشریات وابسته به دانشکده‌ها")</f>
        <v>انجمن‌های علمی و نشریات وابسته به دانشکده‌ها</v>
      </c>
      <c r="U997" s="1" t="str">
        <f>IFERROR(__xludf.DUMMYFUNCTION("INDEX(SPLIT(A997, ""/""), 3)"),"دانشکده مهندسی شیمی و نفت")</f>
        <v>دانشکده مهندسی شیمی و نفت</v>
      </c>
      <c r="V997" s="1" t="str">
        <f>IFERROR(__xludf.DUMMYFUNCTION("INDEX(SPLIT(A997, ""/""), 4)"),"دردانشکده")</f>
        <v>دردانشکده</v>
      </c>
    </row>
    <row r="998">
      <c r="A998" s="1" t="s">
        <v>3042</v>
      </c>
      <c r="B998" s="1" t="s">
        <v>3215</v>
      </c>
      <c r="C998" s="1" t="s">
        <v>21</v>
      </c>
      <c r="D998" s="4" t="s">
        <v>3216</v>
      </c>
      <c r="E998" s="1" t="s">
        <v>3132</v>
      </c>
      <c r="F998" s="1" t="s">
        <v>3185</v>
      </c>
      <c r="G998" s="1" t="s">
        <v>3217</v>
      </c>
      <c r="H998" s="1" t="s">
        <v>3218</v>
      </c>
      <c r="I998" s="1" t="str">
        <f t="shared" si="1"/>
        <v>22</v>
      </c>
      <c r="J998" s="5"/>
      <c r="K998" s="1" t="str">
        <f t="shared" si="2"/>
        <v>9</v>
      </c>
      <c r="L998" s="5"/>
      <c r="M998" s="2" t="str">
        <f t="shared" si="3"/>
        <v>1396</v>
      </c>
      <c r="N998" s="5"/>
      <c r="O998" s="1">
        <v>56.0</v>
      </c>
      <c r="P998" s="5"/>
      <c r="Q998" s="5"/>
      <c r="R998" s="6" t="s">
        <v>3218</v>
      </c>
      <c r="S998" s="5"/>
      <c r="T998" s="1" t="str">
        <f>IFERROR(__xludf.DUMMYFUNCTION("INDEX(SPLIT(A998, ""/""), 2)"),"انجمن‌های علمی و نشریات وابسته به دانشکده‌ها")</f>
        <v>انجمن‌های علمی و نشریات وابسته به دانشکده‌ها</v>
      </c>
      <c r="U998" s="1" t="str">
        <f>IFERROR(__xludf.DUMMYFUNCTION("INDEX(SPLIT(A998, ""/""), 3)"),"دانشکده مهندسی شیمی و نفت")</f>
        <v>دانشکده مهندسی شیمی و نفت</v>
      </c>
      <c r="V998" s="1" t="str">
        <f>IFERROR(__xludf.DUMMYFUNCTION("INDEX(SPLIT(A998, ""/""), 4)"),"دردانشکده")</f>
        <v>دردانشکده</v>
      </c>
    </row>
    <row r="999">
      <c r="A999" s="1" t="s">
        <v>3042</v>
      </c>
      <c r="B999" s="1" t="s">
        <v>3219</v>
      </c>
      <c r="C999" s="1" t="s">
        <v>21</v>
      </c>
      <c r="D999" s="4" t="s">
        <v>3220</v>
      </c>
      <c r="E999" s="1" t="s">
        <v>3132</v>
      </c>
      <c r="F999" s="1" t="s">
        <v>3185</v>
      </c>
      <c r="G999" s="1" t="s">
        <v>3217</v>
      </c>
      <c r="H999" s="7" t="s">
        <v>3221</v>
      </c>
      <c r="I999" s="1" t="str">
        <f t="shared" si="1"/>
        <v>8</v>
      </c>
      <c r="J999" s="5"/>
      <c r="K999" s="1" t="str">
        <f t="shared" si="2"/>
        <v>12</v>
      </c>
      <c r="L999" s="5"/>
      <c r="M999" s="2" t="str">
        <f t="shared" si="3"/>
        <v>1396</v>
      </c>
      <c r="N999" s="5"/>
      <c r="O999" s="1">
        <v>57.0</v>
      </c>
      <c r="P999" s="5"/>
      <c r="Q999" s="5"/>
      <c r="R999" s="8" t="s">
        <v>3221</v>
      </c>
      <c r="S999" s="5"/>
      <c r="T999" s="1" t="str">
        <f>IFERROR(__xludf.DUMMYFUNCTION("INDEX(SPLIT(A999, ""/""), 2)"),"انجمن‌های علمی و نشریات وابسته به دانشکده‌ها")</f>
        <v>انجمن‌های علمی و نشریات وابسته به دانشکده‌ها</v>
      </c>
      <c r="U999" s="1" t="str">
        <f>IFERROR(__xludf.DUMMYFUNCTION("INDEX(SPLIT(A999, ""/""), 3)"),"دانشکده مهندسی شیمی و نفت")</f>
        <v>دانشکده مهندسی شیمی و نفت</v>
      </c>
      <c r="V999" s="1" t="str">
        <f>IFERROR(__xludf.DUMMYFUNCTION("INDEX(SPLIT(A999, ""/""), 4)"),"دردانشکده")</f>
        <v>دردانشکده</v>
      </c>
    </row>
    <row r="1000">
      <c r="A1000" s="1" t="s">
        <v>3042</v>
      </c>
      <c r="B1000" s="1" t="s">
        <v>3222</v>
      </c>
      <c r="C1000" s="1" t="s">
        <v>21</v>
      </c>
      <c r="D1000" s="4" t="s">
        <v>3223</v>
      </c>
      <c r="E1000" s="1" t="s">
        <v>3132</v>
      </c>
      <c r="F1000" s="1" t="s">
        <v>3185</v>
      </c>
      <c r="G1000" s="1" t="s">
        <v>3217</v>
      </c>
      <c r="H1000" s="1" t="s">
        <v>287</v>
      </c>
      <c r="I1000" s="1" t="str">
        <f t="shared" si="1"/>
        <v>x</v>
      </c>
      <c r="J1000" s="5"/>
      <c r="K1000" s="1" t="str">
        <f t="shared" si="2"/>
        <v>12</v>
      </c>
      <c r="L1000" s="5"/>
      <c r="M1000" s="2" t="str">
        <f t="shared" si="3"/>
        <v>1396</v>
      </c>
      <c r="N1000" s="5"/>
      <c r="O1000" s="1">
        <v>58.0</v>
      </c>
      <c r="P1000" s="5"/>
      <c r="Q1000" s="5"/>
      <c r="R1000" s="6" t="s">
        <v>288</v>
      </c>
      <c r="S1000" s="5"/>
      <c r="T1000" s="1" t="str">
        <f>IFERROR(__xludf.DUMMYFUNCTION("INDEX(SPLIT(A1000, ""/""), 2)"),"انجمن‌های علمی و نشریات وابسته به دانشکده‌ها")</f>
        <v>انجمن‌های علمی و نشریات وابسته به دانشکده‌ها</v>
      </c>
      <c r="U1000" s="1" t="str">
        <f>IFERROR(__xludf.DUMMYFUNCTION("INDEX(SPLIT(A1000, ""/""), 3)"),"دانشکده مهندسی شیمی و نفت")</f>
        <v>دانشکده مهندسی شیمی و نفت</v>
      </c>
      <c r="V1000" s="1" t="str">
        <f>IFERROR(__xludf.DUMMYFUNCTION("INDEX(SPLIT(A1000, ""/""), 4)"),"دردانشکده")</f>
        <v>دردانشکده</v>
      </c>
    </row>
    <row r="1001">
      <c r="A1001" s="1" t="s">
        <v>3042</v>
      </c>
      <c r="B1001" s="1" t="s">
        <v>3224</v>
      </c>
      <c r="C1001" s="1" t="s">
        <v>21</v>
      </c>
      <c r="D1001" s="4" t="s">
        <v>3225</v>
      </c>
      <c r="E1001" s="1" t="s">
        <v>3132</v>
      </c>
      <c r="F1001" s="1" t="s">
        <v>3185</v>
      </c>
      <c r="G1001" s="1" t="s">
        <v>3217</v>
      </c>
      <c r="H1001" s="7" t="s">
        <v>3226</v>
      </c>
      <c r="I1001" s="1" t="str">
        <f t="shared" si="1"/>
        <v>7</v>
      </c>
      <c r="J1001" s="5"/>
      <c r="K1001" s="1" t="str">
        <f t="shared" si="2"/>
        <v>3</v>
      </c>
      <c r="L1001" s="5"/>
      <c r="M1001" s="2" t="str">
        <f t="shared" si="3"/>
        <v>1397</v>
      </c>
      <c r="N1001" s="5"/>
      <c r="O1001" s="1">
        <v>59.0</v>
      </c>
      <c r="P1001" s="5"/>
      <c r="Q1001" s="5"/>
      <c r="R1001" s="8" t="s">
        <v>3226</v>
      </c>
      <c r="S1001" s="5"/>
      <c r="T1001" s="1" t="str">
        <f>IFERROR(__xludf.DUMMYFUNCTION("INDEX(SPLIT(A1001, ""/""), 2)"),"انجمن‌های علمی و نشریات وابسته به دانشکده‌ها")</f>
        <v>انجمن‌های علمی و نشریات وابسته به دانشکده‌ها</v>
      </c>
      <c r="U1001" s="1" t="str">
        <f>IFERROR(__xludf.DUMMYFUNCTION("INDEX(SPLIT(A1001, ""/""), 3)"),"دانشکده مهندسی شیمی و نفت")</f>
        <v>دانشکده مهندسی شیمی و نفت</v>
      </c>
      <c r="V1001" s="1" t="str">
        <f>IFERROR(__xludf.DUMMYFUNCTION("INDEX(SPLIT(A1001, ""/""), 4)"),"دردانشکده")</f>
        <v>دردانشکده</v>
      </c>
    </row>
    <row r="1002">
      <c r="A1002" s="1" t="s">
        <v>3042</v>
      </c>
      <c r="B1002" s="1" t="s">
        <v>3227</v>
      </c>
      <c r="C1002" s="1" t="s">
        <v>21</v>
      </c>
      <c r="D1002" s="4" t="s">
        <v>3228</v>
      </c>
      <c r="E1002" s="1" t="s">
        <v>3132</v>
      </c>
      <c r="F1002" s="1" t="s">
        <v>3185</v>
      </c>
      <c r="G1002" s="1" t="s">
        <v>3217</v>
      </c>
      <c r="H1002" s="1" t="s">
        <v>2029</v>
      </c>
      <c r="I1002" s="1" t="str">
        <f t="shared" si="1"/>
        <v>16</v>
      </c>
      <c r="J1002" s="5"/>
      <c r="K1002" s="1" t="str">
        <f t="shared" si="2"/>
        <v>7</v>
      </c>
      <c r="L1002" s="5"/>
      <c r="M1002" s="2" t="str">
        <f t="shared" si="3"/>
        <v>1397</v>
      </c>
      <c r="N1002" s="5"/>
      <c r="O1002" s="1">
        <v>60.0</v>
      </c>
      <c r="P1002" s="5"/>
      <c r="Q1002" s="5"/>
      <c r="R1002" s="6" t="s">
        <v>2029</v>
      </c>
      <c r="S1002" s="5"/>
      <c r="T1002" s="1" t="str">
        <f>IFERROR(__xludf.DUMMYFUNCTION("INDEX(SPLIT(A1002, ""/""), 2)"),"انجمن‌های علمی و نشریات وابسته به دانشکده‌ها")</f>
        <v>انجمن‌های علمی و نشریات وابسته به دانشکده‌ها</v>
      </c>
      <c r="U1002" s="1" t="str">
        <f>IFERROR(__xludf.DUMMYFUNCTION("INDEX(SPLIT(A1002, ""/""), 3)"),"دانشکده مهندسی شیمی و نفت")</f>
        <v>دانشکده مهندسی شیمی و نفت</v>
      </c>
      <c r="V1002" s="1" t="str">
        <f>IFERROR(__xludf.DUMMYFUNCTION("INDEX(SPLIT(A1002, ""/""), 4)"),"دردانشکده")</f>
        <v>دردانشکده</v>
      </c>
    </row>
    <row r="1003">
      <c r="A1003" s="1" t="s">
        <v>3042</v>
      </c>
      <c r="B1003" s="1" t="s">
        <v>3229</v>
      </c>
      <c r="C1003" s="1" t="s">
        <v>21</v>
      </c>
      <c r="D1003" s="4" t="s">
        <v>3230</v>
      </c>
      <c r="E1003" s="1" t="s">
        <v>3132</v>
      </c>
      <c r="F1003" s="1" t="s">
        <v>3185</v>
      </c>
      <c r="G1003" s="1" t="s">
        <v>3217</v>
      </c>
      <c r="H1003" s="7" t="s">
        <v>701</v>
      </c>
      <c r="I1003" s="1" t="str">
        <f t="shared" si="1"/>
        <v>5</v>
      </c>
      <c r="J1003" s="5"/>
      <c r="K1003" s="1" t="str">
        <f t="shared" si="2"/>
        <v>8</v>
      </c>
      <c r="L1003" s="5"/>
      <c r="M1003" s="2" t="str">
        <f t="shared" si="3"/>
        <v>1397</v>
      </c>
      <c r="N1003" s="5"/>
      <c r="O1003" s="1">
        <v>61.0</v>
      </c>
      <c r="P1003" s="5"/>
      <c r="Q1003" s="5"/>
      <c r="R1003" s="8" t="s">
        <v>701</v>
      </c>
      <c r="S1003" s="5"/>
      <c r="T1003" s="1" t="str">
        <f>IFERROR(__xludf.DUMMYFUNCTION("INDEX(SPLIT(A1003, ""/""), 2)"),"انجمن‌های علمی و نشریات وابسته به دانشکده‌ها")</f>
        <v>انجمن‌های علمی و نشریات وابسته به دانشکده‌ها</v>
      </c>
      <c r="U1003" s="1" t="str">
        <f>IFERROR(__xludf.DUMMYFUNCTION("INDEX(SPLIT(A1003, ""/""), 3)"),"دانشکده مهندسی شیمی و نفت")</f>
        <v>دانشکده مهندسی شیمی و نفت</v>
      </c>
      <c r="V1003" s="1" t="str">
        <f>IFERROR(__xludf.DUMMYFUNCTION("INDEX(SPLIT(A1003, ""/""), 4)"),"دردانشکده")</f>
        <v>دردانشکده</v>
      </c>
    </row>
    <row r="1004">
      <c r="A1004" s="1" t="s">
        <v>3042</v>
      </c>
      <c r="B1004" s="1" t="s">
        <v>3231</v>
      </c>
      <c r="C1004" s="1" t="s">
        <v>21</v>
      </c>
      <c r="D1004" s="4" t="s">
        <v>3232</v>
      </c>
      <c r="E1004" s="1" t="s">
        <v>3132</v>
      </c>
      <c r="F1004" s="1" t="s">
        <v>3185</v>
      </c>
      <c r="G1004" s="1" t="s">
        <v>3217</v>
      </c>
      <c r="H1004" s="1" t="s">
        <v>3233</v>
      </c>
      <c r="I1004" s="1" t="str">
        <f t="shared" si="1"/>
        <v>20</v>
      </c>
      <c r="J1004" s="5"/>
      <c r="K1004" s="1" t="str">
        <f t="shared" si="2"/>
        <v>8</v>
      </c>
      <c r="L1004" s="5"/>
      <c r="M1004" s="2" t="str">
        <f t="shared" si="3"/>
        <v>1397</v>
      </c>
      <c r="N1004" s="5"/>
      <c r="O1004" s="1">
        <v>62.0</v>
      </c>
      <c r="P1004" s="5"/>
      <c r="Q1004" s="5"/>
      <c r="R1004" s="6" t="s">
        <v>3233</v>
      </c>
      <c r="S1004" s="5"/>
      <c r="T1004" s="1" t="str">
        <f>IFERROR(__xludf.DUMMYFUNCTION("INDEX(SPLIT(A1004, ""/""), 2)"),"انجمن‌های علمی و نشریات وابسته به دانشکده‌ها")</f>
        <v>انجمن‌های علمی و نشریات وابسته به دانشکده‌ها</v>
      </c>
      <c r="U1004" s="1" t="str">
        <f>IFERROR(__xludf.DUMMYFUNCTION("INDEX(SPLIT(A1004, ""/""), 3)"),"دانشکده مهندسی شیمی و نفت")</f>
        <v>دانشکده مهندسی شیمی و نفت</v>
      </c>
      <c r="V1004" s="1" t="str">
        <f>IFERROR(__xludf.DUMMYFUNCTION("INDEX(SPLIT(A1004, ""/""), 4)"),"دردانشکده")</f>
        <v>دردانشکده</v>
      </c>
    </row>
    <row r="1005">
      <c r="A1005" s="1" t="s">
        <v>3042</v>
      </c>
      <c r="B1005" s="1" t="s">
        <v>3234</v>
      </c>
      <c r="C1005" s="1" t="s">
        <v>21</v>
      </c>
      <c r="D1005" s="4" t="s">
        <v>3235</v>
      </c>
      <c r="E1005" s="1" t="s">
        <v>3132</v>
      </c>
      <c r="F1005" s="1" t="s">
        <v>3185</v>
      </c>
      <c r="G1005" s="1" t="s">
        <v>3217</v>
      </c>
      <c r="H1005" s="7" t="s">
        <v>3236</v>
      </c>
      <c r="I1005" s="1" t="str">
        <f t="shared" si="1"/>
        <v>10</v>
      </c>
      <c r="J1005" s="5"/>
      <c r="K1005" s="1" t="str">
        <f t="shared" si="2"/>
        <v>9</v>
      </c>
      <c r="L1005" s="5"/>
      <c r="M1005" s="2" t="str">
        <f t="shared" si="3"/>
        <v>1397</v>
      </c>
      <c r="N1005" s="5"/>
      <c r="O1005" s="1">
        <v>63.0</v>
      </c>
      <c r="P1005" s="5"/>
      <c r="Q1005" s="5"/>
      <c r="R1005" s="8" t="s">
        <v>3236</v>
      </c>
      <c r="S1005" s="5"/>
      <c r="T1005" s="1" t="str">
        <f>IFERROR(__xludf.DUMMYFUNCTION("INDEX(SPLIT(A1005, ""/""), 2)"),"انجمن‌های علمی و نشریات وابسته به دانشکده‌ها")</f>
        <v>انجمن‌های علمی و نشریات وابسته به دانشکده‌ها</v>
      </c>
      <c r="U1005" s="1" t="str">
        <f>IFERROR(__xludf.DUMMYFUNCTION("INDEX(SPLIT(A1005, ""/""), 3)"),"دانشکده مهندسی شیمی و نفت")</f>
        <v>دانشکده مهندسی شیمی و نفت</v>
      </c>
      <c r="V1005" s="1" t="str">
        <f>IFERROR(__xludf.DUMMYFUNCTION("INDEX(SPLIT(A1005, ""/""), 4)"),"دردانشکده")</f>
        <v>دردانشکده</v>
      </c>
    </row>
    <row r="1006">
      <c r="A1006" s="1" t="s">
        <v>3042</v>
      </c>
      <c r="B1006" s="1" t="s">
        <v>3237</v>
      </c>
      <c r="C1006" s="1" t="s">
        <v>21</v>
      </c>
      <c r="D1006" s="4" t="s">
        <v>3238</v>
      </c>
      <c r="E1006" s="1" t="s">
        <v>3132</v>
      </c>
      <c r="F1006" s="1" t="s">
        <v>3185</v>
      </c>
      <c r="G1006" s="1" t="s">
        <v>3217</v>
      </c>
      <c r="H1006" s="1" t="s">
        <v>1290</v>
      </c>
      <c r="I1006" s="1" t="str">
        <f t="shared" si="1"/>
        <v>26</v>
      </c>
      <c r="J1006" s="5"/>
      <c r="K1006" s="1" t="str">
        <f t="shared" si="2"/>
        <v>9</v>
      </c>
      <c r="L1006" s="5"/>
      <c r="M1006" s="2" t="str">
        <f t="shared" si="3"/>
        <v>1397</v>
      </c>
      <c r="N1006" s="5"/>
      <c r="O1006" s="1">
        <v>64.0</v>
      </c>
      <c r="P1006" s="5"/>
      <c r="Q1006" s="5"/>
      <c r="R1006" s="6" t="s">
        <v>1290</v>
      </c>
      <c r="S1006" s="5"/>
      <c r="T1006" s="1" t="str">
        <f>IFERROR(__xludf.DUMMYFUNCTION("INDEX(SPLIT(A1006, ""/""), 2)"),"انجمن‌های علمی و نشریات وابسته به دانشکده‌ها")</f>
        <v>انجمن‌های علمی و نشریات وابسته به دانشکده‌ها</v>
      </c>
      <c r="U1006" s="1" t="str">
        <f>IFERROR(__xludf.DUMMYFUNCTION("INDEX(SPLIT(A1006, ""/""), 3)"),"دانشکده مهندسی شیمی و نفت")</f>
        <v>دانشکده مهندسی شیمی و نفت</v>
      </c>
      <c r="V1006" s="1" t="str">
        <f>IFERROR(__xludf.DUMMYFUNCTION("INDEX(SPLIT(A1006, ""/""), 4)"),"دردانشکده")</f>
        <v>دردانشکده</v>
      </c>
    </row>
    <row r="1007">
      <c r="A1007" s="1" t="s">
        <v>3042</v>
      </c>
      <c r="B1007" s="1" t="s">
        <v>3239</v>
      </c>
      <c r="C1007" s="1" t="s">
        <v>21</v>
      </c>
      <c r="D1007" s="4" t="s">
        <v>3240</v>
      </c>
      <c r="E1007" s="1" t="s">
        <v>3132</v>
      </c>
      <c r="F1007" s="1" t="s">
        <v>3185</v>
      </c>
      <c r="G1007" s="1" t="s">
        <v>3241</v>
      </c>
      <c r="H1007" s="1" t="s">
        <v>1297</v>
      </c>
      <c r="I1007" s="1" t="str">
        <f t="shared" si="1"/>
        <v>30</v>
      </c>
      <c r="J1007" s="5"/>
      <c r="K1007" s="1" t="str">
        <f t="shared" si="2"/>
        <v>11</v>
      </c>
      <c r="L1007" s="5"/>
      <c r="M1007" s="2" t="str">
        <f t="shared" si="3"/>
        <v>1397</v>
      </c>
      <c r="N1007" s="5"/>
      <c r="O1007" s="1">
        <v>65.0</v>
      </c>
      <c r="P1007" s="5"/>
      <c r="Q1007" s="5"/>
      <c r="R1007" s="6" t="s">
        <v>1297</v>
      </c>
      <c r="S1007" s="5"/>
      <c r="T1007" s="1" t="str">
        <f>IFERROR(__xludf.DUMMYFUNCTION("INDEX(SPLIT(A1007, ""/""), 2)"),"انجمن‌های علمی و نشریات وابسته به دانشکده‌ها")</f>
        <v>انجمن‌های علمی و نشریات وابسته به دانشکده‌ها</v>
      </c>
      <c r="U1007" s="1" t="str">
        <f>IFERROR(__xludf.DUMMYFUNCTION("INDEX(SPLIT(A1007, ""/""), 3)"),"دانشکده مهندسی شیمی و نفت")</f>
        <v>دانشکده مهندسی شیمی و نفت</v>
      </c>
      <c r="V1007" s="1" t="str">
        <f>IFERROR(__xludf.DUMMYFUNCTION("INDEX(SPLIT(A1007, ""/""), 4)"),"دردانشکده")</f>
        <v>دردانشکده</v>
      </c>
    </row>
    <row r="1008">
      <c r="A1008" s="1" t="s">
        <v>3042</v>
      </c>
      <c r="B1008" s="1" t="s">
        <v>3242</v>
      </c>
      <c r="C1008" s="1" t="s">
        <v>21</v>
      </c>
      <c r="D1008" s="4" t="s">
        <v>3243</v>
      </c>
      <c r="E1008" s="1" t="s">
        <v>3132</v>
      </c>
      <c r="F1008" s="1" t="s">
        <v>3185</v>
      </c>
      <c r="G1008" s="1" t="s">
        <v>3241</v>
      </c>
      <c r="H1008" s="1" t="s">
        <v>107</v>
      </c>
      <c r="I1008" s="1" t="str">
        <f t="shared" si="1"/>
        <v>x</v>
      </c>
      <c r="J1008" s="5"/>
      <c r="K1008" s="1" t="str">
        <f t="shared" si="2"/>
        <v>x</v>
      </c>
      <c r="L1008" s="5"/>
      <c r="M1008" s="2" t="str">
        <f t="shared" si="3"/>
        <v>1398</v>
      </c>
      <c r="N1008" s="5"/>
      <c r="O1008" s="1">
        <v>66.0</v>
      </c>
      <c r="P1008" s="5"/>
      <c r="Q1008" s="5"/>
      <c r="R1008" s="8" t="s">
        <v>108</v>
      </c>
      <c r="S1008" s="5"/>
      <c r="T1008" s="1" t="str">
        <f>IFERROR(__xludf.DUMMYFUNCTION("INDEX(SPLIT(A1008, ""/""), 2)"),"انجمن‌های علمی و نشریات وابسته به دانشکده‌ها")</f>
        <v>انجمن‌های علمی و نشریات وابسته به دانشکده‌ها</v>
      </c>
      <c r="U1008" s="1" t="str">
        <f>IFERROR(__xludf.DUMMYFUNCTION("INDEX(SPLIT(A1008, ""/""), 3)"),"دانشکده مهندسی شیمی و نفت")</f>
        <v>دانشکده مهندسی شیمی و نفت</v>
      </c>
      <c r="V1008" s="1" t="str">
        <f>IFERROR(__xludf.DUMMYFUNCTION("INDEX(SPLIT(A1008, ""/""), 4)"),"دردانشکده")</f>
        <v>دردانشکده</v>
      </c>
    </row>
    <row r="1009">
      <c r="A1009" s="1" t="s">
        <v>3042</v>
      </c>
      <c r="B1009" s="1" t="s">
        <v>3244</v>
      </c>
      <c r="C1009" s="1" t="s">
        <v>21</v>
      </c>
      <c r="D1009" s="4" t="s">
        <v>3245</v>
      </c>
      <c r="E1009" s="1" t="s">
        <v>3132</v>
      </c>
      <c r="F1009" s="1" t="s">
        <v>3185</v>
      </c>
      <c r="G1009" s="1" t="s">
        <v>3241</v>
      </c>
      <c r="H1009" s="7" t="s">
        <v>1499</v>
      </c>
      <c r="I1009" s="1" t="str">
        <f t="shared" si="1"/>
        <v>4</v>
      </c>
      <c r="J1009" s="5"/>
      <c r="K1009" s="1" t="str">
        <f t="shared" si="2"/>
        <v>3</v>
      </c>
      <c r="L1009" s="5"/>
      <c r="M1009" s="2" t="str">
        <f t="shared" si="3"/>
        <v>1398</v>
      </c>
      <c r="N1009" s="5"/>
      <c r="O1009" s="1">
        <v>67.0</v>
      </c>
      <c r="P1009" s="5"/>
      <c r="Q1009" s="5"/>
      <c r="R1009" s="8" t="s">
        <v>1499</v>
      </c>
      <c r="S1009" s="5"/>
      <c r="T1009" s="1" t="str">
        <f>IFERROR(__xludf.DUMMYFUNCTION("INDEX(SPLIT(A1009, ""/""), 2)"),"انجمن‌های علمی و نشریات وابسته به دانشکده‌ها")</f>
        <v>انجمن‌های علمی و نشریات وابسته به دانشکده‌ها</v>
      </c>
      <c r="U1009" s="1" t="str">
        <f>IFERROR(__xludf.DUMMYFUNCTION("INDEX(SPLIT(A1009, ""/""), 3)"),"دانشکده مهندسی شیمی و نفت")</f>
        <v>دانشکده مهندسی شیمی و نفت</v>
      </c>
      <c r="V1009" s="1" t="str">
        <f>IFERROR(__xludf.DUMMYFUNCTION("INDEX(SPLIT(A1009, ""/""), 4)"),"دردانشکده")</f>
        <v>دردانشکده</v>
      </c>
    </row>
    <row r="1010">
      <c r="A1010" s="1" t="s">
        <v>3042</v>
      </c>
      <c r="B1010" s="1" t="s">
        <v>3246</v>
      </c>
      <c r="C1010" s="1" t="s">
        <v>21</v>
      </c>
      <c r="D1010" s="4" t="s">
        <v>3247</v>
      </c>
      <c r="E1010" s="1" t="s">
        <v>3132</v>
      </c>
      <c r="F1010" s="1" t="s">
        <v>3185</v>
      </c>
      <c r="G1010" s="1" t="s">
        <v>3241</v>
      </c>
      <c r="H1010" s="1" t="s">
        <v>1502</v>
      </c>
      <c r="I1010" s="1" t="str">
        <f t="shared" si="1"/>
        <v>21</v>
      </c>
      <c r="J1010" s="5"/>
      <c r="K1010" s="1" t="str">
        <f t="shared" si="2"/>
        <v>7</v>
      </c>
      <c r="L1010" s="5"/>
      <c r="M1010" s="2" t="str">
        <f t="shared" si="3"/>
        <v>1398</v>
      </c>
      <c r="N1010" s="5"/>
      <c r="O1010" s="1">
        <v>68.0</v>
      </c>
      <c r="P1010" s="5"/>
      <c r="Q1010" s="5"/>
      <c r="R1010" s="6" t="s">
        <v>1502</v>
      </c>
      <c r="S1010" s="5"/>
      <c r="T1010" s="1" t="str">
        <f>IFERROR(__xludf.DUMMYFUNCTION("INDEX(SPLIT(A1010, ""/""), 2)"),"انجمن‌های علمی و نشریات وابسته به دانشکده‌ها")</f>
        <v>انجمن‌های علمی و نشریات وابسته به دانشکده‌ها</v>
      </c>
      <c r="U1010" s="1" t="str">
        <f>IFERROR(__xludf.DUMMYFUNCTION("INDEX(SPLIT(A1010, ""/""), 3)"),"دانشکده مهندسی شیمی و نفت")</f>
        <v>دانشکده مهندسی شیمی و نفت</v>
      </c>
      <c r="V1010" s="1" t="str">
        <f>IFERROR(__xludf.DUMMYFUNCTION("INDEX(SPLIT(A1010, ""/""), 4)"),"دردانشکده")</f>
        <v>دردانشکده</v>
      </c>
    </row>
    <row r="1011">
      <c r="A1011" s="1" t="s">
        <v>3042</v>
      </c>
      <c r="B1011" s="1" t="s">
        <v>3248</v>
      </c>
      <c r="C1011" s="1" t="s">
        <v>21</v>
      </c>
      <c r="D1011" s="4" t="s">
        <v>3249</v>
      </c>
      <c r="E1011" s="1" t="s">
        <v>3132</v>
      </c>
      <c r="F1011" s="1" t="s">
        <v>3185</v>
      </c>
      <c r="G1011" s="1" t="s">
        <v>3241</v>
      </c>
      <c r="H1011" s="1" t="s">
        <v>3250</v>
      </c>
      <c r="I1011" s="1" t="str">
        <f t="shared" si="1"/>
        <v>19</v>
      </c>
      <c r="J1011" s="5"/>
      <c r="K1011" s="1" t="str">
        <f t="shared" si="2"/>
        <v>8</v>
      </c>
      <c r="L1011" s="5"/>
      <c r="M1011" s="2" t="str">
        <f t="shared" si="3"/>
        <v>1398</v>
      </c>
      <c r="N1011" s="5"/>
      <c r="O1011" s="1">
        <v>69.0</v>
      </c>
      <c r="P1011" s="5"/>
      <c r="Q1011" s="5"/>
      <c r="R1011" s="6" t="s">
        <v>3250</v>
      </c>
      <c r="S1011" s="5"/>
      <c r="T1011" s="1" t="str">
        <f>IFERROR(__xludf.DUMMYFUNCTION("INDEX(SPLIT(A1011, ""/""), 2)"),"انجمن‌های علمی و نشریات وابسته به دانشکده‌ها")</f>
        <v>انجمن‌های علمی و نشریات وابسته به دانشکده‌ها</v>
      </c>
      <c r="U1011" s="1" t="str">
        <f>IFERROR(__xludf.DUMMYFUNCTION("INDEX(SPLIT(A1011, ""/""), 3)"),"دانشکده مهندسی شیمی و نفت")</f>
        <v>دانشکده مهندسی شیمی و نفت</v>
      </c>
      <c r="V1011" s="1" t="str">
        <f>IFERROR(__xludf.DUMMYFUNCTION("INDEX(SPLIT(A1011, ""/""), 4)"),"دردانشکده")</f>
        <v>دردانشکده</v>
      </c>
    </row>
    <row r="1012">
      <c r="A1012" s="1" t="s">
        <v>3042</v>
      </c>
      <c r="B1012" s="1" t="s">
        <v>3251</v>
      </c>
      <c r="C1012" s="1" t="s">
        <v>21</v>
      </c>
      <c r="D1012" s="4" t="s">
        <v>3252</v>
      </c>
      <c r="E1012" s="1" t="s">
        <v>3132</v>
      </c>
      <c r="F1012" s="1" t="s">
        <v>3241</v>
      </c>
      <c r="G1012" s="1" t="s">
        <v>3253</v>
      </c>
      <c r="H1012" s="7" t="s">
        <v>2075</v>
      </c>
      <c r="I1012" s="1" t="str">
        <f t="shared" si="1"/>
        <v>11</v>
      </c>
      <c r="J1012" s="5"/>
      <c r="K1012" s="1" t="str">
        <f t="shared" si="2"/>
        <v>9</v>
      </c>
      <c r="L1012" s="5"/>
      <c r="M1012" s="2" t="str">
        <f t="shared" si="3"/>
        <v>1398</v>
      </c>
      <c r="N1012" s="5"/>
      <c r="O1012" s="1">
        <v>70.0</v>
      </c>
      <c r="P1012" s="5"/>
      <c r="Q1012" s="5"/>
      <c r="R1012" s="8" t="s">
        <v>2075</v>
      </c>
      <c r="S1012" s="5"/>
      <c r="T1012" s="1" t="str">
        <f>IFERROR(__xludf.DUMMYFUNCTION("INDEX(SPLIT(A1012, ""/""), 2)"),"انجمن‌های علمی و نشریات وابسته به دانشکده‌ها")</f>
        <v>انجمن‌های علمی و نشریات وابسته به دانشکده‌ها</v>
      </c>
      <c r="U1012" s="1" t="str">
        <f>IFERROR(__xludf.DUMMYFUNCTION("INDEX(SPLIT(A1012, ""/""), 3)"),"دانشکده مهندسی شیمی و نفت")</f>
        <v>دانشکده مهندسی شیمی و نفت</v>
      </c>
      <c r="V1012" s="1" t="str">
        <f>IFERROR(__xludf.DUMMYFUNCTION("INDEX(SPLIT(A1012, ""/""), 4)"),"دردانشکده")</f>
        <v>دردانشکده</v>
      </c>
    </row>
    <row r="1013">
      <c r="A1013" s="1" t="s">
        <v>3042</v>
      </c>
      <c r="B1013" s="1" t="s">
        <v>3254</v>
      </c>
      <c r="C1013" s="1" t="s">
        <v>21</v>
      </c>
      <c r="D1013" s="4" t="s">
        <v>3255</v>
      </c>
      <c r="E1013" s="1" t="s">
        <v>3132</v>
      </c>
      <c r="F1013" s="1" t="s">
        <v>3241</v>
      </c>
      <c r="G1013" s="1" t="s">
        <v>3253</v>
      </c>
      <c r="H1013" s="7" t="s">
        <v>3256</v>
      </c>
      <c r="I1013" s="1" t="str">
        <f t="shared" si="1"/>
        <v>11</v>
      </c>
      <c r="J1013" s="5"/>
      <c r="K1013" s="1" t="str">
        <f t="shared" si="2"/>
        <v>10</v>
      </c>
      <c r="L1013" s="5"/>
      <c r="M1013" s="2" t="str">
        <f t="shared" si="3"/>
        <v>1398</v>
      </c>
      <c r="N1013" s="5"/>
      <c r="O1013" s="1">
        <v>71.0</v>
      </c>
      <c r="P1013" s="5"/>
      <c r="Q1013" s="5"/>
      <c r="R1013" s="8" t="s">
        <v>3256</v>
      </c>
      <c r="S1013" s="5"/>
      <c r="T1013" s="1" t="str">
        <f>IFERROR(__xludf.DUMMYFUNCTION("INDEX(SPLIT(A1013, ""/""), 2)"),"انجمن‌های علمی و نشریات وابسته به دانشکده‌ها")</f>
        <v>انجمن‌های علمی و نشریات وابسته به دانشکده‌ها</v>
      </c>
      <c r="U1013" s="1" t="str">
        <f>IFERROR(__xludf.DUMMYFUNCTION("INDEX(SPLIT(A1013, ""/""), 3)"),"دانشکده مهندسی شیمی و نفت")</f>
        <v>دانشکده مهندسی شیمی و نفت</v>
      </c>
      <c r="V1013" s="1" t="str">
        <f>IFERROR(__xludf.DUMMYFUNCTION("INDEX(SPLIT(A1013, ""/""), 4)"),"دردانشکده")</f>
        <v>دردانشکده</v>
      </c>
    </row>
    <row r="1014">
      <c r="A1014" s="1" t="s">
        <v>3042</v>
      </c>
      <c r="B1014" s="1" t="s">
        <v>3257</v>
      </c>
      <c r="C1014" s="1" t="s">
        <v>21</v>
      </c>
      <c r="D1014" s="4" t="s">
        <v>3258</v>
      </c>
      <c r="E1014" s="1" t="s">
        <v>3132</v>
      </c>
      <c r="F1014" s="1" t="s">
        <v>3241</v>
      </c>
      <c r="G1014" s="1" t="s">
        <v>3253</v>
      </c>
      <c r="H1014" s="7" t="s">
        <v>3259</v>
      </c>
      <c r="I1014" s="1" t="str">
        <f t="shared" si="1"/>
        <v>6</v>
      </c>
      <c r="J1014" s="5"/>
      <c r="K1014" s="1" t="str">
        <f t="shared" si="2"/>
        <v>12</v>
      </c>
      <c r="L1014" s="5"/>
      <c r="M1014" s="2" t="str">
        <f t="shared" si="3"/>
        <v>1398</v>
      </c>
      <c r="N1014" s="5"/>
      <c r="O1014" s="1">
        <v>72.0</v>
      </c>
      <c r="P1014" s="5"/>
      <c r="Q1014" s="5"/>
      <c r="R1014" s="8" t="s">
        <v>3259</v>
      </c>
      <c r="S1014" s="5"/>
      <c r="T1014" s="1" t="str">
        <f>IFERROR(__xludf.DUMMYFUNCTION("INDEX(SPLIT(A1014, ""/""), 2)"),"انجمن‌های علمی و نشریات وابسته به دانشکده‌ها")</f>
        <v>انجمن‌های علمی و نشریات وابسته به دانشکده‌ها</v>
      </c>
      <c r="U1014" s="1" t="str">
        <f>IFERROR(__xludf.DUMMYFUNCTION("INDEX(SPLIT(A1014, ""/""), 3)"),"دانشکده مهندسی شیمی و نفت")</f>
        <v>دانشکده مهندسی شیمی و نفت</v>
      </c>
      <c r="V1014" s="1" t="str">
        <f>IFERROR(__xludf.DUMMYFUNCTION("INDEX(SPLIT(A1014, ""/""), 4)"),"دردانشکده")</f>
        <v>دردانشکده</v>
      </c>
    </row>
    <row r="1015">
      <c r="A1015" s="1" t="s">
        <v>3042</v>
      </c>
      <c r="B1015" s="1" t="s">
        <v>3260</v>
      </c>
      <c r="C1015" s="1" t="s">
        <v>21</v>
      </c>
      <c r="D1015" s="4" t="s">
        <v>3261</v>
      </c>
      <c r="E1015" s="1" t="s">
        <v>3132</v>
      </c>
      <c r="F1015" s="1" t="s">
        <v>3241</v>
      </c>
      <c r="G1015" s="1" t="s">
        <v>3253</v>
      </c>
      <c r="H1015" s="1" t="s">
        <v>115</v>
      </c>
      <c r="I1015" s="1" t="str">
        <f t="shared" si="1"/>
        <v>x</v>
      </c>
      <c r="J1015" s="5"/>
      <c r="K1015" s="1" t="str">
        <f t="shared" si="2"/>
        <v>x</v>
      </c>
      <c r="L1015" s="5"/>
      <c r="M1015" s="2" t="str">
        <f t="shared" si="3"/>
        <v>1399</v>
      </c>
      <c r="N1015" s="5"/>
      <c r="O1015" s="1">
        <v>73.0</v>
      </c>
      <c r="P1015" s="5"/>
      <c r="Q1015" s="5"/>
      <c r="R1015" s="8" t="s">
        <v>116</v>
      </c>
      <c r="S1015" s="5"/>
      <c r="T1015" s="1" t="str">
        <f>IFERROR(__xludf.DUMMYFUNCTION("INDEX(SPLIT(A1015, ""/""), 2)"),"انجمن‌های علمی و نشریات وابسته به دانشکده‌ها")</f>
        <v>انجمن‌های علمی و نشریات وابسته به دانشکده‌ها</v>
      </c>
      <c r="U1015" s="1" t="str">
        <f>IFERROR(__xludf.DUMMYFUNCTION("INDEX(SPLIT(A1015, ""/""), 3)"),"دانشکده مهندسی شیمی و نفت")</f>
        <v>دانشکده مهندسی شیمی و نفت</v>
      </c>
      <c r="V1015" s="1" t="str">
        <f>IFERROR(__xludf.DUMMYFUNCTION("INDEX(SPLIT(A1015, ""/""), 4)"),"دردانشکده")</f>
        <v>دردانشکده</v>
      </c>
    </row>
    <row r="1016">
      <c r="A1016" s="1" t="s">
        <v>3042</v>
      </c>
      <c r="B1016" s="1" t="s">
        <v>3262</v>
      </c>
      <c r="C1016" s="1" t="s">
        <v>21</v>
      </c>
      <c r="D1016" s="4" t="s">
        <v>3263</v>
      </c>
      <c r="E1016" s="1" t="s">
        <v>3132</v>
      </c>
      <c r="F1016" s="1" t="s">
        <v>3241</v>
      </c>
      <c r="G1016" s="1" t="s">
        <v>3253</v>
      </c>
      <c r="H1016" s="7" t="s">
        <v>2097</v>
      </c>
      <c r="I1016" s="1" t="str">
        <f t="shared" si="1"/>
        <v>6</v>
      </c>
      <c r="J1016" s="5"/>
      <c r="K1016" s="1" t="str">
        <f t="shared" si="2"/>
        <v>2</v>
      </c>
      <c r="L1016" s="5"/>
      <c r="M1016" s="2" t="str">
        <f t="shared" si="3"/>
        <v>1399</v>
      </c>
      <c r="N1016" s="5"/>
      <c r="O1016" s="1">
        <v>74.0</v>
      </c>
      <c r="P1016" s="5"/>
      <c r="Q1016" s="5"/>
      <c r="R1016" s="8" t="s">
        <v>2097</v>
      </c>
      <c r="S1016" s="5"/>
      <c r="T1016" s="1" t="str">
        <f>IFERROR(__xludf.DUMMYFUNCTION("INDEX(SPLIT(A1016, ""/""), 2)"),"انجمن‌های علمی و نشریات وابسته به دانشکده‌ها")</f>
        <v>انجمن‌های علمی و نشریات وابسته به دانشکده‌ها</v>
      </c>
      <c r="U1016" s="1" t="str">
        <f>IFERROR(__xludf.DUMMYFUNCTION("INDEX(SPLIT(A1016, ""/""), 3)"),"دانشکده مهندسی شیمی و نفت")</f>
        <v>دانشکده مهندسی شیمی و نفت</v>
      </c>
      <c r="V1016" s="1" t="str">
        <f>IFERROR(__xludf.DUMMYFUNCTION("INDEX(SPLIT(A1016, ""/""), 4)"),"دردانشکده")</f>
        <v>دردانشکده</v>
      </c>
    </row>
    <row r="1017">
      <c r="A1017" s="1" t="s">
        <v>3042</v>
      </c>
      <c r="B1017" s="1" t="s">
        <v>3264</v>
      </c>
      <c r="C1017" s="1" t="s">
        <v>21</v>
      </c>
      <c r="D1017" s="4" t="s">
        <v>3265</v>
      </c>
      <c r="E1017" s="1" t="s">
        <v>3132</v>
      </c>
      <c r="F1017" s="1" t="s">
        <v>3241</v>
      </c>
      <c r="G1017" s="1" t="s">
        <v>3253</v>
      </c>
      <c r="H1017" s="7" t="s">
        <v>3266</v>
      </c>
      <c r="I1017" s="1" t="str">
        <f t="shared" si="1"/>
        <v>4</v>
      </c>
      <c r="J1017" s="5"/>
      <c r="K1017" s="1" t="str">
        <f t="shared" si="2"/>
        <v>3</v>
      </c>
      <c r="L1017" s="5"/>
      <c r="M1017" s="2" t="str">
        <f t="shared" si="3"/>
        <v>1399</v>
      </c>
      <c r="N1017" s="5"/>
      <c r="O1017" s="1">
        <v>75.0</v>
      </c>
      <c r="P1017" s="5"/>
      <c r="Q1017" s="5"/>
      <c r="R1017" s="8" t="s">
        <v>3266</v>
      </c>
      <c r="S1017" s="5"/>
      <c r="T1017" s="1" t="str">
        <f>IFERROR(__xludf.DUMMYFUNCTION("INDEX(SPLIT(A1017, ""/""), 2)"),"انجمن‌های علمی و نشریات وابسته به دانشکده‌ها")</f>
        <v>انجمن‌های علمی و نشریات وابسته به دانشکده‌ها</v>
      </c>
      <c r="U1017" s="1" t="str">
        <f>IFERROR(__xludf.DUMMYFUNCTION("INDEX(SPLIT(A1017, ""/""), 3)"),"دانشکده مهندسی شیمی و نفت")</f>
        <v>دانشکده مهندسی شیمی و نفت</v>
      </c>
      <c r="V1017" s="1" t="str">
        <f>IFERROR(__xludf.DUMMYFUNCTION("INDEX(SPLIT(A1017, ""/""), 4)"),"دردانشکده")</f>
        <v>دردانشکده</v>
      </c>
    </row>
    <row r="1018">
      <c r="A1018" s="1" t="s">
        <v>3042</v>
      </c>
      <c r="B1018" s="1" t="s">
        <v>3267</v>
      </c>
      <c r="C1018" s="1" t="s">
        <v>21</v>
      </c>
      <c r="D1018" s="4" t="s">
        <v>3268</v>
      </c>
      <c r="E1018" s="1" t="s">
        <v>3132</v>
      </c>
      <c r="F1018" s="1" t="s">
        <v>3253</v>
      </c>
      <c r="G1018" s="1" t="s">
        <v>3269</v>
      </c>
      <c r="H1018" s="1" t="s">
        <v>3270</v>
      </c>
      <c r="I1018" s="1" t="str">
        <f t="shared" si="1"/>
        <v>18</v>
      </c>
      <c r="J1018" s="5"/>
      <c r="K1018" s="1" t="str">
        <f t="shared" si="2"/>
        <v>8</v>
      </c>
      <c r="L1018" s="5"/>
      <c r="M1018" s="2" t="str">
        <f t="shared" si="3"/>
        <v>1399</v>
      </c>
      <c r="N1018" s="5"/>
      <c r="O1018" s="1">
        <v>76.0</v>
      </c>
      <c r="P1018" s="5"/>
      <c r="Q1018" s="5"/>
      <c r="R1018" s="6" t="s">
        <v>3270</v>
      </c>
      <c r="S1018" s="5"/>
      <c r="T1018" s="1" t="str">
        <f>IFERROR(__xludf.DUMMYFUNCTION("INDEX(SPLIT(A1018, ""/""), 2)"),"انجمن‌های علمی و نشریات وابسته به دانشکده‌ها")</f>
        <v>انجمن‌های علمی و نشریات وابسته به دانشکده‌ها</v>
      </c>
      <c r="U1018" s="1" t="str">
        <f>IFERROR(__xludf.DUMMYFUNCTION("INDEX(SPLIT(A1018, ""/""), 3)"),"دانشکده مهندسی شیمی و نفت")</f>
        <v>دانشکده مهندسی شیمی و نفت</v>
      </c>
      <c r="V1018" s="1" t="str">
        <f>IFERROR(__xludf.DUMMYFUNCTION("INDEX(SPLIT(A1018, ""/""), 4)"),"دردانشکده")</f>
        <v>دردانشکده</v>
      </c>
    </row>
    <row r="1019">
      <c r="A1019" s="1" t="s">
        <v>3042</v>
      </c>
      <c r="B1019" s="1" t="s">
        <v>3271</v>
      </c>
      <c r="C1019" s="1" t="s">
        <v>21</v>
      </c>
      <c r="D1019" s="4" t="s">
        <v>3272</v>
      </c>
      <c r="E1019" s="1" t="s">
        <v>3132</v>
      </c>
      <c r="F1019" s="1" t="s">
        <v>3253</v>
      </c>
      <c r="G1019" s="1" t="s">
        <v>1420</v>
      </c>
      <c r="H1019" s="1" t="s">
        <v>3273</v>
      </c>
      <c r="I1019" s="1" t="str">
        <f t="shared" si="1"/>
        <v>14</v>
      </c>
      <c r="J1019" s="5"/>
      <c r="K1019" s="1" t="str">
        <f t="shared" si="2"/>
        <v>9</v>
      </c>
      <c r="L1019" s="5"/>
      <c r="M1019" s="2" t="str">
        <f t="shared" si="3"/>
        <v>1399</v>
      </c>
      <c r="N1019" s="5"/>
      <c r="O1019" s="1">
        <v>77.0</v>
      </c>
      <c r="P1019" s="5"/>
      <c r="Q1019" s="5"/>
      <c r="R1019" s="6" t="s">
        <v>3273</v>
      </c>
      <c r="S1019" s="5"/>
      <c r="T1019" s="1" t="str">
        <f>IFERROR(__xludf.DUMMYFUNCTION("INDEX(SPLIT(A1019, ""/""), 2)"),"انجمن‌های علمی و نشریات وابسته به دانشکده‌ها")</f>
        <v>انجمن‌های علمی و نشریات وابسته به دانشکده‌ها</v>
      </c>
      <c r="U1019" s="1" t="str">
        <f>IFERROR(__xludf.DUMMYFUNCTION("INDEX(SPLIT(A1019, ""/""), 3)"),"دانشکده مهندسی شیمی و نفت")</f>
        <v>دانشکده مهندسی شیمی و نفت</v>
      </c>
      <c r="V1019" s="1" t="str">
        <f>IFERROR(__xludf.DUMMYFUNCTION("INDEX(SPLIT(A1019, ""/""), 4)"),"دردانشکده")</f>
        <v>دردانشکده</v>
      </c>
    </row>
    <row r="1020">
      <c r="A1020" s="1" t="s">
        <v>3042</v>
      </c>
      <c r="B1020" s="1" t="s">
        <v>3274</v>
      </c>
      <c r="C1020" s="1" t="s">
        <v>21</v>
      </c>
      <c r="D1020" s="4" t="s">
        <v>3275</v>
      </c>
      <c r="E1020" s="1" t="s">
        <v>3132</v>
      </c>
      <c r="F1020" s="1" t="s">
        <v>3253</v>
      </c>
      <c r="G1020" s="1" t="s">
        <v>3253</v>
      </c>
      <c r="H1020" s="7" t="s">
        <v>3276</v>
      </c>
      <c r="I1020" s="1" t="str">
        <f t="shared" si="1"/>
        <v>12</v>
      </c>
      <c r="J1020" s="5"/>
      <c r="K1020" s="1" t="str">
        <f t="shared" si="2"/>
        <v>11</v>
      </c>
      <c r="L1020" s="5"/>
      <c r="M1020" s="2" t="str">
        <f t="shared" si="3"/>
        <v>1399</v>
      </c>
      <c r="N1020" s="5"/>
      <c r="O1020" s="1">
        <v>78.0</v>
      </c>
      <c r="P1020" s="5"/>
      <c r="Q1020" s="5"/>
      <c r="R1020" s="8" t="s">
        <v>3276</v>
      </c>
      <c r="S1020" s="5"/>
      <c r="T1020" s="1" t="str">
        <f>IFERROR(__xludf.DUMMYFUNCTION("INDEX(SPLIT(A1020, ""/""), 2)"),"انجمن‌های علمی و نشریات وابسته به دانشکده‌ها")</f>
        <v>انجمن‌های علمی و نشریات وابسته به دانشکده‌ها</v>
      </c>
      <c r="U1020" s="1" t="str">
        <f>IFERROR(__xludf.DUMMYFUNCTION("INDEX(SPLIT(A1020, ""/""), 3)"),"دانشکده مهندسی شیمی و نفت")</f>
        <v>دانشکده مهندسی شیمی و نفت</v>
      </c>
      <c r="V1020" s="1" t="str">
        <f>IFERROR(__xludf.DUMMYFUNCTION("INDEX(SPLIT(A1020, ""/""), 4)"),"دردانشکده")</f>
        <v>دردانشکده</v>
      </c>
    </row>
    <row r="1021">
      <c r="A1021" s="1" t="s">
        <v>3042</v>
      </c>
      <c r="B1021" s="1" t="s">
        <v>3277</v>
      </c>
      <c r="C1021" s="1" t="s">
        <v>21</v>
      </c>
      <c r="D1021" s="4" t="s">
        <v>3278</v>
      </c>
      <c r="E1021" s="1" t="s">
        <v>3132</v>
      </c>
      <c r="F1021" s="1" t="s">
        <v>3253</v>
      </c>
      <c r="G1021" s="1" t="s">
        <v>752</v>
      </c>
      <c r="H1021" s="1" t="s">
        <v>3279</v>
      </c>
      <c r="I1021" s="1" t="str">
        <f t="shared" si="1"/>
        <v>18</v>
      </c>
      <c r="J1021" s="5"/>
      <c r="K1021" s="1" t="str">
        <f t="shared" si="2"/>
        <v>12</v>
      </c>
      <c r="L1021" s="5"/>
      <c r="M1021" s="2" t="str">
        <f t="shared" si="3"/>
        <v>1399</v>
      </c>
      <c r="N1021" s="5"/>
      <c r="O1021" s="1">
        <v>79.0</v>
      </c>
      <c r="P1021" s="5"/>
      <c r="Q1021" s="5"/>
      <c r="R1021" s="6" t="s">
        <v>3279</v>
      </c>
      <c r="S1021" s="5"/>
      <c r="T1021" s="1" t="str">
        <f>IFERROR(__xludf.DUMMYFUNCTION("INDEX(SPLIT(A1021, ""/""), 2)"),"انجمن‌های علمی و نشریات وابسته به دانشکده‌ها")</f>
        <v>انجمن‌های علمی و نشریات وابسته به دانشکده‌ها</v>
      </c>
      <c r="U1021" s="1" t="str">
        <f>IFERROR(__xludf.DUMMYFUNCTION("INDEX(SPLIT(A1021, ""/""), 3)"),"دانشکده مهندسی شیمی و نفت")</f>
        <v>دانشکده مهندسی شیمی و نفت</v>
      </c>
      <c r="V1021" s="1" t="str">
        <f>IFERROR(__xludf.DUMMYFUNCTION("INDEX(SPLIT(A1021, ""/""), 4)"),"دردانشکده")</f>
        <v>دردانشکده</v>
      </c>
    </row>
    <row r="1022">
      <c r="A1022" s="1" t="s">
        <v>3042</v>
      </c>
      <c r="B1022" s="1" t="s">
        <v>3280</v>
      </c>
      <c r="C1022" s="1" t="s">
        <v>21</v>
      </c>
      <c r="D1022" s="4" t="s">
        <v>3281</v>
      </c>
      <c r="E1022" s="1" t="s">
        <v>3132</v>
      </c>
      <c r="F1022" s="1" t="s">
        <v>3253</v>
      </c>
      <c r="G1022" s="1" t="s">
        <v>752</v>
      </c>
      <c r="H1022" s="7" t="s">
        <v>2284</v>
      </c>
      <c r="I1022" s="1" t="str">
        <f t="shared" si="1"/>
        <v>9</v>
      </c>
      <c r="J1022" s="5"/>
      <c r="K1022" s="1" t="str">
        <f t="shared" si="2"/>
        <v>1</v>
      </c>
      <c r="L1022" s="5"/>
      <c r="M1022" s="2" t="str">
        <f t="shared" si="3"/>
        <v>1400</v>
      </c>
      <c r="N1022" s="5"/>
      <c r="O1022" s="1">
        <v>80.0</v>
      </c>
      <c r="P1022" s="5"/>
      <c r="Q1022" s="5"/>
      <c r="R1022" s="8" t="s">
        <v>2284</v>
      </c>
      <c r="S1022" s="5"/>
      <c r="T1022" s="1" t="str">
        <f>IFERROR(__xludf.DUMMYFUNCTION("INDEX(SPLIT(A1022, ""/""), 2)"),"انجمن‌های علمی و نشریات وابسته به دانشکده‌ها")</f>
        <v>انجمن‌های علمی و نشریات وابسته به دانشکده‌ها</v>
      </c>
      <c r="U1022" s="1" t="str">
        <f>IFERROR(__xludf.DUMMYFUNCTION("INDEX(SPLIT(A1022, ""/""), 3)"),"دانشکده مهندسی شیمی و نفت")</f>
        <v>دانشکده مهندسی شیمی و نفت</v>
      </c>
      <c r="V1022" s="1" t="str">
        <f>IFERROR(__xludf.DUMMYFUNCTION("INDEX(SPLIT(A1022, ""/""), 4)"),"دردانشکده")</f>
        <v>دردانشکده</v>
      </c>
    </row>
    <row r="1023">
      <c r="A1023" s="1" t="s">
        <v>3042</v>
      </c>
      <c r="B1023" s="1" t="s">
        <v>3282</v>
      </c>
      <c r="C1023" s="1" t="s">
        <v>21</v>
      </c>
      <c r="D1023" s="4" t="s">
        <v>3283</v>
      </c>
      <c r="E1023" s="1" t="s">
        <v>3132</v>
      </c>
      <c r="F1023" s="1" t="s">
        <v>3253</v>
      </c>
      <c r="G1023" s="1" t="s">
        <v>1420</v>
      </c>
      <c r="H1023" s="1" t="s">
        <v>3284</v>
      </c>
      <c r="I1023" s="1" t="str">
        <f t="shared" si="1"/>
        <v>18</v>
      </c>
      <c r="J1023" s="5"/>
      <c r="K1023" s="1" t="str">
        <f t="shared" si="2"/>
        <v>4</v>
      </c>
      <c r="L1023" s="5"/>
      <c r="M1023" s="2" t="str">
        <f t="shared" si="3"/>
        <v>1400</v>
      </c>
      <c r="N1023" s="5"/>
      <c r="O1023" s="1">
        <v>81.0</v>
      </c>
      <c r="P1023" s="5"/>
      <c r="Q1023" s="5"/>
      <c r="R1023" s="6" t="s">
        <v>3284</v>
      </c>
      <c r="S1023" s="5"/>
      <c r="T1023" s="1" t="str">
        <f>IFERROR(__xludf.DUMMYFUNCTION("INDEX(SPLIT(A1023, ""/""), 2)"),"انجمن‌های علمی و نشریات وابسته به دانشکده‌ها")</f>
        <v>انجمن‌های علمی و نشریات وابسته به دانشکده‌ها</v>
      </c>
      <c r="U1023" s="1" t="str">
        <f>IFERROR(__xludf.DUMMYFUNCTION("INDEX(SPLIT(A1023, ""/""), 3)"),"دانشکده مهندسی شیمی و نفت")</f>
        <v>دانشکده مهندسی شیمی و نفت</v>
      </c>
      <c r="V1023" s="1" t="str">
        <f>IFERROR(__xludf.DUMMYFUNCTION("INDEX(SPLIT(A1023, ""/""), 4)"),"دردانشکده")</f>
        <v>دردانشکده</v>
      </c>
    </row>
    <row r="1024">
      <c r="A1024" s="1" t="s">
        <v>3042</v>
      </c>
      <c r="B1024" s="1" t="s">
        <v>3285</v>
      </c>
      <c r="C1024" s="1" t="s">
        <v>21</v>
      </c>
      <c r="D1024" s="4" t="s">
        <v>3286</v>
      </c>
      <c r="E1024" s="1" t="s">
        <v>3132</v>
      </c>
      <c r="F1024" s="1" t="s">
        <v>3253</v>
      </c>
      <c r="G1024" s="1" t="s">
        <v>1420</v>
      </c>
      <c r="H1024" s="7" t="s">
        <v>3287</v>
      </c>
      <c r="I1024" s="1" t="str">
        <f t="shared" si="1"/>
        <v>5</v>
      </c>
      <c r="J1024" s="5"/>
      <c r="K1024" s="1" t="str">
        <f t="shared" si="2"/>
        <v>8</v>
      </c>
      <c r="L1024" s="5"/>
      <c r="M1024" s="2" t="str">
        <f t="shared" si="3"/>
        <v>1400</v>
      </c>
      <c r="N1024" s="5"/>
      <c r="O1024" s="1">
        <v>82.0</v>
      </c>
      <c r="P1024" s="5"/>
      <c r="Q1024" s="5"/>
      <c r="R1024" s="8" t="s">
        <v>3287</v>
      </c>
      <c r="S1024" s="5"/>
      <c r="T1024" s="1" t="str">
        <f>IFERROR(__xludf.DUMMYFUNCTION("INDEX(SPLIT(A1024, ""/""), 2)"),"انجمن‌های علمی و نشریات وابسته به دانشکده‌ها")</f>
        <v>انجمن‌های علمی و نشریات وابسته به دانشکده‌ها</v>
      </c>
      <c r="U1024" s="1" t="str">
        <f>IFERROR(__xludf.DUMMYFUNCTION("INDEX(SPLIT(A1024, ""/""), 3)"),"دانشکده مهندسی شیمی و نفت")</f>
        <v>دانشکده مهندسی شیمی و نفت</v>
      </c>
      <c r="V1024" s="1" t="str">
        <f>IFERROR(__xludf.DUMMYFUNCTION("INDEX(SPLIT(A1024, ""/""), 4)"),"دردانشکده")</f>
        <v>دردانشکده</v>
      </c>
    </row>
    <row r="1025">
      <c r="A1025" s="1" t="s">
        <v>3042</v>
      </c>
      <c r="B1025" s="1" t="s">
        <v>3288</v>
      </c>
      <c r="C1025" s="1" t="s">
        <v>21</v>
      </c>
      <c r="D1025" s="4" t="s">
        <v>3289</v>
      </c>
      <c r="E1025" s="1" t="s">
        <v>3132</v>
      </c>
      <c r="F1025" s="1" t="s">
        <v>3253</v>
      </c>
      <c r="G1025" s="1" t="s">
        <v>1420</v>
      </c>
      <c r="H1025" s="7" t="s">
        <v>3290</v>
      </c>
      <c r="I1025" s="1" t="str">
        <f t="shared" si="1"/>
        <v>9</v>
      </c>
      <c r="J1025" s="5"/>
      <c r="K1025" s="1" t="str">
        <f t="shared" si="2"/>
        <v>4</v>
      </c>
      <c r="L1025" s="5"/>
      <c r="M1025" s="2" t="str">
        <f t="shared" si="3"/>
        <v>1401</v>
      </c>
      <c r="N1025" s="5"/>
      <c r="O1025" s="1">
        <v>83.0</v>
      </c>
      <c r="P1025" s="5"/>
      <c r="Q1025" s="5"/>
      <c r="R1025" s="8" t="s">
        <v>3290</v>
      </c>
      <c r="S1025" s="5"/>
      <c r="T1025" s="1" t="str">
        <f>IFERROR(__xludf.DUMMYFUNCTION("INDEX(SPLIT(A1025, ""/""), 2)"),"انجمن‌های علمی و نشریات وابسته به دانشکده‌ها")</f>
        <v>انجمن‌های علمی و نشریات وابسته به دانشکده‌ها</v>
      </c>
      <c r="U1025" s="1" t="str">
        <f>IFERROR(__xludf.DUMMYFUNCTION("INDEX(SPLIT(A1025, ""/""), 3)"),"دانشکده مهندسی شیمی و نفت")</f>
        <v>دانشکده مهندسی شیمی و نفت</v>
      </c>
      <c r="V1025" s="1" t="str">
        <f>IFERROR(__xludf.DUMMYFUNCTION("INDEX(SPLIT(A1025, ""/""), 4)"),"دردانشکده")</f>
        <v>دردانشکده</v>
      </c>
    </row>
    <row r="1026">
      <c r="A1026" s="1" t="s">
        <v>3042</v>
      </c>
      <c r="B1026" s="1" t="s">
        <v>3291</v>
      </c>
      <c r="C1026" s="1" t="s">
        <v>21</v>
      </c>
      <c r="D1026" s="4" t="s">
        <v>3292</v>
      </c>
      <c r="E1026" s="1" t="s">
        <v>3132</v>
      </c>
      <c r="F1026" s="1" t="s">
        <v>3293</v>
      </c>
      <c r="G1026" s="1" t="s">
        <v>752</v>
      </c>
      <c r="H1026" s="1" t="s">
        <v>3294</v>
      </c>
      <c r="I1026" s="1" t="str">
        <f t="shared" si="1"/>
        <v>19</v>
      </c>
      <c r="J1026" s="5"/>
      <c r="K1026" s="1" t="str">
        <f t="shared" si="2"/>
        <v>7</v>
      </c>
      <c r="L1026" s="5"/>
      <c r="M1026" s="2" t="str">
        <f t="shared" si="3"/>
        <v>1401</v>
      </c>
      <c r="N1026" s="5"/>
      <c r="O1026" s="1">
        <v>84.0</v>
      </c>
      <c r="P1026" s="5"/>
      <c r="Q1026" s="5"/>
      <c r="R1026" s="6" t="s">
        <v>3294</v>
      </c>
      <c r="S1026" s="5"/>
      <c r="T1026" s="1" t="str">
        <f>IFERROR(__xludf.DUMMYFUNCTION("INDEX(SPLIT(A1026, ""/""), 2)"),"انجمن‌های علمی و نشریات وابسته به دانشکده‌ها")</f>
        <v>انجمن‌های علمی و نشریات وابسته به دانشکده‌ها</v>
      </c>
      <c r="U1026" s="1" t="str">
        <f>IFERROR(__xludf.DUMMYFUNCTION("INDEX(SPLIT(A1026, ""/""), 3)"),"دانشکده مهندسی شیمی و نفت")</f>
        <v>دانشکده مهندسی شیمی و نفت</v>
      </c>
      <c r="V1026" s="1" t="str">
        <f>IFERROR(__xludf.DUMMYFUNCTION("INDEX(SPLIT(A1026, ""/""), 4)"),"دردانشکده")</f>
        <v>دردانشکده</v>
      </c>
    </row>
    <row r="1027">
      <c r="A1027" s="1" t="s">
        <v>3042</v>
      </c>
      <c r="B1027" s="1" t="s">
        <v>3295</v>
      </c>
      <c r="C1027" s="1" t="s">
        <v>21</v>
      </c>
      <c r="D1027" s="4" t="s">
        <v>3296</v>
      </c>
      <c r="E1027" s="1" t="s">
        <v>3132</v>
      </c>
      <c r="F1027" s="1" t="s">
        <v>3293</v>
      </c>
      <c r="G1027" s="1" t="s">
        <v>3297</v>
      </c>
      <c r="H1027" s="1" t="s">
        <v>3298</v>
      </c>
      <c r="I1027" s="1" t="str">
        <f t="shared" si="1"/>
        <v>18</v>
      </c>
      <c r="J1027" s="5"/>
      <c r="K1027" s="1" t="str">
        <f t="shared" si="2"/>
        <v>10</v>
      </c>
      <c r="L1027" s="5"/>
      <c r="M1027" s="2" t="str">
        <f t="shared" si="3"/>
        <v>1401</v>
      </c>
      <c r="N1027" s="5"/>
      <c r="O1027" s="1">
        <v>85.0</v>
      </c>
      <c r="P1027" s="5"/>
      <c r="Q1027" s="5"/>
      <c r="R1027" s="6" t="s">
        <v>3298</v>
      </c>
      <c r="S1027" s="5"/>
      <c r="T1027" s="1" t="str">
        <f>IFERROR(__xludf.DUMMYFUNCTION("INDEX(SPLIT(A1027, ""/""), 2)"),"انجمن‌های علمی و نشریات وابسته به دانشکده‌ها")</f>
        <v>انجمن‌های علمی و نشریات وابسته به دانشکده‌ها</v>
      </c>
      <c r="U1027" s="1" t="str">
        <f>IFERROR(__xludf.DUMMYFUNCTION("INDEX(SPLIT(A1027, ""/""), 3)"),"دانشکده مهندسی شیمی و نفت")</f>
        <v>دانشکده مهندسی شیمی و نفت</v>
      </c>
      <c r="V1027" s="1" t="str">
        <f>IFERROR(__xludf.DUMMYFUNCTION("INDEX(SPLIT(A1027, ""/""), 4)"),"دردانشکده")</f>
        <v>دردانشکده</v>
      </c>
    </row>
    <row r="1028">
      <c r="A1028" s="1" t="s">
        <v>3042</v>
      </c>
      <c r="B1028" s="1" t="s">
        <v>3299</v>
      </c>
      <c r="C1028" s="1" t="s">
        <v>21</v>
      </c>
      <c r="D1028" s="4" t="s">
        <v>3300</v>
      </c>
      <c r="E1028" s="1" t="s">
        <v>3132</v>
      </c>
      <c r="F1028" s="1" t="s">
        <v>3293</v>
      </c>
      <c r="G1028" s="1" t="s">
        <v>3297</v>
      </c>
      <c r="H1028" s="1" t="s">
        <v>3301</v>
      </c>
      <c r="I1028" s="1" t="str">
        <f t="shared" si="1"/>
        <v>27</v>
      </c>
      <c r="J1028" s="5"/>
      <c r="K1028" s="1" t="str">
        <f t="shared" si="2"/>
        <v>12</v>
      </c>
      <c r="L1028" s="5"/>
      <c r="M1028" s="2" t="str">
        <f t="shared" si="3"/>
        <v>1401</v>
      </c>
      <c r="N1028" s="5"/>
      <c r="O1028" s="1">
        <v>86.0</v>
      </c>
      <c r="P1028" s="5"/>
      <c r="Q1028" s="5"/>
      <c r="R1028" s="6" t="s">
        <v>3301</v>
      </c>
      <c r="S1028" s="5"/>
      <c r="T1028" s="1" t="str">
        <f>IFERROR(__xludf.DUMMYFUNCTION("INDEX(SPLIT(A1028, ""/""), 2)"),"انجمن‌های علمی و نشریات وابسته به دانشکده‌ها")</f>
        <v>انجمن‌های علمی و نشریات وابسته به دانشکده‌ها</v>
      </c>
      <c r="U1028" s="1" t="str">
        <f>IFERROR(__xludf.DUMMYFUNCTION("INDEX(SPLIT(A1028, ""/""), 3)"),"دانشکده مهندسی شیمی و نفت")</f>
        <v>دانشکده مهندسی شیمی و نفت</v>
      </c>
      <c r="V1028" s="1" t="str">
        <f>IFERROR(__xludf.DUMMYFUNCTION("INDEX(SPLIT(A1028, ""/""), 4)"),"دردانشکده")</f>
        <v>دردانشکده</v>
      </c>
    </row>
    <row r="1029">
      <c r="A1029" s="1" t="s">
        <v>3042</v>
      </c>
      <c r="B1029" s="1" t="s">
        <v>3302</v>
      </c>
      <c r="C1029" s="1" t="s">
        <v>21</v>
      </c>
      <c r="D1029" s="4" t="s">
        <v>3303</v>
      </c>
      <c r="E1029" s="1" t="s">
        <v>3132</v>
      </c>
      <c r="F1029" s="1" t="s">
        <v>3293</v>
      </c>
      <c r="G1029" s="1" t="s">
        <v>3297</v>
      </c>
      <c r="H1029" s="1" t="s">
        <v>448</v>
      </c>
      <c r="I1029" s="1" t="str">
        <f t="shared" si="1"/>
        <v>15</v>
      </c>
      <c r="J1029" s="5"/>
      <c r="K1029" s="1" t="str">
        <f t="shared" si="2"/>
        <v>1</v>
      </c>
      <c r="L1029" s="5"/>
      <c r="M1029" s="2" t="str">
        <f t="shared" si="3"/>
        <v>1402</v>
      </c>
      <c r="N1029" s="5"/>
      <c r="O1029" s="1">
        <v>87.0</v>
      </c>
      <c r="P1029" s="5"/>
      <c r="Q1029" s="5"/>
      <c r="R1029" s="6" t="s">
        <v>448</v>
      </c>
      <c r="S1029" s="5"/>
      <c r="T1029" s="1" t="str">
        <f>IFERROR(__xludf.DUMMYFUNCTION("INDEX(SPLIT(A1029, ""/""), 2)"),"انجمن‌های علمی و نشریات وابسته به دانشکده‌ها")</f>
        <v>انجمن‌های علمی و نشریات وابسته به دانشکده‌ها</v>
      </c>
      <c r="U1029" s="1" t="str">
        <f>IFERROR(__xludf.DUMMYFUNCTION("INDEX(SPLIT(A1029, ""/""), 3)"),"دانشکده مهندسی شیمی و نفت")</f>
        <v>دانشکده مهندسی شیمی و نفت</v>
      </c>
      <c r="V1029" s="1" t="str">
        <f>IFERROR(__xludf.DUMMYFUNCTION("INDEX(SPLIT(A1029, ""/""), 4)"),"دردانشکده")</f>
        <v>دردانشکده</v>
      </c>
    </row>
    <row r="1030">
      <c r="A1030" s="1" t="s">
        <v>3042</v>
      </c>
      <c r="B1030" s="1" t="s">
        <v>3304</v>
      </c>
      <c r="C1030" s="1" t="s">
        <v>21</v>
      </c>
      <c r="D1030" s="4" t="s">
        <v>3305</v>
      </c>
      <c r="E1030" s="1" t="s">
        <v>3132</v>
      </c>
      <c r="F1030" s="1" t="s">
        <v>3293</v>
      </c>
      <c r="G1030" s="1" t="s">
        <v>3297</v>
      </c>
      <c r="H1030" s="1" t="s">
        <v>3306</v>
      </c>
      <c r="I1030" s="1" t="str">
        <f t="shared" si="1"/>
        <v>26</v>
      </c>
      <c r="J1030" s="5"/>
      <c r="K1030" s="1" t="str">
        <f t="shared" si="2"/>
        <v>1</v>
      </c>
      <c r="L1030" s="5"/>
      <c r="M1030" s="2" t="str">
        <f t="shared" si="3"/>
        <v>1402</v>
      </c>
      <c r="N1030" s="5"/>
      <c r="O1030" s="1">
        <v>88.0</v>
      </c>
      <c r="P1030" s="5"/>
      <c r="Q1030" s="5"/>
      <c r="R1030" s="6" t="s">
        <v>3306</v>
      </c>
      <c r="S1030" s="5"/>
      <c r="T1030" s="1" t="str">
        <f>IFERROR(__xludf.DUMMYFUNCTION("INDEX(SPLIT(A1030, ""/""), 2)"),"انجمن‌های علمی و نشریات وابسته به دانشکده‌ها")</f>
        <v>انجمن‌های علمی و نشریات وابسته به دانشکده‌ها</v>
      </c>
      <c r="U1030" s="1" t="str">
        <f>IFERROR(__xludf.DUMMYFUNCTION("INDEX(SPLIT(A1030, ""/""), 3)"),"دانشکده مهندسی شیمی و نفت")</f>
        <v>دانشکده مهندسی شیمی و نفت</v>
      </c>
      <c r="V1030" s="1" t="str">
        <f>IFERROR(__xludf.DUMMYFUNCTION("INDEX(SPLIT(A1030, ""/""), 4)"),"دردانشکده")</f>
        <v>دردانشکده</v>
      </c>
    </row>
    <row r="1031">
      <c r="A1031" s="1" t="s">
        <v>3042</v>
      </c>
      <c r="B1031" s="1" t="s">
        <v>3307</v>
      </c>
      <c r="C1031" s="1" t="s">
        <v>21</v>
      </c>
      <c r="D1031" s="4" t="s">
        <v>3308</v>
      </c>
      <c r="E1031" s="1" t="s">
        <v>3132</v>
      </c>
      <c r="F1031" s="1" t="s">
        <v>3309</v>
      </c>
      <c r="G1031" s="1" t="s">
        <v>3297</v>
      </c>
      <c r="H1031" s="1" t="s">
        <v>3310</v>
      </c>
      <c r="I1031" s="1" t="str">
        <f t="shared" si="1"/>
        <v>31</v>
      </c>
      <c r="J1031" s="5"/>
      <c r="K1031" s="1" t="str">
        <f t="shared" si="2"/>
        <v>2</v>
      </c>
      <c r="L1031" s="5"/>
      <c r="M1031" s="2" t="str">
        <f t="shared" si="3"/>
        <v>1402</v>
      </c>
      <c r="N1031" s="5"/>
      <c r="O1031" s="1">
        <v>89.0</v>
      </c>
      <c r="P1031" s="5"/>
      <c r="Q1031" s="5"/>
      <c r="R1031" s="6" t="s">
        <v>3310</v>
      </c>
      <c r="S1031" s="5"/>
      <c r="T1031" s="1" t="str">
        <f>IFERROR(__xludf.DUMMYFUNCTION("INDEX(SPLIT(A1031, ""/""), 2)"),"انجمن‌های علمی و نشریات وابسته به دانشکده‌ها")</f>
        <v>انجمن‌های علمی و نشریات وابسته به دانشکده‌ها</v>
      </c>
      <c r="U1031" s="1" t="str">
        <f>IFERROR(__xludf.DUMMYFUNCTION("INDEX(SPLIT(A1031, ""/""), 3)"),"دانشکده مهندسی شیمی و نفت")</f>
        <v>دانشکده مهندسی شیمی و نفت</v>
      </c>
      <c r="V1031" s="1" t="str">
        <f>IFERROR(__xludf.DUMMYFUNCTION("INDEX(SPLIT(A1031, ""/""), 4)"),"دردانشکده")</f>
        <v>دردانشکده</v>
      </c>
    </row>
    <row r="1032">
      <c r="A1032" s="1" t="s">
        <v>3042</v>
      </c>
      <c r="B1032" s="1" t="s">
        <v>3311</v>
      </c>
      <c r="C1032" s="1" t="s">
        <v>21</v>
      </c>
      <c r="D1032" s="4" t="s">
        <v>3312</v>
      </c>
      <c r="E1032" s="1" t="s">
        <v>3132</v>
      </c>
      <c r="F1032" s="1" t="s">
        <v>3309</v>
      </c>
      <c r="G1032" s="1" t="s">
        <v>3297</v>
      </c>
      <c r="H1032" s="1" t="s">
        <v>3313</v>
      </c>
      <c r="I1032" s="1" t="str">
        <f t="shared" si="1"/>
        <v>23</v>
      </c>
      <c r="J1032" s="5"/>
      <c r="K1032" s="1" t="str">
        <f t="shared" si="2"/>
        <v>3</v>
      </c>
      <c r="L1032" s="5"/>
      <c r="M1032" s="2" t="str">
        <f t="shared" si="3"/>
        <v>1402</v>
      </c>
      <c r="N1032" s="5"/>
      <c r="O1032" s="1">
        <v>90.0</v>
      </c>
      <c r="P1032" s="5"/>
      <c r="Q1032" s="5"/>
      <c r="R1032" s="6" t="s">
        <v>3313</v>
      </c>
      <c r="S1032" s="5"/>
      <c r="T1032" s="1" t="str">
        <f>IFERROR(__xludf.DUMMYFUNCTION("INDEX(SPLIT(A1032, ""/""), 2)"),"انجمن‌های علمی و نشریات وابسته به دانشکده‌ها")</f>
        <v>انجمن‌های علمی و نشریات وابسته به دانشکده‌ها</v>
      </c>
      <c r="U1032" s="1" t="str">
        <f>IFERROR(__xludf.DUMMYFUNCTION("INDEX(SPLIT(A1032, ""/""), 3)"),"دانشکده مهندسی شیمی و نفت")</f>
        <v>دانشکده مهندسی شیمی و نفت</v>
      </c>
      <c r="V1032" s="1" t="str">
        <f>IFERROR(__xludf.DUMMYFUNCTION("INDEX(SPLIT(A1032, ""/""), 4)"),"دردانشکده")</f>
        <v>دردانشکده</v>
      </c>
    </row>
    <row r="1033">
      <c r="A1033" s="1" t="s">
        <v>3042</v>
      </c>
      <c r="B1033" s="1" t="s">
        <v>3314</v>
      </c>
      <c r="C1033" s="1" t="s">
        <v>21</v>
      </c>
      <c r="D1033" s="4" t="s">
        <v>3315</v>
      </c>
      <c r="E1033" s="1" t="s">
        <v>3132</v>
      </c>
      <c r="F1033" s="1" t="s">
        <v>3309</v>
      </c>
      <c r="G1033" s="1" t="s">
        <v>3297</v>
      </c>
      <c r="H1033" s="7" t="s">
        <v>3316</v>
      </c>
      <c r="I1033" s="1" t="str">
        <f t="shared" si="1"/>
        <v>1</v>
      </c>
      <c r="J1033" s="5"/>
      <c r="K1033" s="1" t="str">
        <f t="shared" si="2"/>
        <v>6</v>
      </c>
      <c r="L1033" s="5"/>
      <c r="M1033" s="2" t="str">
        <f t="shared" si="3"/>
        <v>1402</v>
      </c>
      <c r="N1033" s="5"/>
      <c r="O1033" s="1">
        <v>91.0</v>
      </c>
      <c r="P1033" s="5"/>
      <c r="Q1033" s="5"/>
      <c r="R1033" s="8" t="s">
        <v>3316</v>
      </c>
      <c r="S1033" s="5"/>
      <c r="T1033" s="1" t="str">
        <f>IFERROR(__xludf.DUMMYFUNCTION("INDEX(SPLIT(A1033, ""/""), 2)"),"انجمن‌های علمی و نشریات وابسته به دانشکده‌ها")</f>
        <v>انجمن‌های علمی و نشریات وابسته به دانشکده‌ها</v>
      </c>
      <c r="U1033" s="1" t="str">
        <f>IFERROR(__xludf.DUMMYFUNCTION("INDEX(SPLIT(A1033, ""/""), 3)"),"دانشکده مهندسی شیمی و نفت")</f>
        <v>دانشکده مهندسی شیمی و نفت</v>
      </c>
      <c r="V1033" s="1" t="str">
        <f>IFERROR(__xludf.DUMMYFUNCTION("INDEX(SPLIT(A1033, ""/""), 4)"),"دردانشکده")</f>
        <v>دردانشکده</v>
      </c>
    </row>
    <row r="1034">
      <c r="A1034" s="1" t="s">
        <v>3042</v>
      </c>
      <c r="B1034" s="1" t="s">
        <v>3317</v>
      </c>
      <c r="C1034" s="1" t="s">
        <v>21</v>
      </c>
      <c r="D1034" s="4" t="s">
        <v>3318</v>
      </c>
      <c r="E1034" s="1" t="s">
        <v>3132</v>
      </c>
      <c r="F1034" s="1" t="s">
        <v>3309</v>
      </c>
      <c r="G1034" s="1" t="s">
        <v>3319</v>
      </c>
      <c r="H1034" s="1" t="s">
        <v>3320</v>
      </c>
      <c r="I1034" s="1" t="str">
        <f t="shared" si="1"/>
        <v>22</v>
      </c>
      <c r="J1034" s="5"/>
      <c r="K1034" s="1" t="str">
        <f t="shared" si="2"/>
        <v>7</v>
      </c>
      <c r="L1034" s="5"/>
      <c r="M1034" s="2" t="str">
        <f t="shared" si="3"/>
        <v>1402</v>
      </c>
      <c r="N1034" s="5"/>
      <c r="O1034" s="1">
        <v>92.0</v>
      </c>
      <c r="P1034" s="5"/>
      <c r="Q1034" s="5"/>
      <c r="R1034" s="6" t="s">
        <v>3320</v>
      </c>
      <c r="S1034" s="5"/>
      <c r="T1034" s="1" t="str">
        <f>IFERROR(__xludf.DUMMYFUNCTION("INDEX(SPLIT(A1034, ""/""), 2)"),"انجمن‌های علمی و نشریات وابسته به دانشکده‌ها")</f>
        <v>انجمن‌های علمی و نشریات وابسته به دانشکده‌ها</v>
      </c>
      <c r="U1034" s="1" t="str">
        <f>IFERROR(__xludf.DUMMYFUNCTION("INDEX(SPLIT(A1034, ""/""), 3)"),"دانشکده مهندسی شیمی و نفت")</f>
        <v>دانشکده مهندسی شیمی و نفت</v>
      </c>
      <c r="V1034" s="1" t="str">
        <f>IFERROR(__xludf.DUMMYFUNCTION("INDEX(SPLIT(A1034, ""/""), 4)"),"دردانشکده")</f>
        <v>دردانشکده</v>
      </c>
    </row>
    <row r="1035">
      <c r="A1035" s="1" t="s">
        <v>3042</v>
      </c>
      <c r="B1035" s="1" t="s">
        <v>3321</v>
      </c>
      <c r="C1035" s="1" t="s">
        <v>21</v>
      </c>
      <c r="D1035" s="4" t="s">
        <v>3322</v>
      </c>
      <c r="E1035" s="1" t="s">
        <v>3132</v>
      </c>
      <c r="F1035" s="1" t="s">
        <v>3309</v>
      </c>
      <c r="G1035" s="1" t="s">
        <v>3297</v>
      </c>
      <c r="H1035" s="1" t="s">
        <v>3323</v>
      </c>
      <c r="I1035" s="1" t="str">
        <f t="shared" si="1"/>
        <v>14</v>
      </c>
      <c r="J1035" s="5"/>
      <c r="K1035" s="1" t="str">
        <f t="shared" si="2"/>
        <v>8</v>
      </c>
      <c r="L1035" s="5"/>
      <c r="M1035" s="2" t="str">
        <f t="shared" si="3"/>
        <v>1402</v>
      </c>
      <c r="N1035" s="5"/>
      <c r="O1035" s="1">
        <v>93.0</v>
      </c>
      <c r="P1035" s="5"/>
      <c r="Q1035" s="5"/>
      <c r="R1035" s="6" t="s">
        <v>3323</v>
      </c>
      <c r="S1035" s="5"/>
      <c r="T1035" s="1" t="str">
        <f>IFERROR(__xludf.DUMMYFUNCTION("INDEX(SPLIT(A1035, ""/""), 2)"),"انجمن‌های علمی و نشریات وابسته به دانشکده‌ها")</f>
        <v>انجمن‌های علمی و نشریات وابسته به دانشکده‌ها</v>
      </c>
      <c r="U1035" s="1" t="str">
        <f>IFERROR(__xludf.DUMMYFUNCTION("INDEX(SPLIT(A1035, ""/""), 3)"),"دانشکده مهندسی شیمی و نفت")</f>
        <v>دانشکده مهندسی شیمی و نفت</v>
      </c>
      <c r="V1035" s="1" t="str">
        <f>IFERROR(__xludf.DUMMYFUNCTION("INDEX(SPLIT(A1035, ""/""), 4)"),"دردانشکده")</f>
        <v>دردانشکده</v>
      </c>
    </row>
    <row r="1036">
      <c r="A1036" s="1" t="s">
        <v>3042</v>
      </c>
      <c r="B1036" s="1" t="s">
        <v>3324</v>
      </c>
      <c r="C1036" s="1" t="s">
        <v>21</v>
      </c>
      <c r="D1036" s="4" t="s">
        <v>3325</v>
      </c>
      <c r="E1036" s="1" t="s">
        <v>3132</v>
      </c>
      <c r="F1036" s="1" t="s">
        <v>3309</v>
      </c>
      <c r="G1036" s="1" t="s">
        <v>3319</v>
      </c>
      <c r="H1036" s="1" t="s">
        <v>3326</v>
      </c>
      <c r="I1036" s="1" t="str">
        <f t="shared" si="1"/>
        <v>27</v>
      </c>
      <c r="J1036" s="5"/>
      <c r="K1036" s="1" t="str">
        <f t="shared" si="2"/>
        <v>9</v>
      </c>
      <c r="L1036" s="5"/>
      <c r="M1036" s="2" t="str">
        <f t="shared" si="3"/>
        <v>1402</v>
      </c>
      <c r="N1036" s="5"/>
      <c r="O1036" s="1">
        <v>94.0</v>
      </c>
      <c r="P1036" s="5"/>
      <c r="Q1036" s="5"/>
      <c r="R1036" s="6" t="s">
        <v>3326</v>
      </c>
      <c r="S1036" s="5"/>
      <c r="T1036" s="1" t="str">
        <f>IFERROR(__xludf.DUMMYFUNCTION("INDEX(SPLIT(A1036, ""/""), 2)"),"انجمن‌های علمی و نشریات وابسته به دانشکده‌ها")</f>
        <v>انجمن‌های علمی و نشریات وابسته به دانشکده‌ها</v>
      </c>
      <c r="U1036" s="1" t="str">
        <f>IFERROR(__xludf.DUMMYFUNCTION("INDEX(SPLIT(A1036, ""/""), 3)"),"دانشکده مهندسی شیمی و نفت")</f>
        <v>دانشکده مهندسی شیمی و نفت</v>
      </c>
      <c r="V1036" s="1" t="str">
        <f>IFERROR(__xludf.DUMMYFUNCTION("INDEX(SPLIT(A1036, ""/""), 4)"),"دردانشکده")</f>
        <v>دردانشکده</v>
      </c>
    </row>
    <row r="1037">
      <c r="A1037" s="1" t="s">
        <v>3042</v>
      </c>
      <c r="B1037" s="1" t="s">
        <v>3327</v>
      </c>
      <c r="C1037" s="1" t="s">
        <v>21</v>
      </c>
      <c r="D1037" s="4" t="s">
        <v>3328</v>
      </c>
      <c r="E1037" s="1" t="s">
        <v>3132</v>
      </c>
      <c r="F1037" s="1" t="s">
        <v>3309</v>
      </c>
      <c r="G1037" s="1" t="s">
        <v>3319</v>
      </c>
      <c r="H1037" s="7" t="s">
        <v>3329</v>
      </c>
      <c r="I1037" s="1" t="str">
        <f t="shared" si="1"/>
        <v>12</v>
      </c>
      <c r="J1037" s="5"/>
      <c r="K1037" s="1" t="str">
        <f t="shared" si="2"/>
        <v>12</v>
      </c>
      <c r="L1037" s="5"/>
      <c r="M1037" s="2" t="str">
        <f t="shared" si="3"/>
        <v>1402</v>
      </c>
      <c r="N1037" s="5"/>
      <c r="O1037" s="1">
        <v>95.0</v>
      </c>
      <c r="P1037" s="5"/>
      <c r="Q1037" s="5"/>
      <c r="R1037" s="8" t="s">
        <v>3329</v>
      </c>
      <c r="S1037" s="5"/>
      <c r="T1037" s="1" t="str">
        <f>IFERROR(__xludf.DUMMYFUNCTION("INDEX(SPLIT(A1037, ""/""), 2)"),"انجمن‌های علمی و نشریات وابسته به دانشکده‌ها")</f>
        <v>انجمن‌های علمی و نشریات وابسته به دانشکده‌ها</v>
      </c>
      <c r="U1037" s="1" t="str">
        <f>IFERROR(__xludf.DUMMYFUNCTION("INDEX(SPLIT(A1037, ""/""), 3)"),"دانشکده مهندسی شیمی و نفت")</f>
        <v>دانشکده مهندسی شیمی و نفت</v>
      </c>
      <c r="V1037" s="1" t="str">
        <f>IFERROR(__xludf.DUMMYFUNCTION("INDEX(SPLIT(A1037, ""/""), 4)"),"دردانشکده")</f>
        <v>دردانشکده</v>
      </c>
    </row>
    <row r="1038">
      <c r="A1038" s="1" t="s">
        <v>3042</v>
      </c>
      <c r="B1038" s="1" t="s">
        <v>3330</v>
      </c>
      <c r="C1038" s="1" t="s">
        <v>21</v>
      </c>
      <c r="D1038" s="4" t="s">
        <v>3331</v>
      </c>
      <c r="E1038" s="1" t="s">
        <v>3132</v>
      </c>
      <c r="F1038" s="1" t="s">
        <v>3309</v>
      </c>
      <c r="G1038" s="1" t="s">
        <v>3319</v>
      </c>
      <c r="H1038" s="1" t="s">
        <v>3332</v>
      </c>
      <c r="I1038" s="1" t="str">
        <f t="shared" si="1"/>
        <v>20</v>
      </c>
      <c r="J1038" s="5"/>
      <c r="K1038" s="1" t="str">
        <f t="shared" si="2"/>
        <v>12</v>
      </c>
      <c r="L1038" s="5"/>
      <c r="M1038" s="2" t="str">
        <f t="shared" si="3"/>
        <v>1402</v>
      </c>
      <c r="N1038" s="5"/>
      <c r="O1038" s="1">
        <v>96.0</v>
      </c>
      <c r="P1038" s="5"/>
      <c r="Q1038" s="5"/>
      <c r="R1038" s="6" t="s">
        <v>3332</v>
      </c>
      <c r="S1038" s="5"/>
      <c r="T1038" s="1" t="str">
        <f>IFERROR(__xludf.DUMMYFUNCTION("INDEX(SPLIT(A1038, ""/""), 2)"),"انجمن‌های علمی و نشریات وابسته به دانشکده‌ها")</f>
        <v>انجمن‌های علمی و نشریات وابسته به دانشکده‌ها</v>
      </c>
      <c r="U1038" s="1" t="str">
        <f>IFERROR(__xludf.DUMMYFUNCTION("INDEX(SPLIT(A1038, ""/""), 3)"),"دانشکده مهندسی شیمی و نفت")</f>
        <v>دانشکده مهندسی شیمی و نفت</v>
      </c>
      <c r="V1038" s="1" t="str">
        <f>IFERROR(__xludf.DUMMYFUNCTION("INDEX(SPLIT(A1038, ""/""), 4)"),"دردانشکده")</f>
        <v>دردانشکده</v>
      </c>
    </row>
    <row r="1039">
      <c r="A1039" s="1" t="s">
        <v>3042</v>
      </c>
      <c r="B1039" s="1" t="s">
        <v>3333</v>
      </c>
      <c r="C1039" s="1" t="s">
        <v>21</v>
      </c>
      <c r="D1039" s="4" t="s">
        <v>3334</v>
      </c>
      <c r="E1039" s="1" t="s">
        <v>3132</v>
      </c>
      <c r="F1039" s="1" t="s">
        <v>3309</v>
      </c>
      <c r="G1039" s="1" t="s">
        <v>3319</v>
      </c>
      <c r="H1039" s="1" t="s">
        <v>3335</v>
      </c>
      <c r="I1039" s="1" t="str">
        <f t="shared" si="1"/>
        <v>28</v>
      </c>
      <c r="J1039" s="5"/>
      <c r="K1039" s="1" t="str">
        <f t="shared" si="2"/>
        <v>1</v>
      </c>
      <c r="L1039" s="5"/>
      <c r="M1039" s="2" t="str">
        <f t="shared" si="3"/>
        <v>1403</v>
      </c>
      <c r="N1039" s="5"/>
      <c r="O1039" s="1">
        <v>97.0</v>
      </c>
      <c r="P1039" s="5"/>
      <c r="Q1039" s="5"/>
      <c r="R1039" s="6" t="s">
        <v>3335</v>
      </c>
      <c r="S1039" s="5"/>
      <c r="T1039" s="1" t="str">
        <f>IFERROR(__xludf.DUMMYFUNCTION("INDEX(SPLIT(A1039, ""/""), 2)"),"انجمن‌های علمی و نشریات وابسته به دانشکده‌ها")</f>
        <v>انجمن‌های علمی و نشریات وابسته به دانشکده‌ها</v>
      </c>
      <c r="U1039" s="1" t="str">
        <f>IFERROR(__xludf.DUMMYFUNCTION("INDEX(SPLIT(A1039, ""/""), 3)"),"دانشکده مهندسی شیمی و نفت")</f>
        <v>دانشکده مهندسی شیمی و نفت</v>
      </c>
      <c r="V1039" s="1" t="str">
        <f>IFERROR(__xludf.DUMMYFUNCTION("INDEX(SPLIT(A1039, ""/""), 4)"),"دردانشکده")</f>
        <v>دردانشکده</v>
      </c>
    </row>
    <row r="1040">
      <c r="A1040" s="1" t="s">
        <v>3042</v>
      </c>
      <c r="B1040" s="1" t="s">
        <v>3336</v>
      </c>
      <c r="C1040" s="1" t="s">
        <v>21</v>
      </c>
      <c r="D1040" s="4" t="s">
        <v>3337</v>
      </c>
      <c r="E1040" s="1" t="s">
        <v>3132</v>
      </c>
      <c r="F1040" s="1" t="s">
        <v>3338</v>
      </c>
      <c r="G1040" s="1" t="s">
        <v>3319</v>
      </c>
      <c r="H1040" s="1" t="s">
        <v>471</v>
      </c>
      <c r="I1040" s="1" t="str">
        <f t="shared" si="1"/>
        <v>x</v>
      </c>
      <c r="J1040" s="5"/>
      <c r="K1040" s="1" t="str">
        <f t="shared" si="2"/>
        <v>3</v>
      </c>
      <c r="L1040" s="5"/>
      <c r="M1040" s="2" t="str">
        <f t="shared" si="3"/>
        <v>1403</v>
      </c>
      <c r="N1040" s="5"/>
      <c r="O1040" s="1">
        <v>98.0</v>
      </c>
      <c r="P1040" s="5"/>
      <c r="Q1040" s="5"/>
      <c r="R1040" s="6" t="s">
        <v>472</v>
      </c>
      <c r="S1040" s="5"/>
      <c r="T1040" s="1" t="str">
        <f>IFERROR(__xludf.DUMMYFUNCTION("INDEX(SPLIT(A1040, ""/""), 2)"),"انجمن‌های علمی و نشریات وابسته به دانشکده‌ها")</f>
        <v>انجمن‌های علمی و نشریات وابسته به دانشکده‌ها</v>
      </c>
      <c r="U1040" s="1" t="str">
        <f>IFERROR(__xludf.DUMMYFUNCTION("INDEX(SPLIT(A1040, ""/""), 3)"),"دانشکده مهندسی شیمی و نفت")</f>
        <v>دانشکده مهندسی شیمی و نفت</v>
      </c>
      <c r="V1040" s="1" t="str">
        <f>IFERROR(__xludf.DUMMYFUNCTION("INDEX(SPLIT(A1040, ""/""), 4)"),"دردانشکده")</f>
        <v>دردانشکده</v>
      </c>
    </row>
    <row r="1041">
      <c r="A1041" s="1" t="s">
        <v>3042</v>
      </c>
      <c r="B1041" s="1" t="s">
        <v>3339</v>
      </c>
      <c r="C1041" s="1" t="s">
        <v>21</v>
      </c>
      <c r="D1041" s="4" t="s">
        <v>3340</v>
      </c>
      <c r="E1041" s="1" t="s">
        <v>3132</v>
      </c>
      <c r="F1041" s="1" t="s">
        <v>3338</v>
      </c>
      <c r="G1041" s="1" t="s">
        <v>3341</v>
      </c>
      <c r="H1041" s="1" t="s">
        <v>1364</v>
      </c>
      <c r="I1041" s="1" t="str">
        <f t="shared" si="1"/>
        <v>x</v>
      </c>
      <c r="J1041" s="5"/>
      <c r="K1041" s="1" t="str">
        <f t="shared" si="2"/>
        <v>5</v>
      </c>
      <c r="L1041" s="5"/>
      <c r="M1041" s="2" t="str">
        <f t="shared" si="3"/>
        <v>1403</v>
      </c>
      <c r="N1041" s="5"/>
      <c r="O1041" s="1">
        <v>99.0</v>
      </c>
      <c r="P1041" s="5"/>
      <c r="Q1041" s="5"/>
      <c r="R1041" s="6" t="s">
        <v>1365</v>
      </c>
      <c r="S1041" s="5"/>
      <c r="T1041" s="1" t="str">
        <f>IFERROR(__xludf.DUMMYFUNCTION("INDEX(SPLIT(A1041, ""/""), 2)"),"انجمن‌های علمی و نشریات وابسته به دانشکده‌ها")</f>
        <v>انجمن‌های علمی و نشریات وابسته به دانشکده‌ها</v>
      </c>
      <c r="U1041" s="1" t="str">
        <f>IFERROR(__xludf.DUMMYFUNCTION("INDEX(SPLIT(A1041, ""/""), 3)"),"دانشکده مهندسی شیمی و نفت")</f>
        <v>دانشکده مهندسی شیمی و نفت</v>
      </c>
      <c r="V1041" s="1" t="str">
        <f>IFERROR(__xludf.DUMMYFUNCTION("INDEX(SPLIT(A1041, ""/""), 4)"),"دردانشکده")</f>
        <v>دردانشکده</v>
      </c>
    </row>
    <row r="1042">
      <c r="A1042" s="1" t="s">
        <v>3042</v>
      </c>
      <c r="B1042" s="1" t="s">
        <v>3342</v>
      </c>
      <c r="C1042" s="1" t="s">
        <v>21</v>
      </c>
      <c r="D1042" s="4" t="s">
        <v>3343</v>
      </c>
      <c r="E1042" s="1" t="s">
        <v>3132</v>
      </c>
      <c r="F1042" s="1" t="s">
        <v>3338</v>
      </c>
      <c r="G1042" s="1" t="s">
        <v>3341</v>
      </c>
      <c r="H1042" s="1" t="s">
        <v>475</v>
      </c>
      <c r="I1042" s="1" t="str">
        <f t="shared" si="1"/>
        <v>x</v>
      </c>
      <c r="J1042" s="5"/>
      <c r="K1042" s="1" t="str">
        <f t="shared" si="2"/>
        <v>6</v>
      </c>
      <c r="L1042" s="5"/>
      <c r="M1042" s="2" t="str">
        <f t="shared" si="3"/>
        <v>1403</v>
      </c>
      <c r="N1042" s="5"/>
      <c r="O1042" s="1">
        <v>100.0</v>
      </c>
      <c r="P1042" s="5"/>
      <c r="Q1042" s="5"/>
      <c r="R1042" s="6" t="s">
        <v>476</v>
      </c>
      <c r="S1042" s="5"/>
      <c r="T1042" s="1" t="str">
        <f>IFERROR(__xludf.DUMMYFUNCTION("INDEX(SPLIT(A1042, ""/""), 2)"),"انجمن‌های علمی و نشریات وابسته به دانشکده‌ها")</f>
        <v>انجمن‌های علمی و نشریات وابسته به دانشکده‌ها</v>
      </c>
      <c r="U1042" s="1" t="str">
        <f>IFERROR(__xludf.DUMMYFUNCTION("INDEX(SPLIT(A1042, ""/""), 3)"),"دانشکده مهندسی شیمی و نفت")</f>
        <v>دانشکده مهندسی شیمی و نفت</v>
      </c>
      <c r="V1042" s="1" t="str">
        <f>IFERROR(__xludf.DUMMYFUNCTION("INDEX(SPLIT(A1042, ""/""), 4)"),"دردانشکده")</f>
        <v>دردانشکده</v>
      </c>
    </row>
    <row r="1043">
      <c r="A1043" s="1" t="s">
        <v>3042</v>
      </c>
      <c r="B1043" s="1" t="s">
        <v>3344</v>
      </c>
      <c r="C1043" s="1" t="s">
        <v>21</v>
      </c>
      <c r="D1043" s="4" t="s">
        <v>3345</v>
      </c>
      <c r="E1043" s="1" t="s">
        <v>3132</v>
      </c>
      <c r="F1043" s="1" t="s">
        <v>3338</v>
      </c>
      <c r="G1043" s="1" t="s">
        <v>3341</v>
      </c>
      <c r="H1043" s="1" t="s">
        <v>728</v>
      </c>
      <c r="I1043" s="1" t="str">
        <f t="shared" si="1"/>
        <v>x</v>
      </c>
      <c r="J1043" s="5"/>
      <c r="K1043" s="1" t="str">
        <f t="shared" si="2"/>
        <v>8</v>
      </c>
      <c r="L1043" s="5"/>
      <c r="M1043" s="2" t="str">
        <f t="shared" si="3"/>
        <v>1403</v>
      </c>
      <c r="N1043" s="5"/>
      <c r="O1043" s="1">
        <v>101.0</v>
      </c>
      <c r="P1043" s="5"/>
      <c r="Q1043" s="5"/>
      <c r="R1043" s="6" t="s">
        <v>729</v>
      </c>
      <c r="S1043" s="5"/>
      <c r="T1043" s="1" t="str">
        <f>IFERROR(__xludf.DUMMYFUNCTION("INDEX(SPLIT(A1043, ""/""), 2)"),"انجمن‌های علمی و نشریات وابسته به دانشکده‌ها")</f>
        <v>انجمن‌های علمی و نشریات وابسته به دانشکده‌ها</v>
      </c>
      <c r="U1043" s="1" t="str">
        <f>IFERROR(__xludf.DUMMYFUNCTION("INDEX(SPLIT(A1043, ""/""), 3)"),"دانشکده مهندسی شیمی و نفت")</f>
        <v>دانشکده مهندسی شیمی و نفت</v>
      </c>
      <c r="V1043" s="1" t="str">
        <f>IFERROR(__xludf.DUMMYFUNCTION("INDEX(SPLIT(A1043, ""/""), 4)"),"دردانشکده")</f>
        <v>دردانشکده</v>
      </c>
    </row>
    <row r="1044">
      <c r="A1044" s="1" t="s">
        <v>3042</v>
      </c>
      <c r="B1044" s="1" t="s">
        <v>3346</v>
      </c>
      <c r="C1044" s="1" t="s">
        <v>21</v>
      </c>
      <c r="D1044" s="4" t="s">
        <v>3347</v>
      </c>
      <c r="E1044" s="1" t="s">
        <v>3132</v>
      </c>
      <c r="F1044" s="1" t="s">
        <v>3338</v>
      </c>
      <c r="G1044" s="1" t="s">
        <v>3341</v>
      </c>
      <c r="H1044" s="1" t="s">
        <v>3348</v>
      </c>
      <c r="I1044" s="1" t="str">
        <f t="shared" si="1"/>
        <v>17</v>
      </c>
      <c r="J1044" s="5"/>
      <c r="K1044" s="1" t="str">
        <f t="shared" si="2"/>
        <v>8</v>
      </c>
      <c r="L1044" s="5"/>
      <c r="M1044" s="2" t="str">
        <f t="shared" si="3"/>
        <v>1403</v>
      </c>
      <c r="N1044" s="5"/>
      <c r="O1044" s="1">
        <v>102.0</v>
      </c>
      <c r="P1044" s="5"/>
      <c r="Q1044" s="5"/>
      <c r="R1044" s="6" t="s">
        <v>3348</v>
      </c>
      <c r="S1044" s="5"/>
      <c r="T1044" s="1" t="str">
        <f>IFERROR(__xludf.DUMMYFUNCTION("INDEX(SPLIT(A1044, ""/""), 2)"),"انجمن‌های علمی و نشریات وابسته به دانشکده‌ها")</f>
        <v>انجمن‌های علمی و نشریات وابسته به دانشکده‌ها</v>
      </c>
      <c r="U1044" s="1" t="str">
        <f>IFERROR(__xludf.DUMMYFUNCTION("INDEX(SPLIT(A1044, ""/""), 3)"),"دانشکده مهندسی شیمی و نفت")</f>
        <v>دانشکده مهندسی شیمی و نفت</v>
      </c>
      <c r="V1044" s="1" t="str">
        <f>IFERROR(__xludf.DUMMYFUNCTION("INDEX(SPLIT(A1044, ""/""), 4)"),"دردانشکده")</f>
        <v>دردانشکده</v>
      </c>
    </row>
    <row r="1045">
      <c r="A1045" s="1" t="s">
        <v>3042</v>
      </c>
      <c r="B1045" s="1" t="s">
        <v>3349</v>
      </c>
      <c r="C1045" s="1" t="s">
        <v>21</v>
      </c>
      <c r="D1045" s="4" t="s">
        <v>3350</v>
      </c>
      <c r="E1045" s="1" t="s">
        <v>3132</v>
      </c>
      <c r="F1045" s="1" t="s">
        <v>3338</v>
      </c>
      <c r="G1045" s="1" t="s">
        <v>3341</v>
      </c>
      <c r="H1045" s="7" t="s">
        <v>3351</v>
      </c>
      <c r="I1045" s="1" t="str">
        <f t="shared" si="1"/>
        <v>12</v>
      </c>
      <c r="J1045" s="5"/>
      <c r="K1045" s="1" t="str">
        <f t="shared" si="2"/>
        <v>10</v>
      </c>
      <c r="L1045" s="5"/>
      <c r="M1045" s="2" t="str">
        <f t="shared" si="3"/>
        <v>1403</v>
      </c>
      <c r="N1045" s="5"/>
      <c r="O1045" s="1">
        <v>103.0</v>
      </c>
      <c r="P1045" s="5"/>
      <c r="Q1045" s="5"/>
      <c r="R1045" s="8" t="s">
        <v>3351</v>
      </c>
      <c r="S1045" s="5"/>
      <c r="T1045" s="1" t="str">
        <f>IFERROR(__xludf.DUMMYFUNCTION("INDEX(SPLIT(A1045, ""/""), 2)"),"انجمن‌های علمی و نشریات وابسته به دانشکده‌ها")</f>
        <v>انجمن‌های علمی و نشریات وابسته به دانشکده‌ها</v>
      </c>
      <c r="U1045" s="1" t="str">
        <f>IFERROR(__xludf.DUMMYFUNCTION("INDEX(SPLIT(A1045, ""/""), 3)"),"دانشکده مهندسی شیمی و نفت")</f>
        <v>دانشکده مهندسی شیمی و نفت</v>
      </c>
      <c r="V1045" s="1" t="str">
        <f>IFERROR(__xludf.DUMMYFUNCTION("INDEX(SPLIT(A1045, ""/""), 4)"),"دردانشکده")</f>
        <v>دردانشکده</v>
      </c>
    </row>
    <row r="1046">
      <c r="A1046" s="1" t="s">
        <v>3042</v>
      </c>
      <c r="B1046" s="1" t="s">
        <v>3352</v>
      </c>
      <c r="C1046" s="1" t="s">
        <v>21</v>
      </c>
      <c r="D1046" s="4" t="s">
        <v>3353</v>
      </c>
      <c r="E1046" s="1" t="s">
        <v>3132</v>
      </c>
      <c r="F1046" s="1" t="s">
        <v>3338</v>
      </c>
      <c r="G1046" s="1" t="s">
        <v>3341</v>
      </c>
      <c r="H1046" s="1" t="s">
        <v>3354</v>
      </c>
      <c r="I1046" s="1" t="str">
        <f t="shared" si="1"/>
        <v>24</v>
      </c>
      <c r="J1046" s="5"/>
      <c r="K1046" s="1" t="str">
        <f t="shared" si="2"/>
        <v>12</v>
      </c>
      <c r="L1046" s="5"/>
      <c r="M1046" s="2" t="str">
        <f t="shared" si="3"/>
        <v>1403</v>
      </c>
      <c r="N1046" s="5"/>
      <c r="O1046" s="1">
        <v>104.0</v>
      </c>
      <c r="P1046" s="5"/>
      <c r="Q1046" s="5"/>
      <c r="R1046" s="6" t="s">
        <v>3354</v>
      </c>
      <c r="S1046" s="5"/>
      <c r="T1046" s="1" t="str">
        <f>IFERROR(__xludf.DUMMYFUNCTION("INDEX(SPLIT(A1046, ""/""), 2)"),"انجمن‌های علمی و نشریات وابسته به دانشکده‌ها")</f>
        <v>انجمن‌های علمی و نشریات وابسته به دانشکده‌ها</v>
      </c>
      <c r="U1046" s="1" t="str">
        <f>IFERROR(__xludf.DUMMYFUNCTION("INDEX(SPLIT(A1046, ""/""), 3)"),"دانشکده مهندسی شیمی و نفت")</f>
        <v>دانشکده مهندسی شیمی و نفت</v>
      </c>
      <c r="V1046" s="1" t="str">
        <f>IFERROR(__xludf.DUMMYFUNCTION("INDEX(SPLIT(A1046, ""/""), 4)"),"دردانشکده")</f>
        <v>دردانشکده</v>
      </c>
    </row>
    <row r="1047">
      <c r="A1047" s="1" t="s">
        <v>3042</v>
      </c>
      <c r="B1047" s="1" t="s">
        <v>3355</v>
      </c>
      <c r="C1047" s="1" t="s">
        <v>21</v>
      </c>
      <c r="D1047" s="4" t="s">
        <v>3356</v>
      </c>
      <c r="E1047" s="1" t="s">
        <v>3132</v>
      </c>
      <c r="F1047" s="1" t="s">
        <v>3338</v>
      </c>
      <c r="G1047" s="1" t="s">
        <v>3357</v>
      </c>
      <c r="H1047" s="7" t="s">
        <v>3358</v>
      </c>
      <c r="I1047" s="1" t="str">
        <f t="shared" si="1"/>
        <v>4</v>
      </c>
      <c r="J1047" s="5"/>
      <c r="K1047" s="1" t="str">
        <f t="shared" si="2"/>
        <v>2</v>
      </c>
      <c r="L1047" s="5"/>
      <c r="M1047" s="2" t="str">
        <f t="shared" si="3"/>
        <v>1404</v>
      </c>
      <c r="N1047" s="5"/>
      <c r="O1047" s="1">
        <v>105.0</v>
      </c>
      <c r="P1047" s="5"/>
      <c r="Q1047" s="5"/>
      <c r="R1047" s="8" t="s">
        <v>3358</v>
      </c>
      <c r="S1047" s="5"/>
      <c r="T1047" s="1" t="str">
        <f>IFERROR(__xludf.DUMMYFUNCTION("INDEX(SPLIT(A1047, ""/""), 2)"),"انجمن‌های علمی و نشریات وابسته به دانشکده‌ها")</f>
        <v>انجمن‌های علمی و نشریات وابسته به دانشکده‌ها</v>
      </c>
      <c r="U1047" s="1" t="str">
        <f>IFERROR(__xludf.DUMMYFUNCTION("INDEX(SPLIT(A1047, ""/""), 3)"),"دانشکده مهندسی شیمی و نفت")</f>
        <v>دانشکده مهندسی شیمی و نفت</v>
      </c>
      <c r="V1047" s="1" t="str">
        <f>IFERROR(__xludf.DUMMYFUNCTION("INDEX(SPLIT(A1047, ""/""), 4)"),"دردانشکده")</f>
        <v>دردانشکده</v>
      </c>
    </row>
    <row r="1048">
      <c r="A1048" s="1" t="s">
        <v>3042</v>
      </c>
      <c r="B1048" s="1" t="s">
        <v>3359</v>
      </c>
      <c r="C1048" s="1" t="s">
        <v>21</v>
      </c>
      <c r="D1048" s="4" t="s">
        <v>3360</v>
      </c>
      <c r="E1048" s="1" t="s">
        <v>3132</v>
      </c>
      <c r="F1048" s="1" t="s">
        <v>3338</v>
      </c>
      <c r="G1048" s="1" t="s">
        <v>3357</v>
      </c>
      <c r="H1048" s="1" t="s">
        <v>3361</v>
      </c>
      <c r="I1048" s="1" t="str">
        <f t="shared" si="1"/>
        <v>23</v>
      </c>
      <c r="J1048" s="5"/>
      <c r="K1048" s="1" t="str">
        <f t="shared" si="2"/>
        <v>4</v>
      </c>
      <c r="L1048" s="5"/>
      <c r="M1048" s="2" t="str">
        <f t="shared" si="3"/>
        <v>1404</v>
      </c>
      <c r="N1048" s="5"/>
      <c r="O1048" s="1">
        <v>106.0</v>
      </c>
      <c r="P1048" s="5"/>
      <c r="Q1048" s="5"/>
      <c r="R1048" s="6" t="s">
        <v>3361</v>
      </c>
      <c r="S1048" s="5"/>
      <c r="T1048" s="1" t="str">
        <f>IFERROR(__xludf.DUMMYFUNCTION("INDEX(SPLIT(A1048, ""/""), 2)"),"انجمن‌های علمی و نشریات وابسته به دانشکده‌ها")</f>
        <v>انجمن‌های علمی و نشریات وابسته به دانشکده‌ها</v>
      </c>
      <c r="U1048" s="1" t="str">
        <f>IFERROR(__xludf.DUMMYFUNCTION("INDEX(SPLIT(A1048, ""/""), 3)"),"دانشکده مهندسی شیمی و نفت")</f>
        <v>دانشکده مهندسی شیمی و نفت</v>
      </c>
      <c r="V1048" s="1" t="str">
        <f>IFERROR(__xludf.DUMMYFUNCTION("INDEX(SPLIT(A1048, ""/""), 4)"),"دردانشکده")</f>
        <v>دردانشکده</v>
      </c>
    </row>
    <row r="1049">
      <c r="A1049" s="1" t="s">
        <v>3042</v>
      </c>
      <c r="B1049" s="1" t="s">
        <v>3362</v>
      </c>
      <c r="C1049" s="1" t="s">
        <v>21</v>
      </c>
      <c r="D1049" s="4" t="s">
        <v>3363</v>
      </c>
      <c r="E1049" s="1" t="s">
        <v>3132</v>
      </c>
      <c r="F1049" s="1" t="s">
        <v>3338</v>
      </c>
      <c r="G1049" s="1" t="s">
        <v>3357</v>
      </c>
      <c r="H1049" s="7" t="s">
        <v>3364</v>
      </c>
      <c r="I1049" s="1" t="str">
        <f t="shared" si="1"/>
        <v>4</v>
      </c>
      <c r="J1049" s="5"/>
      <c r="K1049" s="1" t="str">
        <f t="shared" si="2"/>
        <v>5</v>
      </c>
      <c r="L1049" s="5"/>
      <c r="M1049" s="2" t="str">
        <f t="shared" si="3"/>
        <v>1404</v>
      </c>
      <c r="N1049" s="5"/>
      <c r="O1049" s="1">
        <v>107.0</v>
      </c>
      <c r="P1049" s="5"/>
      <c r="Q1049" s="5"/>
      <c r="R1049" s="8" t="s">
        <v>3364</v>
      </c>
      <c r="S1049" s="5"/>
      <c r="T1049" s="1" t="str">
        <f>IFERROR(__xludf.DUMMYFUNCTION("INDEX(SPLIT(A1049, ""/""), 2)"),"انجمن‌های علمی و نشریات وابسته به دانشکده‌ها")</f>
        <v>انجمن‌های علمی و نشریات وابسته به دانشکده‌ها</v>
      </c>
      <c r="U1049" s="1" t="str">
        <f>IFERROR(__xludf.DUMMYFUNCTION("INDEX(SPLIT(A1049, ""/""), 3)"),"دانشکده مهندسی شیمی و نفت")</f>
        <v>دانشکده مهندسی شیمی و نفت</v>
      </c>
      <c r="V1049" s="1" t="str">
        <f>IFERROR(__xludf.DUMMYFUNCTION("INDEX(SPLIT(A1049, ""/""), 4)"),"دردانشکده")</f>
        <v>دردانشکده</v>
      </c>
    </row>
    <row r="1050">
      <c r="A1050" s="1" t="s">
        <v>3365</v>
      </c>
      <c r="B1050" s="1" t="s">
        <v>3366</v>
      </c>
      <c r="C1050" s="1" t="s">
        <v>21</v>
      </c>
      <c r="D1050" s="4" t="s">
        <v>3367</v>
      </c>
      <c r="E1050" s="1" t="s">
        <v>3368</v>
      </c>
      <c r="F1050" s="1" t="s">
        <v>3369</v>
      </c>
      <c r="G1050" s="1" t="s">
        <v>3370</v>
      </c>
      <c r="H1050" s="1" t="s">
        <v>608</v>
      </c>
      <c r="I1050" s="1" t="str">
        <f t="shared" si="1"/>
        <v>x</v>
      </c>
      <c r="J1050" s="5"/>
      <c r="K1050" s="1" t="str">
        <f t="shared" si="2"/>
        <v>11</v>
      </c>
      <c r="L1050" s="5"/>
      <c r="M1050" s="2" t="str">
        <f t="shared" si="3"/>
        <v>1396</v>
      </c>
      <c r="N1050" s="5"/>
      <c r="O1050" s="2">
        <v>1.0</v>
      </c>
      <c r="P1050" s="5"/>
      <c r="Q1050" s="5"/>
      <c r="R1050" s="6" t="s">
        <v>609</v>
      </c>
      <c r="S1050" s="5"/>
      <c r="T1050" s="1" t="str">
        <f>IFERROR(__xludf.DUMMYFUNCTION("INDEX(SPLIT(A1050, ""/""), 2)"),"انجمن‌های علمی و نشریات وابسته به دانشکده‌ها")</f>
        <v>انجمن‌های علمی و نشریات وابسته به دانشکده‌ها</v>
      </c>
      <c r="U1050" s="1" t="str">
        <f>IFERROR(__xludf.DUMMYFUNCTION("INDEX(SPLIT(A1050, ""/""), 3)"),"انجمن‌های علمی غیردانشکده‌ای")</f>
        <v>انجمن‌های علمی غیردانشکده‌ای</v>
      </c>
      <c r="V1050" s="1" t="str">
        <f>IFERROR(__xludf.DUMMYFUNCTION("INDEX(SPLIT(A1050, ""/""), 4)"),"دریچه")</f>
        <v>دریچه</v>
      </c>
    </row>
    <row r="1051">
      <c r="A1051" s="1" t="s">
        <v>3365</v>
      </c>
      <c r="B1051" s="1" t="s">
        <v>3371</v>
      </c>
      <c r="C1051" s="1" t="s">
        <v>21</v>
      </c>
      <c r="D1051" s="4" t="s">
        <v>3372</v>
      </c>
      <c r="E1051" s="1" t="s">
        <v>3368</v>
      </c>
      <c r="F1051" s="1" t="s">
        <v>3373</v>
      </c>
      <c r="G1051" s="1" t="s">
        <v>3374</v>
      </c>
      <c r="H1051" s="1" t="s">
        <v>287</v>
      </c>
      <c r="I1051" s="1" t="str">
        <f t="shared" si="1"/>
        <v>x</v>
      </c>
      <c r="J1051" s="5"/>
      <c r="K1051" s="1" t="str">
        <f t="shared" si="2"/>
        <v>12</v>
      </c>
      <c r="L1051" s="5"/>
      <c r="M1051" s="2" t="str">
        <f t="shared" si="3"/>
        <v>1396</v>
      </c>
      <c r="N1051" s="5"/>
      <c r="O1051" s="2">
        <v>2.0</v>
      </c>
      <c r="P1051" s="5"/>
      <c r="Q1051" s="5"/>
      <c r="R1051" s="6" t="s">
        <v>288</v>
      </c>
      <c r="S1051" s="5"/>
      <c r="T1051" s="1" t="str">
        <f>IFERROR(__xludf.DUMMYFUNCTION("INDEX(SPLIT(A1051, ""/""), 2)"),"انجمن‌های علمی و نشریات وابسته به دانشکده‌ها")</f>
        <v>انجمن‌های علمی و نشریات وابسته به دانشکده‌ها</v>
      </c>
      <c r="U1051" s="1" t="str">
        <f>IFERROR(__xludf.DUMMYFUNCTION("INDEX(SPLIT(A1051, ""/""), 3)"),"انجمن‌های علمی غیردانشکده‌ای")</f>
        <v>انجمن‌های علمی غیردانشکده‌ای</v>
      </c>
      <c r="V1051" s="1" t="str">
        <f>IFERROR(__xludf.DUMMYFUNCTION("INDEX(SPLIT(A1051, ""/""), 4)"),"دریچه")</f>
        <v>دریچه</v>
      </c>
    </row>
    <row r="1052">
      <c r="A1052" s="1" t="s">
        <v>3365</v>
      </c>
      <c r="B1052" s="1" t="s">
        <v>3375</v>
      </c>
      <c r="C1052" s="1" t="s">
        <v>21</v>
      </c>
      <c r="D1052" s="4" t="s">
        <v>3376</v>
      </c>
      <c r="E1052" s="1" t="s">
        <v>3368</v>
      </c>
      <c r="F1052" s="1" t="s">
        <v>3373</v>
      </c>
      <c r="G1052" s="1" t="s">
        <v>3374</v>
      </c>
      <c r="H1052" s="1" t="s">
        <v>2313</v>
      </c>
      <c r="I1052" s="1" t="str">
        <f t="shared" si="1"/>
        <v>x</v>
      </c>
      <c r="J1052" s="5"/>
      <c r="K1052" s="1" t="str">
        <f t="shared" si="2"/>
        <v>2</v>
      </c>
      <c r="L1052" s="5"/>
      <c r="M1052" s="2" t="str">
        <f t="shared" si="3"/>
        <v>1397</v>
      </c>
      <c r="N1052" s="5"/>
      <c r="O1052" s="2">
        <v>3.0</v>
      </c>
      <c r="P1052" s="5"/>
      <c r="Q1052" s="5"/>
      <c r="R1052" s="6" t="s">
        <v>2314</v>
      </c>
      <c r="S1052" s="5"/>
      <c r="T1052" s="1" t="str">
        <f>IFERROR(__xludf.DUMMYFUNCTION("INDEX(SPLIT(A1052, ""/""), 2)"),"انجمن‌های علمی و نشریات وابسته به دانشکده‌ها")</f>
        <v>انجمن‌های علمی و نشریات وابسته به دانشکده‌ها</v>
      </c>
      <c r="U1052" s="1" t="str">
        <f>IFERROR(__xludf.DUMMYFUNCTION("INDEX(SPLIT(A1052, ""/""), 3)"),"انجمن‌های علمی غیردانشکده‌ای")</f>
        <v>انجمن‌های علمی غیردانشکده‌ای</v>
      </c>
      <c r="V1052" s="1" t="str">
        <f>IFERROR(__xludf.DUMMYFUNCTION("INDEX(SPLIT(A1052, ""/""), 4)"),"دریچه")</f>
        <v>دریچه</v>
      </c>
    </row>
    <row r="1053">
      <c r="A1053" s="1" t="s">
        <v>3377</v>
      </c>
      <c r="B1053" s="1" t="s">
        <v>3378</v>
      </c>
      <c r="C1053" s="1" t="s">
        <v>21</v>
      </c>
      <c r="D1053" s="4" t="s">
        <v>3379</v>
      </c>
      <c r="E1053" s="1" t="s">
        <v>3380</v>
      </c>
      <c r="F1053" s="1" t="s">
        <v>3381</v>
      </c>
      <c r="G1053" s="1" t="s">
        <v>3382</v>
      </c>
      <c r="H1053" s="1" t="s">
        <v>3088</v>
      </c>
      <c r="I1053" s="1" t="str">
        <f t="shared" si="1"/>
        <v>x</v>
      </c>
      <c r="J1053" s="5"/>
      <c r="K1053" s="1" t="str">
        <f t="shared" si="2"/>
        <v>x</v>
      </c>
      <c r="L1053" s="1">
        <v>1.0</v>
      </c>
      <c r="M1053" s="2" t="str">
        <f t="shared" si="3"/>
        <v>1393</v>
      </c>
      <c r="N1053" s="1">
        <v>1.0</v>
      </c>
      <c r="O1053" s="2">
        <v>1.0</v>
      </c>
      <c r="P1053" s="1"/>
      <c r="Q1053" s="1"/>
      <c r="R1053" s="8" t="s">
        <v>1725</v>
      </c>
      <c r="S1053" s="5"/>
      <c r="T1053" s="1" t="str">
        <f>IFERROR(__xludf.DUMMYFUNCTION("INDEX(SPLIT(A1053, ""/""), 2)"),"انجمن‌های علمی و نشریات وابسته به دانشکده‌ها")</f>
        <v>انجمن‌های علمی و نشریات وابسته به دانشکده‌ها</v>
      </c>
      <c r="U1053" s="1" t="str">
        <f>IFERROR(__xludf.DUMMYFUNCTION("INDEX(SPLIT(A1053, ""/""), 3)"),"دانشکده مهندسی کامپیوتر")</f>
        <v>دانشکده مهندسی کامپیوتر</v>
      </c>
      <c r="V1053" s="1" t="str">
        <f>IFERROR(__xludf.DUMMYFUNCTION("INDEX(SPLIT(A1053, ""/""), 4)"),"رایانش")</f>
        <v>رایانش</v>
      </c>
    </row>
    <row r="1054">
      <c r="A1054" s="1" t="s">
        <v>3377</v>
      </c>
      <c r="B1054" s="1" t="s">
        <v>3383</v>
      </c>
      <c r="C1054" s="1" t="s">
        <v>21</v>
      </c>
      <c r="D1054" s="4" t="s">
        <v>3384</v>
      </c>
      <c r="E1054" s="1" t="s">
        <v>3380</v>
      </c>
      <c r="F1054" s="1" t="s">
        <v>3381</v>
      </c>
      <c r="G1054" s="1" t="s">
        <v>3382</v>
      </c>
      <c r="H1054" s="1" t="s">
        <v>3385</v>
      </c>
      <c r="I1054" s="1" t="str">
        <f t="shared" si="1"/>
        <v>x</v>
      </c>
      <c r="J1054" s="5"/>
      <c r="K1054" s="1" t="str">
        <f t="shared" si="2"/>
        <v>7</v>
      </c>
      <c r="L1054" s="5"/>
      <c r="M1054" s="2" t="str">
        <f t="shared" si="3"/>
        <v>1393</v>
      </c>
      <c r="N1054" s="1">
        <v>1.0</v>
      </c>
      <c r="O1054" s="2">
        <v>2.0</v>
      </c>
      <c r="P1054" s="5"/>
      <c r="Q1054" s="5"/>
      <c r="R1054" s="6" t="s">
        <v>3386</v>
      </c>
      <c r="S1054" s="5"/>
      <c r="T1054" s="1" t="str">
        <f>IFERROR(__xludf.DUMMYFUNCTION("INDEX(SPLIT(A1054, ""/""), 2)"),"انجمن‌های علمی و نشریات وابسته به دانشکده‌ها")</f>
        <v>انجمن‌های علمی و نشریات وابسته به دانشکده‌ها</v>
      </c>
      <c r="U1054" s="1" t="str">
        <f>IFERROR(__xludf.DUMMYFUNCTION("INDEX(SPLIT(A1054, ""/""), 3)"),"دانشکده مهندسی کامپیوتر")</f>
        <v>دانشکده مهندسی کامپیوتر</v>
      </c>
      <c r="V1054" s="1" t="str">
        <f>IFERROR(__xludf.DUMMYFUNCTION("INDEX(SPLIT(A1054, ""/""), 4)"),"رایانش")</f>
        <v>رایانش</v>
      </c>
    </row>
    <row r="1055">
      <c r="A1055" s="1" t="s">
        <v>3377</v>
      </c>
      <c r="B1055" s="1" t="s">
        <v>3387</v>
      </c>
      <c r="C1055" s="1" t="s">
        <v>21</v>
      </c>
      <c r="D1055" s="4" t="s">
        <v>3388</v>
      </c>
      <c r="E1055" s="1" t="s">
        <v>3380</v>
      </c>
      <c r="F1055" s="1" t="s">
        <v>3381</v>
      </c>
      <c r="G1055" s="1" t="s">
        <v>3382</v>
      </c>
      <c r="H1055" s="1" t="s">
        <v>3389</v>
      </c>
      <c r="I1055" s="1" t="str">
        <f t="shared" si="1"/>
        <v>x</v>
      </c>
      <c r="J1055" s="5"/>
      <c r="K1055" s="1" t="str">
        <f t="shared" si="2"/>
        <v>8</v>
      </c>
      <c r="L1055" s="5"/>
      <c r="M1055" s="2" t="str">
        <f t="shared" si="3"/>
        <v>1393</v>
      </c>
      <c r="N1055" s="1">
        <v>1.0</v>
      </c>
      <c r="O1055" s="2">
        <v>3.0</v>
      </c>
      <c r="P1055" s="5"/>
      <c r="Q1055" s="5"/>
      <c r="R1055" s="6" t="s">
        <v>3390</v>
      </c>
      <c r="S1055" s="5"/>
      <c r="T1055" s="1" t="str">
        <f>IFERROR(__xludf.DUMMYFUNCTION("INDEX(SPLIT(A1055, ""/""), 2)"),"انجمن‌های علمی و نشریات وابسته به دانشکده‌ها")</f>
        <v>انجمن‌های علمی و نشریات وابسته به دانشکده‌ها</v>
      </c>
      <c r="U1055" s="1" t="str">
        <f>IFERROR(__xludf.DUMMYFUNCTION("INDEX(SPLIT(A1055, ""/""), 3)"),"دانشکده مهندسی کامپیوتر")</f>
        <v>دانشکده مهندسی کامپیوتر</v>
      </c>
      <c r="V1055" s="1" t="str">
        <f>IFERROR(__xludf.DUMMYFUNCTION("INDEX(SPLIT(A1055, ""/""), 4)"),"رایانش")</f>
        <v>رایانش</v>
      </c>
    </row>
    <row r="1056">
      <c r="A1056" s="1" t="s">
        <v>3377</v>
      </c>
      <c r="B1056" s="1" t="s">
        <v>3391</v>
      </c>
      <c r="C1056" s="1" t="s">
        <v>21</v>
      </c>
      <c r="D1056" s="4" t="s">
        <v>3392</v>
      </c>
      <c r="E1056" s="1" t="s">
        <v>3380</v>
      </c>
      <c r="F1056" s="1" t="s">
        <v>3381</v>
      </c>
      <c r="G1056" s="1" t="s">
        <v>3382</v>
      </c>
      <c r="H1056" s="1" t="s">
        <v>3393</v>
      </c>
      <c r="I1056" s="1" t="str">
        <f t="shared" si="1"/>
        <v>x</v>
      </c>
      <c r="J1056" s="5"/>
      <c r="K1056" s="1" t="str">
        <f t="shared" si="2"/>
        <v>9</v>
      </c>
      <c r="L1056" s="5"/>
      <c r="M1056" s="2" t="str">
        <f t="shared" si="3"/>
        <v>1393</v>
      </c>
      <c r="N1056" s="1">
        <v>1.0</v>
      </c>
      <c r="O1056" s="2">
        <v>4.0</v>
      </c>
      <c r="P1056" s="5"/>
      <c r="Q1056" s="5"/>
      <c r="R1056" s="6" t="s">
        <v>3394</v>
      </c>
      <c r="S1056" s="5"/>
      <c r="T1056" s="1" t="str">
        <f>IFERROR(__xludf.DUMMYFUNCTION("INDEX(SPLIT(A1056, ""/""), 2)"),"انجمن‌های علمی و نشریات وابسته به دانشکده‌ها")</f>
        <v>انجمن‌های علمی و نشریات وابسته به دانشکده‌ها</v>
      </c>
      <c r="U1056" s="1" t="str">
        <f>IFERROR(__xludf.DUMMYFUNCTION("INDEX(SPLIT(A1056, ""/""), 3)"),"دانشکده مهندسی کامپیوتر")</f>
        <v>دانشکده مهندسی کامپیوتر</v>
      </c>
      <c r="V1056" s="1" t="str">
        <f>IFERROR(__xludf.DUMMYFUNCTION("INDEX(SPLIT(A1056, ""/""), 4)"),"رایانش")</f>
        <v>رایانش</v>
      </c>
    </row>
    <row r="1057">
      <c r="A1057" s="1" t="s">
        <v>3377</v>
      </c>
      <c r="B1057" s="1" t="s">
        <v>3395</v>
      </c>
      <c r="C1057" s="1" t="s">
        <v>21</v>
      </c>
      <c r="D1057" s="4" t="s">
        <v>3396</v>
      </c>
      <c r="E1057" s="1" t="s">
        <v>3380</v>
      </c>
      <c r="F1057" s="1" t="s">
        <v>3381</v>
      </c>
      <c r="G1057" s="1" t="s">
        <v>3382</v>
      </c>
      <c r="H1057" s="1" t="s">
        <v>3397</v>
      </c>
      <c r="I1057" s="1" t="str">
        <f t="shared" si="1"/>
        <v>x</v>
      </c>
      <c r="J1057" s="5"/>
      <c r="K1057" s="1" t="str">
        <f t="shared" si="2"/>
        <v>12</v>
      </c>
      <c r="L1057" s="5"/>
      <c r="M1057" s="2" t="str">
        <f t="shared" si="3"/>
        <v>1393</v>
      </c>
      <c r="N1057" s="1">
        <v>1.0</v>
      </c>
      <c r="O1057" s="2">
        <v>5.0</v>
      </c>
      <c r="P1057" s="5"/>
      <c r="Q1057" s="5"/>
      <c r="R1057" s="6" t="s">
        <v>3398</v>
      </c>
      <c r="S1057" s="5"/>
      <c r="T1057" s="1" t="str">
        <f>IFERROR(__xludf.DUMMYFUNCTION("INDEX(SPLIT(A1057, ""/""), 2)"),"انجمن‌های علمی و نشریات وابسته به دانشکده‌ها")</f>
        <v>انجمن‌های علمی و نشریات وابسته به دانشکده‌ها</v>
      </c>
      <c r="U1057" s="1" t="str">
        <f>IFERROR(__xludf.DUMMYFUNCTION("INDEX(SPLIT(A1057, ""/""), 3)"),"دانشکده مهندسی کامپیوتر")</f>
        <v>دانشکده مهندسی کامپیوتر</v>
      </c>
      <c r="V1057" s="1" t="str">
        <f>IFERROR(__xludf.DUMMYFUNCTION("INDEX(SPLIT(A1057, ""/""), 4)"),"رایانش")</f>
        <v>رایانش</v>
      </c>
    </row>
    <row r="1058">
      <c r="A1058" s="1" t="s">
        <v>3377</v>
      </c>
      <c r="B1058" s="1" t="s">
        <v>3399</v>
      </c>
      <c r="C1058" s="1" t="s">
        <v>21</v>
      </c>
      <c r="D1058" s="4" t="s">
        <v>3400</v>
      </c>
      <c r="E1058" s="1" t="s">
        <v>3380</v>
      </c>
      <c r="F1058" s="1" t="s">
        <v>3382</v>
      </c>
      <c r="G1058" s="1" t="s">
        <v>3401</v>
      </c>
      <c r="H1058" s="1" t="s">
        <v>3402</v>
      </c>
      <c r="I1058" s="1" t="str">
        <f t="shared" si="1"/>
        <v>x</v>
      </c>
      <c r="J1058" s="5"/>
      <c r="K1058" s="1" t="str">
        <f t="shared" si="2"/>
        <v>9</v>
      </c>
      <c r="L1058" s="5"/>
      <c r="M1058" s="2" t="str">
        <f t="shared" si="3"/>
        <v>1395</v>
      </c>
      <c r="N1058" s="1">
        <v>2.0</v>
      </c>
      <c r="O1058" s="2">
        <v>0.0</v>
      </c>
      <c r="P1058" s="5"/>
      <c r="Q1058" s="5"/>
      <c r="R1058" s="6" t="s">
        <v>1969</v>
      </c>
      <c r="S1058" s="5"/>
      <c r="T1058" s="1" t="str">
        <f>IFERROR(__xludf.DUMMYFUNCTION("INDEX(SPLIT(A1058, ""/""), 2)"),"انجمن‌های علمی و نشریات وابسته به دانشکده‌ها")</f>
        <v>انجمن‌های علمی و نشریات وابسته به دانشکده‌ها</v>
      </c>
      <c r="U1058" s="1" t="str">
        <f>IFERROR(__xludf.DUMMYFUNCTION("INDEX(SPLIT(A1058, ""/""), 3)"),"دانشکده مهندسی کامپیوتر")</f>
        <v>دانشکده مهندسی کامپیوتر</v>
      </c>
      <c r="V1058" s="1" t="str">
        <f>IFERROR(__xludf.DUMMYFUNCTION("INDEX(SPLIT(A1058, ""/""), 4)"),"رایانش")</f>
        <v>رایانش</v>
      </c>
    </row>
    <row r="1059">
      <c r="A1059" s="1" t="s">
        <v>3377</v>
      </c>
      <c r="B1059" s="1" t="s">
        <v>3403</v>
      </c>
      <c r="C1059" s="1" t="s">
        <v>21</v>
      </c>
      <c r="D1059" s="4" t="s">
        <v>3404</v>
      </c>
      <c r="E1059" s="1" t="s">
        <v>3380</v>
      </c>
      <c r="F1059" s="1" t="s">
        <v>3405</v>
      </c>
      <c r="G1059" s="1" t="s">
        <v>3406</v>
      </c>
      <c r="H1059" s="1" t="s">
        <v>1571</v>
      </c>
      <c r="I1059" s="1" t="str">
        <f t="shared" si="1"/>
        <v>20</v>
      </c>
      <c r="J1059" s="5"/>
      <c r="K1059" s="1" t="str">
        <f t="shared" si="2"/>
        <v>8</v>
      </c>
      <c r="L1059" s="5"/>
      <c r="M1059" s="2" t="str">
        <f t="shared" si="3"/>
        <v>1396</v>
      </c>
      <c r="N1059" s="1">
        <v>2.0</v>
      </c>
      <c r="O1059" s="2">
        <v>1.0</v>
      </c>
      <c r="P1059" s="5"/>
      <c r="Q1059" s="5"/>
      <c r="R1059" s="6" t="s">
        <v>1571</v>
      </c>
      <c r="S1059" s="5"/>
      <c r="T1059" s="1" t="str">
        <f>IFERROR(__xludf.DUMMYFUNCTION("INDEX(SPLIT(A1059, ""/""), 2)"),"انجمن‌های علمی و نشریات وابسته به دانشکده‌ها")</f>
        <v>انجمن‌های علمی و نشریات وابسته به دانشکده‌ها</v>
      </c>
      <c r="U1059" s="1" t="str">
        <f>IFERROR(__xludf.DUMMYFUNCTION("INDEX(SPLIT(A1059, ""/""), 3)"),"دانشکده مهندسی کامپیوتر")</f>
        <v>دانشکده مهندسی کامپیوتر</v>
      </c>
      <c r="V1059" s="1" t="str">
        <f>IFERROR(__xludf.DUMMYFUNCTION("INDEX(SPLIT(A1059, ""/""), 4)"),"رایانش")</f>
        <v>رایانش</v>
      </c>
    </row>
    <row r="1060">
      <c r="A1060" s="1" t="s">
        <v>3377</v>
      </c>
      <c r="B1060" s="1" t="s">
        <v>3407</v>
      </c>
      <c r="C1060" s="1" t="s">
        <v>21</v>
      </c>
      <c r="D1060" s="4" t="s">
        <v>3408</v>
      </c>
      <c r="E1060" s="1" t="s">
        <v>3380</v>
      </c>
      <c r="F1060" s="1" t="s">
        <v>3405</v>
      </c>
      <c r="G1060" s="1" t="s">
        <v>3406</v>
      </c>
      <c r="H1060" s="1" t="s">
        <v>1241</v>
      </c>
      <c r="I1060" s="1" t="str">
        <f t="shared" si="1"/>
        <v>20</v>
      </c>
      <c r="J1060" s="5"/>
      <c r="K1060" s="1" t="str">
        <f t="shared" si="2"/>
        <v>9</v>
      </c>
      <c r="L1060" s="5"/>
      <c r="M1060" s="2" t="str">
        <f t="shared" si="3"/>
        <v>1396</v>
      </c>
      <c r="N1060" s="1">
        <v>2.0</v>
      </c>
      <c r="O1060" s="2">
        <v>2.0</v>
      </c>
      <c r="P1060" s="5"/>
      <c r="Q1060" s="5"/>
      <c r="R1060" s="6" t="s">
        <v>1241</v>
      </c>
      <c r="S1060" s="5"/>
      <c r="T1060" s="1" t="str">
        <f>IFERROR(__xludf.DUMMYFUNCTION("INDEX(SPLIT(A1060, ""/""), 2)"),"انجمن‌های علمی و نشریات وابسته به دانشکده‌ها")</f>
        <v>انجمن‌های علمی و نشریات وابسته به دانشکده‌ها</v>
      </c>
      <c r="U1060" s="1" t="str">
        <f>IFERROR(__xludf.DUMMYFUNCTION("INDEX(SPLIT(A1060, ""/""), 3)"),"دانشکده مهندسی کامپیوتر")</f>
        <v>دانشکده مهندسی کامپیوتر</v>
      </c>
      <c r="V1060" s="1" t="str">
        <f>IFERROR(__xludf.DUMMYFUNCTION("INDEX(SPLIT(A1060, ""/""), 4)"),"رایانش")</f>
        <v>رایانش</v>
      </c>
    </row>
    <row r="1061">
      <c r="A1061" s="1" t="s">
        <v>3377</v>
      </c>
      <c r="B1061" s="1" t="s">
        <v>3409</v>
      </c>
      <c r="C1061" s="1" t="s">
        <v>21</v>
      </c>
      <c r="D1061" s="4" t="s">
        <v>3410</v>
      </c>
      <c r="E1061" s="1" t="s">
        <v>3380</v>
      </c>
      <c r="F1061" s="1" t="s">
        <v>3405</v>
      </c>
      <c r="G1061" s="1" t="s">
        <v>3406</v>
      </c>
      <c r="H1061" s="1" t="s">
        <v>3411</v>
      </c>
      <c r="I1061" s="1" t="str">
        <f t="shared" si="1"/>
        <v>23</v>
      </c>
      <c r="J1061" s="5"/>
      <c r="K1061" s="1" t="str">
        <f t="shared" si="2"/>
        <v>10</v>
      </c>
      <c r="L1061" s="5"/>
      <c r="M1061" s="2" t="str">
        <f t="shared" si="3"/>
        <v>1396</v>
      </c>
      <c r="N1061" s="1">
        <v>2.0</v>
      </c>
      <c r="O1061" s="2">
        <v>3.0</v>
      </c>
      <c r="P1061" s="5"/>
      <c r="Q1061" s="5"/>
      <c r="R1061" s="6" t="s">
        <v>3411</v>
      </c>
      <c r="S1061" s="5"/>
      <c r="T1061" s="1" t="str">
        <f>IFERROR(__xludf.DUMMYFUNCTION("INDEX(SPLIT(A1061, ""/""), 2)"),"انجمن‌های علمی و نشریات وابسته به دانشکده‌ها")</f>
        <v>انجمن‌های علمی و نشریات وابسته به دانشکده‌ها</v>
      </c>
      <c r="U1061" s="1" t="str">
        <f>IFERROR(__xludf.DUMMYFUNCTION("INDEX(SPLIT(A1061, ""/""), 3)"),"دانشکده مهندسی کامپیوتر")</f>
        <v>دانشکده مهندسی کامپیوتر</v>
      </c>
      <c r="V1061" s="1" t="str">
        <f>IFERROR(__xludf.DUMMYFUNCTION("INDEX(SPLIT(A1061, ""/""), 4)"),"رایانش")</f>
        <v>رایانش</v>
      </c>
    </row>
    <row r="1062">
      <c r="A1062" s="1" t="s">
        <v>3377</v>
      </c>
      <c r="B1062" s="1" t="s">
        <v>3412</v>
      </c>
      <c r="C1062" s="1" t="s">
        <v>21</v>
      </c>
      <c r="D1062" s="4" t="s">
        <v>3413</v>
      </c>
      <c r="E1062" s="1" t="s">
        <v>3380</v>
      </c>
      <c r="F1062" s="1" t="s">
        <v>3405</v>
      </c>
      <c r="G1062" s="1" t="s">
        <v>3406</v>
      </c>
      <c r="H1062" s="7" t="s">
        <v>3414</v>
      </c>
      <c r="I1062" s="1" t="str">
        <f t="shared" si="1"/>
        <v>12</v>
      </c>
      <c r="J1062" s="5"/>
      <c r="K1062" s="1" t="str">
        <f t="shared" si="2"/>
        <v>12</v>
      </c>
      <c r="L1062" s="5"/>
      <c r="M1062" s="2" t="str">
        <f t="shared" si="3"/>
        <v>1396</v>
      </c>
      <c r="N1062" s="1">
        <v>2.0</v>
      </c>
      <c r="O1062" s="2">
        <v>4.0</v>
      </c>
      <c r="P1062" s="5"/>
      <c r="Q1062" s="5"/>
      <c r="R1062" s="8" t="s">
        <v>3414</v>
      </c>
      <c r="S1062" s="5"/>
      <c r="T1062" s="1" t="str">
        <f>IFERROR(__xludf.DUMMYFUNCTION("INDEX(SPLIT(A1062, ""/""), 2)"),"انجمن‌های علمی و نشریات وابسته به دانشکده‌ها")</f>
        <v>انجمن‌های علمی و نشریات وابسته به دانشکده‌ها</v>
      </c>
      <c r="U1062" s="1" t="str">
        <f>IFERROR(__xludf.DUMMYFUNCTION("INDEX(SPLIT(A1062, ""/""), 3)"),"دانشکده مهندسی کامپیوتر")</f>
        <v>دانشکده مهندسی کامپیوتر</v>
      </c>
      <c r="V1062" s="1" t="str">
        <f>IFERROR(__xludf.DUMMYFUNCTION("INDEX(SPLIT(A1062, ""/""), 4)"),"رایانش")</f>
        <v>رایانش</v>
      </c>
    </row>
    <row r="1063">
      <c r="A1063" s="1" t="s">
        <v>3377</v>
      </c>
      <c r="B1063" s="1" t="s">
        <v>3415</v>
      </c>
      <c r="C1063" s="1" t="s">
        <v>21</v>
      </c>
      <c r="D1063" s="4" t="s">
        <v>3416</v>
      </c>
      <c r="E1063" s="1" t="s">
        <v>3380</v>
      </c>
      <c r="F1063" s="1" t="s">
        <v>3405</v>
      </c>
      <c r="G1063" s="1" t="s">
        <v>3406</v>
      </c>
      <c r="H1063" s="1" t="s">
        <v>3417</v>
      </c>
      <c r="I1063" s="1" t="str">
        <f t="shared" si="1"/>
        <v>20</v>
      </c>
      <c r="J1063" s="5"/>
      <c r="K1063" s="1" t="str">
        <f t="shared" si="2"/>
        <v>1</v>
      </c>
      <c r="L1063" s="5"/>
      <c r="M1063" s="2" t="str">
        <f t="shared" si="3"/>
        <v>1397</v>
      </c>
      <c r="N1063" s="1">
        <v>2.0</v>
      </c>
      <c r="O1063" s="2">
        <v>5.0</v>
      </c>
      <c r="P1063" s="5"/>
      <c r="Q1063" s="5"/>
      <c r="R1063" s="6" t="s">
        <v>3417</v>
      </c>
      <c r="S1063" s="5"/>
      <c r="T1063" s="1" t="str">
        <f>IFERROR(__xludf.DUMMYFUNCTION("INDEX(SPLIT(A1063, ""/""), 2)"),"انجمن‌های علمی و نشریات وابسته به دانشکده‌ها")</f>
        <v>انجمن‌های علمی و نشریات وابسته به دانشکده‌ها</v>
      </c>
      <c r="U1063" s="1" t="str">
        <f>IFERROR(__xludf.DUMMYFUNCTION("INDEX(SPLIT(A1063, ""/""), 3)"),"دانشکده مهندسی کامپیوتر")</f>
        <v>دانشکده مهندسی کامپیوتر</v>
      </c>
      <c r="V1063" s="1" t="str">
        <f>IFERROR(__xludf.DUMMYFUNCTION("INDEX(SPLIT(A1063, ""/""), 4)"),"رایانش")</f>
        <v>رایانش</v>
      </c>
    </row>
    <row r="1064">
      <c r="A1064" s="1" t="s">
        <v>3377</v>
      </c>
      <c r="B1064" s="1" t="s">
        <v>3418</v>
      </c>
      <c r="C1064" s="1" t="s">
        <v>21</v>
      </c>
      <c r="D1064" s="4" t="s">
        <v>3419</v>
      </c>
      <c r="E1064" s="1" t="s">
        <v>3380</v>
      </c>
      <c r="F1064" s="1" t="s">
        <v>1401</v>
      </c>
      <c r="G1064" s="1" t="s">
        <v>3420</v>
      </c>
      <c r="H1064" s="1" t="s">
        <v>2314</v>
      </c>
      <c r="I1064" s="1" t="str">
        <f t="shared" si="1"/>
        <v>15</v>
      </c>
      <c r="J1064" s="5"/>
      <c r="K1064" s="1" t="str">
        <f t="shared" si="2"/>
        <v>2</v>
      </c>
      <c r="L1064" s="5"/>
      <c r="M1064" s="2" t="str">
        <f t="shared" si="3"/>
        <v>1397</v>
      </c>
      <c r="N1064" s="1">
        <v>2.0</v>
      </c>
      <c r="O1064" s="2">
        <v>6.0</v>
      </c>
      <c r="P1064" s="5"/>
      <c r="Q1064" s="5"/>
      <c r="R1064" s="6" t="s">
        <v>2314</v>
      </c>
      <c r="S1064" s="5"/>
      <c r="T1064" s="1" t="str">
        <f>IFERROR(__xludf.DUMMYFUNCTION("INDEX(SPLIT(A1064, ""/""), 2)"),"انجمن‌های علمی و نشریات وابسته به دانشکده‌ها")</f>
        <v>انجمن‌های علمی و نشریات وابسته به دانشکده‌ها</v>
      </c>
      <c r="U1064" s="1" t="str">
        <f>IFERROR(__xludf.DUMMYFUNCTION("INDEX(SPLIT(A1064, ""/""), 3)"),"دانشکده مهندسی کامپیوتر")</f>
        <v>دانشکده مهندسی کامپیوتر</v>
      </c>
      <c r="V1064" s="1" t="str">
        <f>IFERROR(__xludf.DUMMYFUNCTION("INDEX(SPLIT(A1064, ""/""), 4)"),"رایانش")</f>
        <v>رایانش</v>
      </c>
    </row>
    <row r="1065">
      <c r="A1065" s="1" t="s">
        <v>3377</v>
      </c>
      <c r="B1065" s="1" t="s">
        <v>3421</v>
      </c>
      <c r="C1065" s="1" t="s">
        <v>21</v>
      </c>
      <c r="D1065" s="4" t="s">
        <v>3422</v>
      </c>
      <c r="E1065" s="1" t="s">
        <v>3380</v>
      </c>
      <c r="F1065" s="1" t="s">
        <v>1401</v>
      </c>
      <c r="G1065" s="1" t="s">
        <v>3420</v>
      </c>
      <c r="H1065" s="7" t="s">
        <v>3423</v>
      </c>
      <c r="I1065" s="1" t="str">
        <f t="shared" si="1"/>
        <v>5</v>
      </c>
      <c r="J1065" s="5"/>
      <c r="K1065" s="1" t="str">
        <f t="shared" si="2"/>
        <v>4</v>
      </c>
      <c r="L1065" s="5"/>
      <c r="M1065" s="2" t="str">
        <f t="shared" si="3"/>
        <v>1397</v>
      </c>
      <c r="N1065" s="1">
        <v>2.0</v>
      </c>
      <c r="O1065" s="2">
        <v>7.0</v>
      </c>
      <c r="P1065" s="5"/>
      <c r="Q1065" s="5"/>
      <c r="R1065" s="8" t="s">
        <v>3423</v>
      </c>
      <c r="S1065" s="5"/>
      <c r="T1065" s="1" t="str">
        <f>IFERROR(__xludf.DUMMYFUNCTION("INDEX(SPLIT(A1065, ""/""), 2)"),"انجمن‌های علمی و نشریات وابسته به دانشکده‌ها")</f>
        <v>انجمن‌های علمی و نشریات وابسته به دانشکده‌ها</v>
      </c>
      <c r="U1065" s="1" t="str">
        <f>IFERROR(__xludf.DUMMYFUNCTION("INDEX(SPLIT(A1065, ""/""), 3)"),"دانشکده مهندسی کامپیوتر")</f>
        <v>دانشکده مهندسی کامپیوتر</v>
      </c>
      <c r="V1065" s="1" t="str">
        <f>IFERROR(__xludf.DUMMYFUNCTION("INDEX(SPLIT(A1065, ""/""), 4)"),"رایانش")</f>
        <v>رایانش</v>
      </c>
    </row>
    <row r="1066">
      <c r="A1066" s="1" t="s">
        <v>3377</v>
      </c>
      <c r="B1066" s="1" t="s">
        <v>3424</v>
      </c>
      <c r="C1066" s="1" t="s">
        <v>3425</v>
      </c>
      <c r="D1066" s="4" t="s">
        <v>3426</v>
      </c>
      <c r="E1066" s="1" t="s">
        <v>3380</v>
      </c>
      <c r="F1066" s="1" t="s">
        <v>1401</v>
      </c>
      <c r="G1066" s="1" t="s">
        <v>3420</v>
      </c>
      <c r="H1066" s="1" t="s">
        <v>344</v>
      </c>
      <c r="I1066" s="1" t="str">
        <f t="shared" si="1"/>
        <v>15</v>
      </c>
      <c r="J1066" s="5"/>
      <c r="K1066" s="1" t="str">
        <f t="shared" si="2"/>
        <v>6</v>
      </c>
      <c r="L1066" s="5"/>
      <c r="M1066" s="2" t="str">
        <f t="shared" si="3"/>
        <v>1397</v>
      </c>
      <c r="N1066" s="1">
        <v>2.0</v>
      </c>
      <c r="O1066" s="2" t="s">
        <v>3427</v>
      </c>
      <c r="P1066" s="5"/>
      <c r="Q1066" s="5"/>
      <c r="R1066" s="6" t="s">
        <v>344</v>
      </c>
      <c r="S1066" s="5"/>
      <c r="T1066" s="1" t="str">
        <f>IFERROR(__xludf.DUMMYFUNCTION("INDEX(SPLIT(A1066, ""/""), 2)"),"انجمن‌های علمی و نشریات وابسته به دانشکده‌ها")</f>
        <v>انجمن‌های علمی و نشریات وابسته به دانشکده‌ها</v>
      </c>
      <c r="U1066" s="1" t="str">
        <f>IFERROR(__xludf.DUMMYFUNCTION("INDEX(SPLIT(A1066, ""/""), 3)"),"دانشکده مهندسی کامپیوتر")</f>
        <v>دانشکده مهندسی کامپیوتر</v>
      </c>
      <c r="V1066" s="1" t="str">
        <f>IFERROR(__xludf.DUMMYFUNCTION("INDEX(SPLIT(A1066, ""/""), 4)"),"رایانش")</f>
        <v>رایانش</v>
      </c>
    </row>
    <row r="1067">
      <c r="A1067" s="1" t="s">
        <v>3377</v>
      </c>
      <c r="B1067" s="1" t="s">
        <v>3428</v>
      </c>
      <c r="C1067" s="1" t="s">
        <v>21</v>
      </c>
      <c r="D1067" s="4" t="s">
        <v>3429</v>
      </c>
      <c r="E1067" s="1" t="s">
        <v>3380</v>
      </c>
      <c r="F1067" s="1" t="s">
        <v>1401</v>
      </c>
      <c r="G1067" s="1" t="s">
        <v>3420</v>
      </c>
      <c r="H1067" s="7" t="s">
        <v>3430</v>
      </c>
      <c r="I1067" s="1" t="str">
        <f t="shared" si="1"/>
        <v>10</v>
      </c>
      <c r="J1067" s="5"/>
      <c r="K1067" s="1" t="str">
        <f t="shared" si="2"/>
        <v>7</v>
      </c>
      <c r="L1067" s="5"/>
      <c r="M1067" s="2" t="str">
        <f t="shared" si="3"/>
        <v>1397</v>
      </c>
      <c r="N1067" s="1">
        <v>2.0</v>
      </c>
      <c r="O1067" s="2">
        <v>8.0</v>
      </c>
      <c r="P1067" s="5"/>
      <c r="Q1067" s="5"/>
      <c r="R1067" s="8" t="s">
        <v>3430</v>
      </c>
      <c r="S1067" s="5"/>
      <c r="T1067" s="1" t="str">
        <f>IFERROR(__xludf.DUMMYFUNCTION("INDEX(SPLIT(A1067, ""/""), 2)"),"انجمن‌های علمی و نشریات وابسته به دانشکده‌ها")</f>
        <v>انجمن‌های علمی و نشریات وابسته به دانشکده‌ها</v>
      </c>
      <c r="U1067" s="1" t="str">
        <f>IFERROR(__xludf.DUMMYFUNCTION("INDEX(SPLIT(A1067, ""/""), 3)"),"دانشکده مهندسی کامپیوتر")</f>
        <v>دانشکده مهندسی کامپیوتر</v>
      </c>
      <c r="V1067" s="1" t="str">
        <f>IFERROR(__xludf.DUMMYFUNCTION("INDEX(SPLIT(A1067, ""/""), 4)"),"رایانش")</f>
        <v>رایانش</v>
      </c>
    </row>
    <row r="1068">
      <c r="A1068" s="1" t="s">
        <v>3377</v>
      </c>
      <c r="B1068" s="1" t="s">
        <v>3431</v>
      </c>
      <c r="C1068" s="1" t="s">
        <v>21</v>
      </c>
      <c r="D1068" s="4" t="s">
        <v>3432</v>
      </c>
      <c r="E1068" s="1" t="s">
        <v>3380</v>
      </c>
      <c r="F1068" s="1" t="s">
        <v>1401</v>
      </c>
      <c r="G1068" s="1" t="s">
        <v>3420</v>
      </c>
      <c r="H1068" s="1" t="s">
        <v>3433</v>
      </c>
      <c r="I1068" s="1" t="str">
        <f t="shared" si="1"/>
        <v>13</v>
      </c>
      <c r="J1068" s="5"/>
      <c r="K1068" s="1" t="str">
        <f t="shared" si="2"/>
        <v>9</v>
      </c>
      <c r="L1068" s="5"/>
      <c r="M1068" s="2" t="str">
        <f t="shared" si="3"/>
        <v>1397</v>
      </c>
      <c r="N1068" s="1">
        <v>2.0</v>
      </c>
      <c r="O1068" s="2">
        <v>9.0</v>
      </c>
      <c r="P1068" s="5"/>
      <c r="Q1068" s="5"/>
      <c r="R1068" s="6" t="s">
        <v>3433</v>
      </c>
      <c r="S1068" s="5"/>
      <c r="T1068" s="1" t="str">
        <f>IFERROR(__xludf.DUMMYFUNCTION("INDEX(SPLIT(A1068, ""/""), 2)"),"انجمن‌های علمی و نشریات وابسته به دانشکده‌ها")</f>
        <v>انجمن‌های علمی و نشریات وابسته به دانشکده‌ها</v>
      </c>
      <c r="U1068" s="1" t="str">
        <f>IFERROR(__xludf.DUMMYFUNCTION("INDEX(SPLIT(A1068, ""/""), 3)"),"دانشکده مهندسی کامپیوتر")</f>
        <v>دانشکده مهندسی کامپیوتر</v>
      </c>
      <c r="V1068" s="1" t="str">
        <f>IFERROR(__xludf.DUMMYFUNCTION("INDEX(SPLIT(A1068, ""/""), 4)"),"رایانش")</f>
        <v>رایانش</v>
      </c>
    </row>
    <row r="1069">
      <c r="A1069" s="1" t="s">
        <v>3377</v>
      </c>
      <c r="B1069" s="1" t="s">
        <v>3434</v>
      </c>
      <c r="C1069" s="1" t="s">
        <v>21</v>
      </c>
      <c r="D1069" s="4" t="s">
        <v>3435</v>
      </c>
      <c r="E1069" s="1" t="s">
        <v>3380</v>
      </c>
      <c r="F1069" s="1" t="s">
        <v>1401</v>
      </c>
      <c r="G1069" s="1" t="s">
        <v>3420</v>
      </c>
      <c r="H1069" s="1" t="s">
        <v>178</v>
      </c>
      <c r="I1069" s="1" t="str">
        <f t="shared" si="1"/>
        <v>15</v>
      </c>
      <c r="J1069" s="5"/>
      <c r="K1069" s="1" t="str">
        <f t="shared" si="2"/>
        <v>11</v>
      </c>
      <c r="L1069" s="5"/>
      <c r="M1069" s="2" t="str">
        <f t="shared" si="3"/>
        <v>1397</v>
      </c>
      <c r="N1069" s="1">
        <v>2.0</v>
      </c>
      <c r="O1069" s="2">
        <v>10.0</v>
      </c>
      <c r="P1069" s="5"/>
      <c r="Q1069" s="5"/>
      <c r="R1069" s="6" t="s">
        <v>178</v>
      </c>
      <c r="S1069" s="5"/>
      <c r="T1069" s="1" t="str">
        <f>IFERROR(__xludf.DUMMYFUNCTION("INDEX(SPLIT(A1069, ""/""), 2)"),"انجمن‌های علمی و نشریات وابسته به دانشکده‌ها")</f>
        <v>انجمن‌های علمی و نشریات وابسته به دانشکده‌ها</v>
      </c>
      <c r="U1069" s="1" t="str">
        <f>IFERROR(__xludf.DUMMYFUNCTION("INDEX(SPLIT(A1069, ""/""), 3)"),"دانشکده مهندسی کامپیوتر")</f>
        <v>دانشکده مهندسی کامپیوتر</v>
      </c>
      <c r="V1069" s="1" t="str">
        <f>IFERROR(__xludf.DUMMYFUNCTION("INDEX(SPLIT(A1069, ""/""), 4)"),"رایانش")</f>
        <v>رایانش</v>
      </c>
    </row>
    <row r="1070">
      <c r="A1070" s="1" t="s">
        <v>3377</v>
      </c>
      <c r="B1070" s="1" t="s">
        <v>3436</v>
      </c>
      <c r="C1070" s="1" t="s">
        <v>3425</v>
      </c>
      <c r="D1070" s="4" t="s">
        <v>3437</v>
      </c>
      <c r="E1070" s="1" t="s">
        <v>3380</v>
      </c>
      <c r="F1070" s="1" t="s">
        <v>1401</v>
      </c>
      <c r="G1070" s="1" t="s">
        <v>3438</v>
      </c>
      <c r="H1070" s="1" t="s">
        <v>3439</v>
      </c>
      <c r="I1070" s="1" t="str">
        <f t="shared" si="1"/>
        <v>29</v>
      </c>
      <c r="J1070" s="5"/>
      <c r="K1070" s="1" t="str">
        <f t="shared" si="2"/>
        <v>12</v>
      </c>
      <c r="L1070" s="5"/>
      <c r="M1070" s="2" t="str">
        <f t="shared" si="3"/>
        <v>1397</v>
      </c>
      <c r="N1070" s="1">
        <v>2.0</v>
      </c>
      <c r="O1070" s="2" t="s">
        <v>3440</v>
      </c>
      <c r="P1070" s="5"/>
      <c r="Q1070" s="5"/>
      <c r="R1070" s="6" t="s">
        <v>3439</v>
      </c>
      <c r="S1070" s="5"/>
      <c r="T1070" s="1" t="str">
        <f>IFERROR(__xludf.DUMMYFUNCTION("INDEX(SPLIT(A1070, ""/""), 2)"),"انجمن‌های علمی و نشریات وابسته به دانشکده‌ها")</f>
        <v>انجمن‌های علمی و نشریات وابسته به دانشکده‌ها</v>
      </c>
      <c r="U1070" s="1" t="str">
        <f>IFERROR(__xludf.DUMMYFUNCTION("INDEX(SPLIT(A1070, ""/""), 3)"),"دانشکده مهندسی کامپیوتر")</f>
        <v>دانشکده مهندسی کامپیوتر</v>
      </c>
      <c r="V1070" s="1" t="str">
        <f>IFERROR(__xludf.DUMMYFUNCTION("INDEX(SPLIT(A1070, ""/""), 4)"),"رایانش")</f>
        <v>رایانش</v>
      </c>
    </row>
    <row r="1071">
      <c r="A1071" s="1" t="s">
        <v>3377</v>
      </c>
      <c r="B1071" s="1" t="s">
        <v>3441</v>
      </c>
      <c r="C1071" s="1" t="s">
        <v>21</v>
      </c>
      <c r="D1071" s="4" t="s">
        <v>3442</v>
      </c>
      <c r="E1071" s="1" t="s">
        <v>3380</v>
      </c>
      <c r="F1071" s="1" t="s">
        <v>1401</v>
      </c>
      <c r="G1071" s="1" t="s">
        <v>3438</v>
      </c>
      <c r="H1071" s="1" t="s">
        <v>3443</v>
      </c>
      <c r="I1071" s="1" t="str">
        <f t="shared" si="1"/>
        <v>31</v>
      </c>
      <c r="J1071" s="5"/>
      <c r="K1071" s="1" t="str">
        <f t="shared" si="2"/>
        <v>1</v>
      </c>
      <c r="L1071" s="5"/>
      <c r="M1071" s="2" t="str">
        <f t="shared" si="3"/>
        <v>1398</v>
      </c>
      <c r="N1071" s="1">
        <v>2.0</v>
      </c>
      <c r="O1071" s="2">
        <v>11.0</v>
      </c>
      <c r="P1071" s="5"/>
      <c r="Q1071" s="5"/>
      <c r="R1071" s="6" t="s">
        <v>3443</v>
      </c>
      <c r="S1071" s="5"/>
      <c r="T1071" s="1" t="str">
        <f>IFERROR(__xludf.DUMMYFUNCTION("INDEX(SPLIT(A1071, ""/""), 2)"),"انجمن‌های علمی و نشریات وابسته به دانشکده‌ها")</f>
        <v>انجمن‌های علمی و نشریات وابسته به دانشکده‌ها</v>
      </c>
      <c r="U1071" s="1" t="str">
        <f>IFERROR(__xludf.DUMMYFUNCTION("INDEX(SPLIT(A1071, ""/""), 3)"),"دانشکده مهندسی کامپیوتر")</f>
        <v>دانشکده مهندسی کامپیوتر</v>
      </c>
      <c r="V1071" s="1" t="str">
        <f>IFERROR(__xludf.DUMMYFUNCTION("INDEX(SPLIT(A1071, ""/""), 4)"),"رایانش")</f>
        <v>رایانش</v>
      </c>
    </row>
    <row r="1072">
      <c r="A1072" s="1" t="s">
        <v>3377</v>
      </c>
      <c r="B1072" s="1" t="s">
        <v>3444</v>
      </c>
      <c r="C1072" s="1" t="s">
        <v>21</v>
      </c>
      <c r="D1072" s="4" t="s">
        <v>3445</v>
      </c>
      <c r="E1072" s="1" t="s">
        <v>3380</v>
      </c>
      <c r="F1072" s="1" t="s">
        <v>1401</v>
      </c>
      <c r="G1072" s="1" t="s">
        <v>3438</v>
      </c>
      <c r="H1072" s="1" t="s">
        <v>3446</v>
      </c>
      <c r="I1072" s="1" t="str">
        <f t="shared" si="1"/>
        <v>17</v>
      </c>
      <c r="J1072" s="5"/>
      <c r="K1072" s="1" t="str">
        <f t="shared" si="2"/>
        <v>2</v>
      </c>
      <c r="L1072" s="5"/>
      <c r="M1072" s="2" t="str">
        <f t="shared" si="3"/>
        <v>1398</v>
      </c>
      <c r="N1072" s="1">
        <v>2.0</v>
      </c>
      <c r="O1072" s="2" t="s">
        <v>698</v>
      </c>
      <c r="P1072" s="5"/>
      <c r="Q1072" s="5"/>
      <c r="R1072" s="6" t="s">
        <v>3446</v>
      </c>
      <c r="S1072" s="5"/>
      <c r="T1072" s="1" t="str">
        <f>IFERROR(__xludf.DUMMYFUNCTION("INDEX(SPLIT(A1072, ""/""), 2)"),"انجمن‌های علمی و نشریات وابسته به دانشکده‌ها")</f>
        <v>انجمن‌های علمی و نشریات وابسته به دانشکده‌ها</v>
      </c>
      <c r="U1072" s="1" t="str">
        <f>IFERROR(__xludf.DUMMYFUNCTION("INDEX(SPLIT(A1072, ""/""), 3)"),"دانشکده مهندسی کامپیوتر")</f>
        <v>دانشکده مهندسی کامپیوتر</v>
      </c>
      <c r="V1072" s="1" t="str">
        <f>IFERROR(__xludf.DUMMYFUNCTION("INDEX(SPLIT(A1072, ""/""), 4)"),"رایانش")</f>
        <v>رایانش</v>
      </c>
    </row>
    <row r="1073">
      <c r="A1073" s="1" t="s">
        <v>3377</v>
      </c>
      <c r="B1073" s="1" t="s">
        <v>3447</v>
      </c>
      <c r="C1073" s="1" t="s">
        <v>3425</v>
      </c>
      <c r="D1073" s="4" t="s">
        <v>3448</v>
      </c>
      <c r="E1073" s="1" t="s">
        <v>3380</v>
      </c>
      <c r="F1073" s="1" t="s">
        <v>1401</v>
      </c>
      <c r="G1073" s="1" t="s">
        <v>3438</v>
      </c>
      <c r="H1073" s="1" t="s">
        <v>2496</v>
      </c>
      <c r="I1073" s="1" t="str">
        <f t="shared" si="1"/>
        <v>14</v>
      </c>
      <c r="J1073" s="5"/>
      <c r="K1073" s="1" t="str">
        <f t="shared" si="2"/>
        <v>3</v>
      </c>
      <c r="L1073" s="5"/>
      <c r="M1073" s="2" t="str">
        <f t="shared" si="3"/>
        <v>1398</v>
      </c>
      <c r="N1073" s="1">
        <v>2.0</v>
      </c>
      <c r="O1073" s="2" t="s">
        <v>3449</v>
      </c>
      <c r="P1073" s="5"/>
      <c r="Q1073" s="5"/>
      <c r="R1073" s="6" t="s">
        <v>2496</v>
      </c>
      <c r="S1073" s="5"/>
      <c r="T1073" s="1" t="str">
        <f>IFERROR(__xludf.DUMMYFUNCTION("INDEX(SPLIT(A1073, ""/""), 2)"),"انجمن‌های علمی و نشریات وابسته به دانشکده‌ها")</f>
        <v>انجمن‌های علمی و نشریات وابسته به دانشکده‌ها</v>
      </c>
      <c r="U1073" s="1" t="str">
        <f>IFERROR(__xludf.DUMMYFUNCTION("INDEX(SPLIT(A1073, ""/""), 3)"),"دانشکده مهندسی کامپیوتر")</f>
        <v>دانشکده مهندسی کامپیوتر</v>
      </c>
      <c r="V1073" s="1" t="str">
        <f>IFERROR(__xludf.DUMMYFUNCTION("INDEX(SPLIT(A1073, ""/""), 4)"),"رایانش")</f>
        <v>رایانش</v>
      </c>
    </row>
    <row r="1074">
      <c r="A1074" s="1" t="s">
        <v>3377</v>
      </c>
      <c r="B1074" s="1" t="s">
        <v>3450</v>
      </c>
      <c r="C1074" s="1" t="s">
        <v>21</v>
      </c>
      <c r="D1074" s="4" t="s">
        <v>3451</v>
      </c>
      <c r="E1074" s="1" t="s">
        <v>3380</v>
      </c>
      <c r="F1074" s="1" t="s">
        <v>1401</v>
      </c>
      <c r="G1074" s="1" t="s">
        <v>3438</v>
      </c>
      <c r="H1074" s="1" t="s">
        <v>3452</v>
      </c>
      <c r="I1074" s="1" t="str">
        <f t="shared" si="1"/>
        <v>27</v>
      </c>
      <c r="J1074" s="5"/>
      <c r="K1074" s="1" t="str">
        <f t="shared" si="2"/>
        <v>3</v>
      </c>
      <c r="L1074" s="5"/>
      <c r="M1074" s="2" t="str">
        <f t="shared" si="3"/>
        <v>1398</v>
      </c>
      <c r="N1074" s="1">
        <v>2.0</v>
      </c>
      <c r="O1074" s="2">
        <v>12.0</v>
      </c>
      <c r="P1074" s="5"/>
      <c r="Q1074" s="5"/>
      <c r="R1074" s="6" t="s">
        <v>3452</v>
      </c>
      <c r="S1074" s="5"/>
      <c r="T1074" s="1" t="str">
        <f>IFERROR(__xludf.DUMMYFUNCTION("INDEX(SPLIT(A1074, ""/""), 2)"),"انجمن‌های علمی و نشریات وابسته به دانشکده‌ها")</f>
        <v>انجمن‌های علمی و نشریات وابسته به دانشکده‌ها</v>
      </c>
      <c r="U1074" s="1" t="str">
        <f>IFERROR(__xludf.DUMMYFUNCTION("INDEX(SPLIT(A1074, ""/""), 3)"),"دانشکده مهندسی کامپیوتر")</f>
        <v>دانشکده مهندسی کامپیوتر</v>
      </c>
      <c r="V1074" s="1" t="str">
        <f>IFERROR(__xludf.DUMMYFUNCTION("INDEX(SPLIT(A1074, ""/""), 4)"),"رایانش")</f>
        <v>رایانش</v>
      </c>
    </row>
    <row r="1075">
      <c r="A1075" s="1" t="s">
        <v>3377</v>
      </c>
      <c r="B1075" s="1" t="s">
        <v>3453</v>
      </c>
      <c r="C1075" s="1" t="s">
        <v>21</v>
      </c>
      <c r="D1075" s="4" t="s">
        <v>3454</v>
      </c>
      <c r="E1075" s="1" t="s">
        <v>3380</v>
      </c>
      <c r="F1075" s="1" t="s">
        <v>3455</v>
      </c>
      <c r="G1075" s="1" t="s">
        <v>3438</v>
      </c>
      <c r="H1075" s="7" t="s">
        <v>3456</v>
      </c>
      <c r="I1075" s="1" t="str">
        <f t="shared" si="1"/>
        <v>7</v>
      </c>
      <c r="J1075" s="5"/>
      <c r="K1075" s="1" t="str">
        <f t="shared" si="2"/>
        <v>7</v>
      </c>
      <c r="L1075" s="5"/>
      <c r="M1075" s="2" t="str">
        <f t="shared" si="3"/>
        <v>1398</v>
      </c>
      <c r="N1075" s="1">
        <v>2.0</v>
      </c>
      <c r="O1075" s="2">
        <v>13.0</v>
      </c>
      <c r="P1075" s="5"/>
      <c r="Q1075" s="5"/>
      <c r="R1075" s="8" t="s">
        <v>3456</v>
      </c>
      <c r="S1075" s="5"/>
      <c r="T1075" s="1" t="str">
        <f>IFERROR(__xludf.DUMMYFUNCTION("INDEX(SPLIT(A1075, ""/""), 2)"),"انجمن‌های علمی و نشریات وابسته به دانشکده‌ها")</f>
        <v>انجمن‌های علمی و نشریات وابسته به دانشکده‌ها</v>
      </c>
      <c r="U1075" s="1" t="str">
        <f>IFERROR(__xludf.DUMMYFUNCTION("INDEX(SPLIT(A1075, ""/""), 3)"),"دانشکده مهندسی کامپیوتر")</f>
        <v>دانشکده مهندسی کامپیوتر</v>
      </c>
      <c r="V1075" s="1" t="str">
        <f>IFERROR(__xludf.DUMMYFUNCTION("INDEX(SPLIT(A1075, ""/""), 4)"),"رایانش")</f>
        <v>رایانش</v>
      </c>
    </row>
    <row r="1076">
      <c r="A1076" s="1" t="s">
        <v>3377</v>
      </c>
      <c r="B1076" s="1" t="s">
        <v>3457</v>
      </c>
      <c r="C1076" s="1" t="s">
        <v>21</v>
      </c>
      <c r="D1076" s="4" t="s">
        <v>3458</v>
      </c>
      <c r="E1076" s="1" t="s">
        <v>3380</v>
      </c>
      <c r="F1076" s="1" t="s">
        <v>3455</v>
      </c>
      <c r="G1076" s="1" t="s">
        <v>3438</v>
      </c>
      <c r="H1076" s="7" t="s">
        <v>1318</v>
      </c>
      <c r="I1076" s="1" t="str">
        <f t="shared" si="1"/>
        <v>12</v>
      </c>
      <c r="J1076" s="5"/>
      <c r="K1076" s="1" t="str">
        <f t="shared" si="2"/>
        <v>9</v>
      </c>
      <c r="L1076" s="5"/>
      <c r="M1076" s="2" t="str">
        <f t="shared" si="3"/>
        <v>1398</v>
      </c>
      <c r="N1076" s="1">
        <v>2.0</v>
      </c>
      <c r="O1076" s="2" t="s">
        <v>698</v>
      </c>
      <c r="P1076" s="5"/>
      <c r="Q1076" s="5"/>
      <c r="R1076" s="8" t="s">
        <v>1318</v>
      </c>
      <c r="S1076" s="5"/>
      <c r="T1076" s="1" t="str">
        <f>IFERROR(__xludf.DUMMYFUNCTION("INDEX(SPLIT(A1076, ""/""), 2)"),"انجمن‌های علمی و نشریات وابسته به دانشکده‌ها")</f>
        <v>انجمن‌های علمی و نشریات وابسته به دانشکده‌ها</v>
      </c>
      <c r="U1076" s="1" t="str">
        <f>IFERROR(__xludf.DUMMYFUNCTION("INDEX(SPLIT(A1076, ""/""), 3)"),"دانشکده مهندسی کامپیوتر")</f>
        <v>دانشکده مهندسی کامپیوتر</v>
      </c>
      <c r="V1076" s="1" t="str">
        <f>IFERROR(__xludf.DUMMYFUNCTION("INDEX(SPLIT(A1076, ""/""), 4)"),"رایانش")</f>
        <v>رایانش</v>
      </c>
    </row>
    <row r="1077">
      <c r="A1077" s="1" t="s">
        <v>3377</v>
      </c>
      <c r="B1077" s="1" t="s">
        <v>3459</v>
      </c>
      <c r="C1077" s="1" t="s">
        <v>3425</v>
      </c>
      <c r="D1077" s="4" t="s">
        <v>3460</v>
      </c>
      <c r="E1077" s="1" t="s">
        <v>3380</v>
      </c>
      <c r="F1077" s="1" t="s">
        <v>3455</v>
      </c>
      <c r="G1077" s="1" t="s">
        <v>3438</v>
      </c>
      <c r="H1077" s="1" t="s">
        <v>3461</v>
      </c>
      <c r="I1077" s="1" t="str">
        <f t="shared" si="1"/>
        <v>19</v>
      </c>
      <c r="J1077" s="5"/>
      <c r="K1077" s="1" t="str">
        <f t="shared" si="2"/>
        <v>10</v>
      </c>
      <c r="L1077" s="5"/>
      <c r="M1077" s="2" t="str">
        <f t="shared" si="3"/>
        <v>1398</v>
      </c>
      <c r="N1077" s="1">
        <v>2.0</v>
      </c>
      <c r="O1077" s="2" t="s">
        <v>3462</v>
      </c>
      <c r="P1077" s="5"/>
      <c r="Q1077" s="5"/>
      <c r="R1077" s="6" t="s">
        <v>3461</v>
      </c>
      <c r="S1077" s="5"/>
      <c r="T1077" s="1" t="str">
        <f>IFERROR(__xludf.DUMMYFUNCTION("INDEX(SPLIT(A1077, ""/""), 2)"),"انجمن‌های علمی و نشریات وابسته به دانشکده‌ها")</f>
        <v>انجمن‌های علمی و نشریات وابسته به دانشکده‌ها</v>
      </c>
      <c r="U1077" s="1" t="str">
        <f>IFERROR(__xludf.DUMMYFUNCTION("INDEX(SPLIT(A1077, ""/""), 3)"),"دانشکده مهندسی کامپیوتر")</f>
        <v>دانشکده مهندسی کامپیوتر</v>
      </c>
      <c r="V1077" s="1" t="str">
        <f>IFERROR(__xludf.DUMMYFUNCTION("INDEX(SPLIT(A1077, ""/""), 4)"),"رایانش")</f>
        <v>رایانش</v>
      </c>
    </row>
    <row r="1078">
      <c r="A1078" s="1" t="s">
        <v>3377</v>
      </c>
      <c r="B1078" s="1" t="s">
        <v>3463</v>
      </c>
      <c r="C1078" s="1" t="s">
        <v>3425</v>
      </c>
      <c r="D1078" s="4" t="s">
        <v>3464</v>
      </c>
      <c r="E1078" s="1" t="s">
        <v>3380</v>
      </c>
      <c r="F1078" s="1" t="s">
        <v>3455</v>
      </c>
      <c r="G1078" s="1" t="s">
        <v>3438</v>
      </c>
      <c r="H1078" s="1" t="s">
        <v>1825</v>
      </c>
      <c r="I1078" s="1" t="str">
        <f t="shared" si="1"/>
        <v>29</v>
      </c>
      <c r="J1078" s="5"/>
      <c r="K1078" s="1" t="str">
        <f t="shared" si="2"/>
        <v>12</v>
      </c>
      <c r="L1078" s="5"/>
      <c r="M1078" s="2" t="str">
        <f t="shared" si="3"/>
        <v>1398</v>
      </c>
      <c r="N1078" s="1">
        <v>2.0</v>
      </c>
      <c r="O1078" s="2" t="s">
        <v>3465</v>
      </c>
      <c r="P1078" s="5"/>
      <c r="Q1078" s="5"/>
      <c r="R1078" s="6" t="s">
        <v>1825</v>
      </c>
      <c r="S1078" s="5"/>
      <c r="T1078" s="1" t="str">
        <f>IFERROR(__xludf.DUMMYFUNCTION("INDEX(SPLIT(A1078, ""/""), 2)"),"انجمن‌های علمی و نشریات وابسته به دانشکده‌ها")</f>
        <v>انجمن‌های علمی و نشریات وابسته به دانشکده‌ها</v>
      </c>
      <c r="U1078" s="1" t="str">
        <f>IFERROR(__xludf.DUMMYFUNCTION("INDEX(SPLIT(A1078, ""/""), 3)"),"دانشکده مهندسی کامپیوتر")</f>
        <v>دانشکده مهندسی کامپیوتر</v>
      </c>
      <c r="V1078" s="1" t="str">
        <f>IFERROR(__xludf.DUMMYFUNCTION("INDEX(SPLIT(A1078, ""/""), 4)"),"رایانش")</f>
        <v>رایانش</v>
      </c>
    </row>
    <row r="1079">
      <c r="A1079" s="1" t="s">
        <v>3377</v>
      </c>
      <c r="B1079" s="1" t="s">
        <v>3466</v>
      </c>
      <c r="C1079" s="1" t="s">
        <v>21</v>
      </c>
      <c r="D1079" s="4" t="s">
        <v>3467</v>
      </c>
      <c r="E1079" s="1" t="s">
        <v>3380</v>
      </c>
      <c r="F1079" s="1" t="s">
        <v>3455</v>
      </c>
      <c r="G1079" s="1" t="s">
        <v>3438</v>
      </c>
      <c r="H1079" s="1" t="s">
        <v>3468</v>
      </c>
      <c r="I1079" s="1" t="str">
        <f t="shared" si="1"/>
        <v>30</v>
      </c>
      <c r="J1079" s="5"/>
      <c r="K1079" s="1" t="str">
        <f t="shared" si="2"/>
        <v>1</v>
      </c>
      <c r="L1079" s="5"/>
      <c r="M1079" s="2" t="str">
        <f t="shared" si="3"/>
        <v>1399</v>
      </c>
      <c r="N1079" s="1">
        <v>2.0</v>
      </c>
      <c r="O1079" s="2">
        <v>14.0</v>
      </c>
      <c r="P1079" s="5"/>
      <c r="Q1079" s="5"/>
      <c r="R1079" s="6" t="s">
        <v>3468</v>
      </c>
      <c r="S1079" s="5"/>
      <c r="T1079" s="1" t="str">
        <f>IFERROR(__xludf.DUMMYFUNCTION("INDEX(SPLIT(A1079, ""/""), 2)"),"انجمن‌های علمی و نشریات وابسته به دانشکده‌ها")</f>
        <v>انجمن‌های علمی و نشریات وابسته به دانشکده‌ها</v>
      </c>
      <c r="U1079" s="1" t="str">
        <f>IFERROR(__xludf.DUMMYFUNCTION("INDEX(SPLIT(A1079, ""/""), 3)"),"دانشکده مهندسی کامپیوتر")</f>
        <v>دانشکده مهندسی کامپیوتر</v>
      </c>
      <c r="V1079" s="1" t="str">
        <f>IFERROR(__xludf.DUMMYFUNCTION("INDEX(SPLIT(A1079, ""/""), 4)"),"رایانش")</f>
        <v>رایانش</v>
      </c>
    </row>
    <row r="1080">
      <c r="A1080" s="1" t="s">
        <v>3377</v>
      </c>
      <c r="B1080" s="1" t="s">
        <v>3469</v>
      </c>
      <c r="C1080" s="1" t="s">
        <v>21</v>
      </c>
      <c r="D1080" s="4" t="s">
        <v>3470</v>
      </c>
      <c r="E1080" s="1" t="s">
        <v>3380</v>
      </c>
      <c r="F1080" s="1" t="s">
        <v>3471</v>
      </c>
      <c r="G1080" s="1" t="s">
        <v>3472</v>
      </c>
      <c r="H1080" s="1" t="s">
        <v>742</v>
      </c>
      <c r="I1080" s="1" t="str">
        <f t="shared" si="1"/>
        <v>x</v>
      </c>
      <c r="J1080" s="5"/>
      <c r="K1080" s="1" t="str">
        <f t="shared" si="2"/>
        <v>x</v>
      </c>
      <c r="L1080" s="1">
        <v>3.0</v>
      </c>
      <c r="M1080" s="2" t="str">
        <f t="shared" si="3"/>
        <v>1400</v>
      </c>
      <c r="N1080" s="1">
        <v>2.0</v>
      </c>
      <c r="O1080" s="2" t="s">
        <v>3473</v>
      </c>
      <c r="P1080" s="1"/>
      <c r="Q1080" s="1"/>
      <c r="R1080" s="8" t="s">
        <v>744</v>
      </c>
      <c r="S1080" s="5"/>
      <c r="T1080" s="1" t="str">
        <f>IFERROR(__xludf.DUMMYFUNCTION("INDEX(SPLIT(A1080, ""/""), 2)"),"انجمن‌های علمی و نشریات وابسته به دانشکده‌ها")</f>
        <v>انجمن‌های علمی و نشریات وابسته به دانشکده‌ها</v>
      </c>
      <c r="U1080" s="1" t="str">
        <f>IFERROR(__xludf.DUMMYFUNCTION("INDEX(SPLIT(A1080, ""/""), 3)"),"دانشکده مهندسی کامپیوتر")</f>
        <v>دانشکده مهندسی کامپیوتر</v>
      </c>
      <c r="V1080" s="1" t="str">
        <f>IFERROR(__xludf.DUMMYFUNCTION("INDEX(SPLIT(A1080, ""/""), 4)"),"رایانش")</f>
        <v>رایانش</v>
      </c>
    </row>
    <row r="1081">
      <c r="A1081" s="1" t="s">
        <v>3377</v>
      </c>
      <c r="B1081" s="1" t="s">
        <v>3474</v>
      </c>
      <c r="C1081" s="1" t="s">
        <v>21</v>
      </c>
      <c r="D1081" s="4" t="s">
        <v>3475</v>
      </c>
      <c r="E1081" s="1" t="s">
        <v>3380</v>
      </c>
      <c r="F1081" s="1" t="s">
        <v>3471</v>
      </c>
      <c r="G1081" s="1" t="s">
        <v>3472</v>
      </c>
      <c r="H1081" s="7" t="s">
        <v>3476</v>
      </c>
      <c r="I1081" s="1" t="str">
        <f t="shared" si="1"/>
        <v>11</v>
      </c>
      <c r="J1081" s="5"/>
      <c r="K1081" s="1" t="str">
        <f t="shared" si="2"/>
        <v>1</v>
      </c>
      <c r="L1081" s="5"/>
      <c r="M1081" s="2" t="str">
        <f t="shared" si="3"/>
        <v>1401</v>
      </c>
      <c r="N1081" s="1">
        <v>2.0</v>
      </c>
      <c r="O1081" s="2">
        <v>15.0</v>
      </c>
      <c r="P1081" s="5"/>
      <c r="Q1081" s="5"/>
      <c r="R1081" s="8" t="s">
        <v>3476</v>
      </c>
      <c r="S1081" s="5"/>
      <c r="T1081" s="1" t="str">
        <f>IFERROR(__xludf.DUMMYFUNCTION("INDEX(SPLIT(A1081, ""/""), 2)"),"انجمن‌های علمی و نشریات وابسته به دانشکده‌ها")</f>
        <v>انجمن‌های علمی و نشریات وابسته به دانشکده‌ها</v>
      </c>
      <c r="U1081" s="1" t="str">
        <f>IFERROR(__xludf.DUMMYFUNCTION("INDEX(SPLIT(A1081, ""/""), 3)"),"دانشکده مهندسی کامپیوتر")</f>
        <v>دانشکده مهندسی کامپیوتر</v>
      </c>
      <c r="V1081" s="1" t="str">
        <f>IFERROR(__xludf.DUMMYFUNCTION("INDEX(SPLIT(A1081, ""/""), 4)"),"رایانش")</f>
        <v>رایانش</v>
      </c>
    </row>
    <row r="1082">
      <c r="A1082" s="1" t="s">
        <v>3377</v>
      </c>
      <c r="B1082" s="1" t="s">
        <v>3477</v>
      </c>
      <c r="C1082" s="1" t="s">
        <v>21</v>
      </c>
      <c r="D1082" s="4" t="s">
        <v>3478</v>
      </c>
      <c r="E1082" s="1" t="s">
        <v>3380</v>
      </c>
      <c r="F1082" s="1" t="s">
        <v>3471</v>
      </c>
      <c r="G1082" s="1" t="s">
        <v>3479</v>
      </c>
      <c r="H1082" s="1" t="s">
        <v>3480</v>
      </c>
      <c r="I1082" s="1" t="str">
        <f t="shared" si="1"/>
        <v>29</v>
      </c>
      <c r="J1082" s="5"/>
      <c r="K1082" s="1" t="str">
        <f t="shared" si="2"/>
        <v>7</v>
      </c>
      <c r="L1082" s="5"/>
      <c r="M1082" s="2" t="str">
        <f t="shared" si="3"/>
        <v>1401</v>
      </c>
      <c r="N1082" s="1">
        <v>2.0</v>
      </c>
      <c r="O1082" s="2">
        <v>16.0</v>
      </c>
      <c r="P1082" s="5"/>
      <c r="Q1082" s="5"/>
      <c r="R1082" s="6" t="s">
        <v>3480</v>
      </c>
      <c r="S1082" s="5"/>
      <c r="T1082" s="1" t="str">
        <f>IFERROR(__xludf.DUMMYFUNCTION("INDEX(SPLIT(A1082, ""/""), 2)"),"انجمن‌های علمی و نشریات وابسته به دانشکده‌ها")</f>
        <v>انجمن‌های علمی و نشریات وابسته به دانشکده‌ها</v>
      </c>
      <c r="U1082" s="1" t="str">
        <f>IFERROR(__xludf.DUMMYFUNCTION("INDEX(SPLIT(A1082, ""/""), 3)"),"دانشکده مهندسی کامپیوتر")</f>
        <v>دانشکده مهندسی کامپیوتر</v>
      </c>
      <c r="V1082" s="1" t="str">
        <f>IFERROR(__xludf.DUMMYFUNCTION("INDEX(SPLIT(A1082, ""/""), 4)"),"رایانش")</f>
        <v>رایانش</v>
      </c>
    </row>
    <row r="1083">
      <c r="A1083" s="1" t="s">
        <v>3377</v>
      </c>
      <c r="B1083" s="1" t="s">
        <v>3481</v>
      </c>
      <c r="C1083" s="1" t="s">
        <v>3425</v>
      </c>
      <c r="D1083" s="4" t="s">
        <v>3482</v>
      </c>
      <c r="E1083" s="1" t="s">
        <v>3380</v>
      </c>
      <c r="F1083" s="1" t="s">
        <v>3483</v>
      </c>
      <c r="G1083" s="1" t="s">
        <v>3479</v>
      </c>
      <c r="H1083" s="1" t="s">
        <v>3326</v>
      </c>
      <c r="I1083" s="1" t="str">
        <f t="shared" si="1"/>
        <v>27</v>
      </c>
      <c r="J1083" s="5"/>
      <c r="K1083" s="1" t="str">
        <f t="shared" si="2"/>
        <v>9</v>
      </c>
      <c r="L1083" s="5"/>
      <c r="M1083" s="2" t="str">
        <f t="shared" si="3"/>
        <v>1402</v>
      </c>
      <c r="N1083" s="1">
        <v>2.0</v>
      </c>
      <c r="O1083" s="2" t="s">
        <v>3484</v>
      </c>
      <c r="P1083" s="5"/>
      <c r="Q1083" s="5"/>
      <c r="R1083" s="6" t="s">
        <v>3326</v>
      </c>
      <c r="S1083" s="5"/>
      <c r="T1083" s="1" t="str">
        <f>IFERROR(__xludf.DUMMYFUNCTION("INDEX(SPLIT(A1083, ""/""), 2)"),"انجمن‌های علمی و نشریات وابسته به دانشکده‌ها")</f>
        <v>انجمن‌های علمی و نشریات وابسته به دانشکده‌ها</v>
      </c>
      <c r="U1083" s="1" t="str">
        <f>IFERROR(__xludf.DUMMYFUNCTION("INDEX(SPLIT(A1083, ""/""), 3)"),"دانشکده مهندسی کامپیوتر")</f>
        <v>دانشکده مهندسی کامپیوتر</v>
      </c>
      <c r="V1083" s="1" t="str">
        <f>IFERROR(__xludf.DUMMYFUNCTION("INDEX(SPLIT(A1083, ""/""), 4)"),"رایانش")</f>
        <v>رایانش</v>
      </c>
    </row>
    <row r="1084">
      <c r="A1084" s="1" t="s">
        <v>3377</v>
      </c>
      <c r="B1084" s="1" t="s">
        <v>3485</v>
      </c>
      <c r="C1084" s="1" t="s">
        <v>21</v>
      </c>
      <c r="D1084" s="4" t="s">
        <v>3486</v>
      </c>
      <c r="E1084" s="1" t="s">
        <v>3380</v>
      </c>
      <c r="F1084" s="1" t="s">
        <v>3483</v>
      </c>
      <c r="G1084" s="1" t="s">
        <v>3487</v>
      </c>
      <c r="H1084" s="7" t="s">
        <v>3488</v>
      </c>
      <c r="I1084" s="1" t="str">
        <f t="shared" si="1"/>
        <v>1</v>
      </c>
      <c r="J1084" s="5"/>
      <c r="K1084" s="1" t="str">
        <f t="shared" si="2"/>
        <v>1</v>
      </c>
      <c r="L1084" s="5"/>
      <c r="M1084" s="2" t="str">
        <f t="shared" si="3"/>
        <v>1403</v>
      </c>
      <c r="N1084" s="1">
        <v>2.0</v>
      </c>
      <c r="O1084" s="2" t="s">
        <v>3489</v>
      </c>
      <c r="P1084" s="5"/>
      <c r="Q1084" s="5"/>
      <c r="R1084" s="8" t="s">
        <v>3488</v>
      </c>
      <c r="S1084" s="5"/>
      <c r="T1084" s="1" t="str">
        <f>IFERROR(__xludf.DUMMYFUNCTION("INDEX(SPLIT(A1084, ""/""), 2)"),"انجمن‌های علمی و نشریات وابسته به دانشکده‌ها")</f>
        <v>انجمن‌های علمی و نشریات وابسته به دانشکده‌ها</v>
      </c>
      <c r="U1084" s="1" t="str">
        <f>IFERROR(__xludf.DUMMYFUNCTION("INDEX(SPLIT(A1084, ""/""), 3)"),"دانشکده مهندسی کامپیوتر")</f>
        <v>دانشکده مهندسی کامپیوتر</v>
      </c>
      <c r="V1084" s="1" t="str">
        <f>IFERROR(__xludf.DUMMYFUNCTION("INDEX(SPLIT(A1084, ""/""), 4)"),"رایانش")</f>
        <v>رایانش</v>
      </c>
    </row>
    <row r="1085">
      <c r="A1085" s="1" t="s">
        <v>3377</v>
      </c>
      <c r="B1085" s="1" t="s">
        <v>3490</v>
      </c>
      <c r="C1085" s="1" t="s">
        <v>21</v>
      </c>
      <c r="D1085" s="4" t="s">
        <v>3491</v>
      </c>
      <c r="E1085" s="1" t="s">
        <v>3380</v>
      </c>
      <c r="F1085" s="1" t="s">
        <v>3483</v>
      </c>
      <c r="G1085" s="1" t="s">
        <v>3487</v>
      </c>
      <c r="H1085" s="1" t="s">
        <v>1364</v>
      </c>
      <c r="I1085" s="1" t="str">
        <f t="shared" si="1"/>
        <v>x</v>
      </c>
      <c r="J1085" s="5"/>
      <c r="K1085" s="1" t="str">
        <f t="shared" si="2"/>
        <v>5</v>
      </c>
      <c r="L1085" s="5"/>
      <c r="M1085" s="2" t="str">
        <f t="shared" si="3"/>
        <v>1403</v>
      </c>
      <c r="N1085" s="1">
        <v>2.0</v>
      </c>
      <c r="O1085" s="2">
        <v>17.0</v>
      </c>
      <c r="P1085" s="5"/>
      <c r="Q1085" s="5"/>
      <c r="R1085" s="6" t="s">
        <v>1365</v>
      </c>
      <c r="S1085" s="5"/>
      <c r="T1085" s="1" t="str">
        <f>IFERROR(__xludf.DUMMYFUNCTION("INDEX(SPLIT(A1085, ""/""), 2)"),"انجمن‌های علمی و نشریات وابسته به دانشکده‌ها")</f>
        <v>انجمن‌های علمی و نشریات وابسته به دانشکده‌ها</v>
      </c>
      <c r="U1085" s="1" t="str">
        <f>IFERROR(__xludf.DUMMYFUNCTION("INDEX(SPLIT(A1085, ""/""), 3)"),"دانشکده مهندسی کامپیوتر")</f>
        <v>دانشکده مهندسی کامپیوتر</v>
      </c>
      <c r="V1085" s="1" t="str">
        <f>IFERROR(__xludf.DUMMYFUNCTION("INDEX(SPLIT(A1085, ""/""), 4)"),"رایانش")</f>
        <v>رایانش</v>
      </c>
    </row>
    <row r="1086">
      <c r="A1086" s="1" t="s">
        <v>3377</v>
      </c>
      <c r="B1086" s="1" t="s">
        <v>3492</v>
      </c>
      <c r="C1086" s="1" t="s">
        <v>21</v>
      </c>
      <c r="D1086" s="4" t="s">
        <v>3493</v>
      </c>
      <c r="E1086" s="1" t="s">
        <v>3380</v>
      </c>
      <c r="F1086" s="1" t="s">
        <v>3483</v>
      </c>
      <c r="G1086" s="1" t="s">
        <v>3487</v>
      </c>
      <c r="H1086" s="1" t="s">
        <v>728</v>
      </c>
      <c r="I1086" s="1" t="str">
        <f t="shared" si="1"/>
        <v>x</v>
      </c>
      <c r="J1086" s="5"/>
      <c r="K1086" s="1" t="str">
        <f t="shared" si="2"/>
        <v>8</v>
      </c>
      <c r="L1086" s="5"/>
      <c r="M1086" s="2" t="str">
        <f t="shared" si="3"/>
        <v>1403</v>
      </c>
      <c r="N1086" s="1">
        <v>2.0</v>
      </c>
      <c r="O1086" s="2" t="s">
        <v>3494</v>
      </c>
      <c r="P1086" s="5"/>
      <c r="Q1086" s="5"/>
      <c r="R1086" s="6" t="s">
        <v>729</v>
      </c>
      <c r="S1086" s="5"/>
      <c r="T1086" s="1" t="str">
        <f>IFERROR(__xludf.DUMMYFUNCTION("INDEX(SPLIT(A1086, ""/""), 2)"),"انجمن‌های علمی و نشریات وابسته به دانشکده‌ها")</f>
        <v>انجمن‌های علمی و نشریات وابسته به دانشکده‌ها</v>
      </c>
      <c r="U1086" s="1" t="str">
        <f>IFERROR(__xludf.DUMMYFUNCTION("INDEX(SPLIT(A1086, ""/""), 3)"),"دانشکده مهندسی کامپیوتر")</f>
        <v>دانشکده مهندسی کامپیوتر</v>
      </c>
      <c r="V1086" s="1" t="str">
        <f>IFERROR(__xludf.DUMMYFUNCTION("INDEX(SPLIT(A1086, ""/""), 4)"),"رایانش")</f>
        <v>رایانش</v>
      </c>
    </row>
    <row r="1087">
      <c r="A1087" s="1" t="s">
        <v>3377</v>
      </c>
      <c r="B1087" s="1" t="s">
        <v>3495</v>
      </c>
      <c r="C1087" s="1" t="s">
        <v>21</v>
      </c>
      <c r="D1087" s="4" t="s">
        <v>3496</v>
      </c>
      <c r="E1087" s="1" t="s">
        <v>3380</v>
      </c>
      <c r="F1087" s="1" t="s">
        <v>3497</v>
      </c>
      <c r="G1087" s="1" t="s">
        <v>3487</v>
      </c>
      <c r="H1087" s="1" t="s">
        <v>3498</v>
      </c>
      <c r="I1087" s="1" t="str">
        <f t="shared" si="1"/>
        <v>18</v>
      </c>
      <c r="J1087" s="5"/>
      <c r="K1087" s="1" t="str">
        <f t="shared" si="2"/>
        <v>12</v>
      </c>
      <c r="L1087" s="5"/>
      <c r="M1087" s="2" t="str">
        <f t="shared" si="3"/>
        <v>1403</v>
      </c>
      <c r="N1087" s="1">
        <v>2.0</v>
      </c>
      <c r="O1087" s="2">
        <v>18.0</v>
      </c>
      <c r="P1087" s="5"/>
      <c r="Q1087" s="5"/>
      <c r="R1087" s="6" t="s">
        <v>3498</v>
      </c>
      <c r="S1087" s="5"/>
      <c r="T1087" s="1" t="str">
        <f>IFERROR(__xludf.DUMMYFUNCTION("INDEX(SPLIT(A1087, ""/""), 2)"),"انجمن‌های علمی و نشریات وابسته به دانشکده‌ها")</f>
        <v>انجمن‌های علمی و نشریات وابسته به دانشکده‌ها</v>
      </c>
      <c r="U1087" s="1" t="str">
        <f>IFERROR(__xludf.DUMMYFUNCTION("INDEX(SPLIT(A1087, ""/""), 3)"),"دانشکده مهندسی کامپیوتر")</f>
        <v>دانشکده مهندسی کامپیوتر</v>
      </c>
      <c r="V1087" s="1" t="str">
        <f>IFERROR(__xludf.DUMMYFUNCTION("INDEX(SPLIT(A1087, ""/""), 4)"),"رایانش")</f>
        <v>رایانش</v>
      </c>
    </row>
    <row r="1088">
      <c r="A1088" s="1" t="s">
        <v>3377</v>
      </c>
      <c r="B1088" s="1" t="s">
        <v>3499</v>
      </c>
      <c r="C1088" s="1" t="s">
        <v>21</v>
      </c>
      <c r="D1088" s="4" t="s">
        <v>3500</v>
      </c>
      <c r="E1088" s="1" t="s">
        <v>3380</v>
      </c>
      <c r="F1088" s="1" t="s">
        <v>3497</v>
      </c>
      <c r="G1088" s="1" t="s">
        <v>3487</v>
      </c>
      <c r="H1088" s="7" t="s">
        <v>3501</v>
      </c>
      <c r="I1088" s="1" t="str">
        <f t="shared" si="1"/>
        <v>8</v>
      </c>
      <c r="J1088" s="5"/>
      <c r="K1088" s="1" t="str">
        <f t="shared" si="2"/>
        <v>4</v>
      </c>
      <c r="L1088" s="5"/>
      <c r="M1088" s="2" t="str">
        <f t="shared" si="3"/>
        <v>1404</v>
      </c>
      <c r="N1088" s="1">
        <v>2.0</v>
      </c>
      <c r="O1088" s="2">
        <v>19.0</v>
      </c>
      <c r="P1088" s="5"/>
      <c r="Q1088" s="5"/>
      <c r="R1088" s="8" t="s">
        <v>3501</v>
      </c>
      <c r="S1088" s="5"/>
      <c r="T1088" s="1" t="str">
        <f>IFERROR(__xludf.DUMMYFUNCTION("INDEX(SPLIT(A1088, ""/""), 2)"),"انجمن‌های علمی و نشریات وابسته به دانشکده‌ها")</f>
        <v>انجمن‌های علمی و نشریات وابسته به دانشکده‌ها</v>
      </c>
      <c r="U1088" s="1" t="str">
        <f>IFERROR(__xludf.DUMMYFUNCTION("INDEX(SPLIT(A1088, ""/""), 3)"),"دانشکده مهندسی کامپیوتر")</f>
        <v>دانشکده مهندسی کامپیوتر</v>
      </c>
      <c r="V1088" s="1" t="str">
        <f>IFERROR(__xludf.DUMMYFUNCTION("INDEX(SPLIT(A1088, ""/""), 4)"),"رایانش")</f>
        <v>رایانش</v>
      </c>
    </row>
    <row r="1089">
      <c r="A1089" s="1" t="s">
        <v>3502</v>
      </c>
      <c r="B1089" s="1" t="s">
        <v>3503</v>
      </c>
      <c r="C1089" s="1" t="s">
        <v>21</v>
      </c>
      <c r="D1089" s="4" t="s">
        <v>3504</v>
      </c>
      <c r="E1089" s="1" t="s">
        <v>71</v>
      </c>
      <c r="F1089" s="1" t="s">
        <v>71</v>
      </c>
      <c r="G1089" s="1" t="s">
        <v>71</v>
      </c>
      <c r="H1089" s="1" t="s">
        <v>3505</v>
      </c>
      <c r="I1089" s="1" t="str">
        <f t="shared" si="1"/>
        <v>x</v>
      </c>
      <c r="J1089" s="5"/>
      <c r="K1089" s="1" t="str">
        <f t="shared" si="2"/>
        <v>2</v>
      </c>
      <c r="L1089" s="5"/>
      <c r="M1089" s="2" t="str">
        <f t="shared" si="3"/>
        <v>1374</v>
      </c>
      <c r="N1089" s="5"/>
      <c r="O1089" s="2" t="s">
        <v>3506</v>
      </c>
      <c r="P1089" s="5"/>
      <c r="Q1089" s="5"/>
      <c r="R1089" s="6" t="s">
        <v>3507</v>
      </c>
      <c r="S1089" s="5"/>
      <c r="T1089" s="1" t="str">
        <f>IFERROR(__xludf.DUMMYFUNCTION("INDEX(SPLIT(A1089, ""/""), 2)"),"انجمن‌های علمی و نشریات وابسته به دانشکده‌ها")</f>
        <v>انجمن‌های علمی و نشریات وابسته به دانشکده‌ها</v>
      </c>
      <c r="U1089" s="1" t="str">
        <f>IFERROR(__xludf.DUMMYFUNCTION("INDEX(SPLIT(A1089, ""/""), 3)"),"دانشکده مهندسی کامپیوتر")</f>
        <v>دانشکده مهندسی کامپیوتر</v>
      </c>
      <c r="V1089" s="1" t="str">
        <f>IFERROR(__xludf.DUMMYFUNCTION("INDEX(SPLIT(A1089, ""/""), 4)"),"رایانه شریف")</f>
        <v>رایانه شریف</v>
      </c>
    </row>
    <row r="1090">
      <c r="A1090" s="1" t="s">
        <v>3502</v>
      </c>
      <c r="B1090" s="1" t="s">
        <v>3508</v>
      </c>
      <c r="C1090" s="1" t="s">
        <v>21</v>
      </c>
      <c r="D1090" s="4" t="s">
        <v>3509</v>
      </c>
      <c r="E1090" s="1" t="s">
        <v>71</v>
      </c>
      <c r="F1090" s="1" t="s">
        <v>71</v>
      </c>
      <c r="G1090" s="1" t="s">
        <v>71</v>
      </c>
      <c r="H1090" s="1" t="s">
        <v>3510</v>
      </c>
      <c r="I1090" s="1" t="str">
        <f t="shared" si="1"/>
        <v>x</v>
      </c>
      <c r="J1090" s="5"/>
      <c r="K1090" s="1" t="str">
        <f t="shared" si="2"/>
        <v>4</v>
      </c>
      <c r="L1090" s="5"/>
      <c r="M1090" s="2" t="str">
        <f t="shared" si="3"/>
        <v>1374</v>
      </c>
      <c r="N1090" s="5"/>
      <c r="O1090" s="2">
        <v>1.0</v>
      </c>
      <c r="P1090" s="5"/>
      <c r="Q1090" s="5"/>
      <c r="R1090" s="6" t="s">
        <v>3511</v>
      </c>
      <c r="S1090" s="5"/>
      <c r="T1090" s="1" t="str">
        <f>IFERROR(__xludf.DUMMYFUNCTION("INDEX(SPLIT(A1090, ""/""), 2)"),"انجمن‌های علمی و نشریات وابسته به دانشکده‌ها")</f>
        <v>انجمن‌های علمی و نشریات وابسته به دانشکده‌ها</v>
      </c>
      <c r="U1090" s="1" t="str">
        <f>IFERROR(__xludf.DUMMYFUNCTION("INDEX(SPLIT(A1090, ""/""), 3)"),"دانشکده مهندسی کامپیوتر")</f>
        <v>دانشکده مهندسی کامپیوتر</v>
      </c>
      <c r="V1090" s="1" t="str">
        <f>IFERROR(__xludf.DUMMYFUNCTION("INDEX(SPLIT(A1090, ""/""), 4)"),"رایانه شریف")</f>
        <v>رایانه شریف</v>
      </c>
    </row>
    <row r="1091">
      <c r="A1091" s="1" t="s">
        <v>3502</v>
      </c>
      <c r="B1091" s="1" t="s">
        <v>3512</v>
      </c>
      <c r="C1091" s="1" t="s">
        <v>21</v>
      </c>
      <c r="D1091" s="4" t="s">
        <v>3513</v>
      </c>
      <c r="E1091" s="1" t="s">
        <v>71</v>
      </c>
      <c r="F1091" s="1" t="s">
        <v>3514</v>
      </c>
      <c r="G1091" s="1" t="s">
        <v>71</v>
      </c>
      <c r="H1091" s="1" t="s">
        <v>3515</v>
      </c>
      <c r="I1091" s="1" t="str">
        <f t="shared" si="1"/>
        <v>x</v>
      </c>
      <c r="J1091" s="5"/>
      <c r="K1091" s="1" t="str">
        <f t="shared" si="2"/>
        <v>10</v>
      </c>
      <c r="L1091" s="5"/>
      <c r="M1091" s="2" t="str">
        <f t="shared" si="3"/>
        <v>1374</v>
      </c>
      <c r="N1091" s="5"/>
      <c r="O1091" s="2">
        <v>3.0</v>
      </c>
      <c r="P1091" s="5"/>
      <c r="Q1091" s="5"/>
      <c r="R1091" s="6" t="s">
        <v>3516</v>
      </c>
      <c r="S1091" s="5"/>
      <c r="T1091" s="1" t="str">
        <f>IFERROR(__xludf.DUMMYFUNCTION("INDEX(SPLIT(A1091, ""/""), 2)"),"انجمن‌های علمی و نشریات وابسته به دانشکده‌ها")</f>
        <v>انجمن‌های علمی و نشریات وابسته به دانشکده‌ها</v>
      </c>
      <c r="U1091" s="1" t="str">
        <f>IFERROR(__xludf.DUMMYFUNCTION("INDEX(SPLIT(A1091, ""/""), 3)"),"دانشکده مهندسی کامپیوتر")</f>
        <v>دانشکده مهندسی کامپیوتر</v>
      </c>
      <c r="V1091" s="1" t="str">
        <f>IFERROR(__xludf.DUMMYFUNCTION("INDEX(SPLIT(A1091, ""/""), 4)"),"رایانه شریف")</f>
        <v>رایانه شریف</v>
      </c>
    </row>
    <row r="1092">
      <c r="A1092" s="1" t="s">
        <v>3502</v>
      </c>
      <c r="B1092" s="1" t="s">
        <v>3517</v>
      </c>
      <c r="C1092" s="1" t="s">
        <v>21</v>
      </c>
      <c r="D1092" s="4" t="s">
        <v>3518</v>
      </c>
      <c r="E1092" s="1" t="s">
        <v>71</v>
      </c>
      <c r="F1092" s="1" t="s">
        <v>3514</v>
      </c>
      <c r="G1092" s="1" t="s">
        <v>71</v>
      </c>
      <c r="H1092" s="1" t="s">
        <v>3519</v>
      </c>
      <c r="I1092" s="1" t="str">
        <f t="shared" si="1"/>
        <v>x</v>
      </c>
      <c r="J1092" s="5"/>
      <c r="K1092" s="1" t="str">
        <f t="shared" si="2"/>
        <v>2</v>
      </c>
      <c r="L1092" s="5"/>
      <c r="M1092" s="2" t="str">
        <f t="shared" si="3"/>
        <v>1375</v>
      </c>
      <c r="N1092" s="5"/>
      <c r="O1092" s="2">
        <v>4.0</v>
      </c>
      <c r="P1092" s="5"/>
      <c r="Q1092" s="5"/>
      <c r="R1092" s="6" t="s">
        <v>3520</v>
      </c>
      <c r="S1092" s="5"/>
      <c r="T1092" s="1" t="str">
        <f>IFERROR(__xludf.DUMMYFUNCTION("INDEX(SPLIT(A1092, ""/""), 2)"),"انجمن‌های علمی و نشریات وابسته به دانشکده‌ها")</f>
        <v>انجمن‌های علمی و نشریات وابسته به دانشکده‌ها</v>
      </c>
      <c r="U1092" s="1" t="str">
        <f>IFERROR(__xludf.DUMMYFUNCTION("INDEX(SPLIT(A1092, ""/""), 3)"),"دانشکده مهندسی کامپیوتر")</f>
        <v>دانشکده مهندسی کامپیوتر</v>
      </c>
      <c r="V1092" s="1" t="str">
        <f>IFERROR(__xludf.DUMMYFUNCTION("INDEX(SPLIT(A1092, ""/""), 4)"),"رایانه شریف")</f>
        <v>رایانه شریف</v>
      </c>
    </row>
    <row r="1093">
      <c r="A1093" s="1" t="s">
        <v>3502</v>
      </c>
      <c r="B1093" s="1" t="s">
        <v>3521</v>
      </c>
      <c r="C1093" s="1" t="s">
        <v>21</v>
      </c>
      <c r="D1093" s="4" t="s">
        <v>3522</v>
      </c>
      <c r="E1093" s="1" t="s">
        <v>71</v>
      </c>
      <c r="F1093" s="1" t="s">
        <v>3523</v>
      </c>
      <c r="G1093" s="1" t="s">
        <v>3514</v>
      </c>
      <c r="H1093" s="1" t="s">
        <v>3524</v>
      </c>
      <c r="I1093" s="1" t="str">
        <f t="shared" si="1"/>
        <v>x</v>
      </c>
      <c r="J1093" s="5"/>
      <c r="K1093" s="1" t="str">
        <f t="shared" si="2"/>
        <v>10</v>
      </c>
      <c r="L1093" s="5"/>
      <c r="M1093" s="2" t="str">
        <f t="shared" si="3"/>
        <v>1375</v>
      </c>
      <c r="N1093" s="5"/>
      <c r="O1093" s="2">
        <v>5.0</v>
      </c>
      <c r="P1093" s="5"/>
      <c r="Q1093" s="5"/>
      <c r="R1093" s="6" t="s">
        <v>3525</v>
      </c>
      <c r="S1093" s="5"/>
      <c r="T1093" s="1" t="str">
        <f>IFERROR(__xludf.DUMMYFUNCTION("INDEX(SPLIT(A1093, ""/""), 2)"),"انجمن‌های علمی و نشریات وابسته به دانشکده‌ها")</f>
        <v>انجمن‌های علمی و نشریات وابسته به دانشکده‌ها</v>
      </c>
      <c r="U1093" s="1" t="str">
        <f>IFERROR(__xludf.DUMMYFUNCTION("INDEX(SPLIT(A1093, ""/""), 3)"),"دانشکده مهندسی کامپیوتر")</f>
        <v>دانشکده مهندسی کامپیوتر</v>
      </c>
      <c r="V1093" s="1" t="str">
        <f>IFERROR(__xludf.DUMMYFUNCTION("INDEX(SPLIT(A1093, ""/""), 4)"),"رایانه شریف")</f>
        <v>رایانه شریف</v>
      </c>
    </row>
    <row r="1094">
      <c r="A1094" s="1" t="s">
        <v>3502</v>
      </c>
      <c r="B1094" s="1" t="s">
        <v>3526</v>
      </c>
      <c r="C1094" s="1" t="s">
        <v>21</v>
      </c>
      <c r="D1094" s="4" t="s">
        <v>3527</v>
      </c>
      <c r="E1094" s="1" t="s">
        <v>71</v>
      </c>
      <c r="F1094" s="1" t="s">
        <v>3528</v>
      </c>
      <c r="G1094" s="1" t="s">
        <v>3529</v>
      </c>
      <c r="H1094" s="1" t="s">
        <v>3530</v>
      </c>
      <c r="I1094" s="1" t="str">
        <f t="shared" si="1"/>
        <v>x</v>
      </c>
      <c r="J1094" s="5"/>
      <c r="K1094" s="1" t="str">
        <f t="shared" si="2"/>
        <v>x</v>
      </c>
      <c r="L1094" s="1">
        <v>3.0</v>
      </c>
      <c r="M1094" s="2" t="str">
        <f t="shared" si="3"/>
        <v>1378</v>
      </c>
      <c r="N1094" s="5"/>
      <c r="O1094" s="2">
        <v>6.0</v>
      </c>
      <c r="P1094" s="5"/>
      <c r="Q1094" s="5"/>
      <c r="R1094" s="8" t="s">
        <v>3531</v>
      </c>
      <c r="S1094" s="5"/>
      <c r="T1094" s="1" t="str">
        <f>IFERROR(__xludf.DUMMYFUNCTION("INDEX(SPLIT(A1094, ""/""), 2)"),"انجمن‌های علمی و نشریات وابسته به دانشکده‌ها")</f>
        <v>انجمن‌های علمی و نشریات وابسته به دانشکده‌ها</v>
      </c>
      <c r="U1094" s="1" t="str">
        <f>IFERROR(__xludf.DUMMYFUNCTION("INDEX(SPLIT(A1094, ""/""), 3)"),"دانشکده مهندسی کامپیوتر")</f>
        <v>دانشکده مهندسی کامپیوتر</v>
      </c>
      <c r="V1094" s="1" t="str">
        <f>IFERROR(__xludf.DUMMYFUNCTION("INDEX(SPLIT(A1094, ""/""), 4)"),"رایانه شریف")</f>
        <v>رایانه شریف</v>
      </c>
    </row>
    <row r="1095">
      <c r="A1095" s="1" t="s">
        <v>3502</v>
      </c>
      <c r="B1095" s="1" t="s">
        <v>3532</v>
      </c>
      <c r="C1095" s="1" t="s">
        <v>21</v>
      </c>
      <c r="D1095" s="4" t="s">
        <v>3533</v>
      </c>
      <c r="E1095" s="1" t="s">
        <v>71</v>
      </c>
      <c r="F1095" s="1" t="s">
        <v>3528</v>
      </c>
      <c r="G1095" s="1" t="s">
        <v>3534</v>
      </c>
      <c r="H1095" s="1" t="s">
        <v>3530</v>
      </c>
      <c r="I1095" s="1" t="str">
        <f t="shared" si="1"/>
        <v>x</v>
      </c>
      <c r="J1095" s="5"/>
      <c r="K1095" s="1" t="str">
        <f t="shared" si="2"/>
        <v>x</v>
      </c>
      <c r="L1095" s="1">
        <v>4.0</v>
      </c>
      <c r="M1095" s="2" t="str">
        <f t="shared" si="3"/>
        <v>1378</v>
      </c>
      <c r="N1095" s="5"/>
      <c r="O1095" s="2">
        <v>7.0</v>
      </c>
      <c r="P1095" s="5"/>
      <c r="Q1095" s="5"/>
      <c r="R1095" s="8" t="s">
        <v>3531</v>
      </c>
      <c r="S1095" s="5"/>
      <c r="T1095" s="1" t="str">
        <f>IFERROR(__xludf.DUMMYFUNCTION("INDEX(SPLIT(A1095, ""/""), 2)"),"انجمن‌های علمی و نشریات وابسته به دانشکده‌ها")</f>
        <v>انجمن‌های علمی و نشریات وابسته به دانشکده‌ها</v>
      </c>
      <c r="U1095" s="1" t="str">
        <f>IFERROR(__xludf.DUMMYFUNCTION("INDEX(SPLIT(A1095, ""/""), 3)"),"دانشکده مهندسی کامپیوتر")</f>
        <v>دانشکده مهندسی کامپیوتر</v>
      </c>
      <c r="V1095" s="1" t="str">
        <f>IFERROR(__xludf.DUMMYFUNCTION("INDEX(SPLIT(A1095, ""/""), 4)"),"رایانه شریف")</f>
        <v>رایانه شریف</v>
      </c>
    </row>
    <row r="1096">
      <c r="A1096" s="1" t="s">
        <v>3502</v>
      </c>
      <c r="B1096" s="1" t="s">
        <v>3535</v>
      </c>
      <c r="C1096" s="1" t="s">
        <v>21</v>
      </c>
      <c r="D1096" s="4" t="s">
        <v>3536</v>
      </c>
      <c r="E1096" s="1" t="s">
        <v>71</v>
      </c>
      <c r="F1096" s="1" t="s">
        <v>3528</v>
      </c>
      <c r="G1096" s="1" t="s">
        <v>3537</v>
      </c>
      <c r="H1096" s="1" t="s">
        <v>3538</v>
      </c>
      <c r="I1096" s="1" t="str">
        <f t="shared" si="1"/>
        <v>x</v>
      </c>
      <c r="J1096" s="5"/>
      <c r="K1096" s="1" t="str">
        <f t="shared" si="2"/>
        <v>x</v>
      </c>
      <c r="L1096" s="1">
        <v>3.0</v>
      </c>
      <c r="M1096" s="2" t="str">
        <f t="shared" si="3"/>
        <v>1379</v>
      </c>
      <c r="N1096" s="5"/>
      <c r="O1096" s="2">
        <v>8.0</v>
      </c>
      <c r="P1096" s="5"/>
      <c r="Q1096" s="5"/>
      <c r="R1096" s="8" t="s">
        <v>3539</v>
      </c>
      <c r="S1096" s="5"/>
      <c r="T1096" s="1" t="str">
        <f>IFERROR(__xludf.DUMMYFUNCTION("INDEX(SPLIT(A1096, ""/""), 2)"),"انجمن‌های علمی و نشریات وابسته به دانشکده‌ها")</f>
        <v>انجمن‌های علمی و نشریات وابسته به دانشکده‌ها</v>
      </c>
      <c r="U1096" s="1" t="str">
        <f>IFERROR(__xludf.DUMMYFUNCTION("INDEX(SPLIT(A1096, ""/""), 3)"),"دانشکده مهندسی کامپیوتر")</f>
        <v>دانشکده مهندسی کامپیوتر</v>
      </c>
      <c r="V1096" s="1" t="str">
        <f>IFERROR(__xludf.DUMMYFUNCTION("INDEX(SPLIT(A1096, ""/""), 4)"),"رایانه شریف")</f>
        <v>رایانه شریف</v>
      </c>
    </row>
    <row r="1097">
      <c r="A1097" s="1" t="s">
        <v>3502</v>
      </c>
      <c r="B1097" s="1" t="s">
        <v>3540</v>
      </c>
      <c r="C1097" s="1" t="s">
        <v>21</v>
      </c>
      <c r="D1097" s="4" t="s">
        <v>3541</v>
      </c>
      <c r="E1097" s="1" t="s">
        <v>71</v>
      </c>
      <c r="F1097" s="1" t="s">
        <v>3542</v>
      </c>
      <c r="G1097" s="1" t="s">
        <v>3537</v>
      </c>
      <c r="H1097" s="1" t="s">
        <v>2620</v>
      </c>
      <c r="I1097" s="1" t="str">
        <f t="shared" si="1"/>
        <v>x</v>
      </c>
      <c r="J1097" s="5"/>
      <c r="K1097" s="1" t="str">
        <f t="shared" si="2"/>
        <v>x</v>
      </c>
      <c r="L1097" s="1">
        <v>4.0</v>
      </c>
      <c r="M1097" s="2" t="str">
        <f t="shared" si="3"/>
        <v>1380</v>
      </c>
      <c r="N1097" s="5"/>
      <c r="O1097" s="2">
        <v>9.0</v>
      </c>
      <c r="P1097" s="5"/>
      <c r="Q1097" s="5"/>
      <c r="R1097" s="8" t="s">
        <v>2621</v>
      </c>
      <c r="S1097" s="5"/>
      <c r="T1097" s="1" t="str">
        <f>IFERROR(__xludf.DUMMYFUNCTION("INDEX(SPLIT(A1097, ""/""), 2)"),"انجمن‌های علمی و نشریات وابسته به دانشکده‌ها")</f>
        <v>انجمن‌های علمی و نشریات وابسته به دانشکده‌ها</v>
      </c>
      <c r="U1097" s="1" t="str">
        <f>IFERROR(__xludf.DUMMYFUNCTION("INDEX(SPLIT(A1097, ""/""), 3)"),"دانشکده مهندسی کامپیوتر")</f>
        <v>دانشکده مهندسی کامپیوتر</v>
      </c>
      <c r="V1097" s="1" t="str">
        <f>IFERROR(__xludf.DUMMYFUNCTION("INDEX(SPLIT(A1097, ""/""), 4)"),"رایانه شریف")</f>
        <v>رایانه شریف</v>
      </c>
    </row>
    <row r="1098">
      <c r="A1098" s="1" t="s">
        <v>3543</v>
      </c>
      <c r="B1098" s="1" t="s">
        <v>3544</v>
      </c>
      <c r="C1098" s="1" t="s">
        <v>21</v>
      </c>
      <c r="D1098" s="4" t="s">
        <v>3545</v>
      </c>
      <c r="E1098" s="1" t="s">
        <v>3546</v>
      </c>
      <c r="F1098" s="1" t="s">
        <v>3547</v>
      </c>
      <c r="G1098" s="1" t="s">
        <v>71</v>
      </c>
      <c r="H1098" s="1" t="s">
        <v>3548</v>
      </c>
      <c r="I1098" s="1" t="str">
        <f t="shared" si="1"/>
        <v>x</v>
      </c>
      <c r="J1098" s="5"/>
      <c r="K1098" s="1" t="str">
        <f t="shared" si="2"/>
        <v>3</v>
      </c>
      <c r="L1098" s="5"/>
      <c r="M1098" s="2" t="str">
        <f t="shared" si="3"/>
        <v>1375</v>
      </c>
      <c r="N1098" s="5"/>
      <c r="O1098" s="2">
        <v>2.0</v>
      </c>
      <c r="P1098" s="5"/>
      <c r="Q1098" s="5"/>
      <c r="R1098" s="6" t="s">
        <v>3549</v>
      </c>
      <c r="S1098" s="5"/>
      <c r="T1098" s="1" t="str">
        <f>IFERROR(__xludf.DUMMYFUNCTION("INDEX(SPLIT(A1098, ""/""), 2)"),"انجمن‌های علمی و نشریات وابسته به دانشکده‌ها")</f>
        <v>انجمن‌های علمی و نشریات وابسته به دانشکده‌ها</v>
      </c>
      <c r="U1098" s="1" t="str">
        <f>IFERROR(__xludf.DUMMYFUNCTION("INDEX(SPLIT(A1098, ""/""), 3)"),"دانشکده مهندسی برق")</f>
        <v>دانشکده مهندسی برق</v>
      </c>
      <c r="V1098" s="1" t="str">
        <f>IFERROR(__xludf.DUMMYFUNCTION("INDEX(SPLIT(A1098, ""/""), 4)"),"رسانا")</f>
        <v>رسانا</v>
      </c>
    </row>
    <row r="1099">
      <c r="A1099" s="1" t="s">
        <v>3543</v>
      </c>
      <c r="B1099" s="1" t="s">
        <v>3550</v>
      </c>
      <c r="C1099" s="1" t="s">
        <v>21</v>
      </c>
      <c r="D1099" s="4" t="s">
        <v>3551</v>
      </c>
      <c r="E1099" s="1" t="s">
        <v>3546</v>
      </c>
      <c r="F1099" s="1" t="s">
        <v>3547</v>
      </c>
      <c r="G1099" s="1" t="s">
        <v>71</v>
      </c>
      <c r="H1099" s="1" t="s">
        <v>3552</v>
      </c>
      <c r="I1099" s="1" t="str">
        <f t="shared" si="1"/>
        <v>x</v>
      </c>
      <c r="J1099" s="5"/>
      <c r="K1099" s="1" t="str">
        <f t="shared" si="2"/>
        <v>12</v>
      </c>
      <c r="L1099" s="5"/>
      <c r="M1099" s="2" t="str">
        <f t="shared" si="3"/>
        <v>1375</v>
      </c>
      <c r="N1099" s="5"/>
      <c r="O1099" s="2">
        <v>4.0</v>
      </c>
      <c r="P1099" s="5"/>
      <c r="Q1099" s="5"/>
      <c r="R1099" s="6" t="s">
        <v>3553</v>
      </c>
      <c r="S1099" s="5"/>
      <c r="T1099" s="1" t="str">
        <f>IFERROR(__xludf.DUMMYFUNCTION("INDEX(SPLIT(A1099, ""/""), 2)"),"انجمن‌های علمی و نشریات وابسته به دانشکده‌ها")</f>
        <v>انجمن‌های علمی و نشریات وابسته به دانشکده‌ها</v>
      </c>
      <c r="U1099" s="1" t="str">
        <f>IFERROR(__xludf.DUMMYFUNCTION("INDEX(SPLIT(A1099, ""/""), 3)"),"دانشکده مهندسی برق")</f>
        <v>دانشکده مهندسی برق</v>
      </c>
      <c r="V1099" s="1" t="str">
        <f>IFERROR(__xludf.DUMMYFUNCTION("INDEX(SPLIT(A1099, ""/""), 4)"),"رسانا")</f>
        <v>رسانا</v>
      </c>
    </row>
    <row r="1100">
      <c r="A1100" s="1" t="s">
        <v>3543</v>
      </c>
      <c r="B1100" s="1" t="s">
        <v>3554</v>
      </c>
      <c r="C1100" s="1" t="s">
        <v>21</v>
      </c>
      <c r="D1100" s="4" t="s">
        <v>3555</v>
      </c>
      <c r="E1100" s="1" t="s">
        <v>3546</v>
      </c>
      <c r="F1100" s="1" t="s">
        <v>3547</v>
      </c>
      <c r="G1100" s="1" t="s">
        <v>71</v>
      </c>
      <c r="H1100" s="1" t="s">
        <v>3556</v>
      </c>
      <c r="I1100" s="1" t="str">
        <f t="shared" si="1"/>
        <v>x</v>
      </c>
      <c r="J1100" s="5"/>
      <c r="K1100" s="1" t="str">
        <f t="shared" si="2"/>
        <v>4</v>
      </c>
      <c r="L1100" s="5"/>
      <c r="M1100" s="2" t="str">
        <f t="shared" si="3"/>
        <v>1376</v>
      </c>
      <c r="N1100" s="5"/>
      <c r="O1100" s="2">
        <v>5.0</v>
      </c>
      <c r="P1100" s="5"/>
      <c r="Q1100" s="5"/>
      <c r="R1100" s="6" t="s">
        <v>3557</v>
      </c>
      <c r="S1100" s="5"/>
      <c r="T1100" s="1" t="str">
        <f>IFERROR(__xludf.DUMMYFUNCTION("INDEX(SPLIT(A1100, ""/""), 2)"),"انجمن‌های علمی و نشریات وابسته به دانشکده‌ها")</f>
        <v>انجمن‌های علمی و نشریات وابسته به دانشکده‌ها</v>
      </c>
      <c r="U1100" s="1" t="str">
        <f>IFERROR(__xludf.DUMMYFUNCTION("INDEX(SPLIT(A1100, ""/""), 3)"),"دانشکده مهندسی برق")</f>
        <v>دانشکده مهندسی برق</v>
      </c>
      <c r="V1100" s="1" t="str">
        <f>IFERROR(__xludf.DUMMYFUNCTION("INDEX(SPLIT(A1100, ""/""), 4)"),"رسانا")</f>
        <v>رسانا</v>
      </c>
    </row>
    <row r="1101">
      <c r="A1101" s="1" t="s">
        <v>3543</v>
      </c>
      <c r="B1101" s="1" t="s">
        <v>3558</v>
      </c>
      <c r="C1101" s="1" t="s">
        <v>21</v>
      </c>
      <c r="D1101" s="4" t="s">
        <v>3559</v>
      </c>
      <c r="E1101" s="1" t="s">
        <v>3546</v>
      </c>
      <c r="F1101" s="1" t="s">
        <v>3547</v>
      </c>
      <c r="G1101" s="1" t="s">
        <v>71</v>
      </c>
      <c r="H1101" s="1" t="s">
        <v>3560</v>
      </c>
      <c r="I1101" s="1" t="str">
        <f t="shared" si="1"/>
        <v>x</v>
      </c>
      <c r="J1101" s="5"/>
      <c r="K1101" s="1" t="str">
        <f t="shared" si="2"/>
        <v>10</v>
      </c>
      <c r="L1101" s="5"/>
      <c r="M1101" s="2" t="str">
        <f t="shared" si="3"/>
        <v>1376</v>
      </c>
      <c r="N1101" s="5"/>
      <c r="O1101" s="2">
        <v>6.0</v>
      </c>
      <c r="P1101" s="5"/>
      <c r="Q1101" s="5"/>
      <c r="R1101" s="6" t="s">
        <v>3561</v>
      </c>
      <c r="S1101" s="5"/>
      <c r="T1101" s="1" t="str">
        <f>IFERROR(__xludf.DUMMYFUNCTION("INDEX(SPLIT(A1101, ""/""), 2)"),"انجمن‌های علمی و نشریات وابسته به دانشکده‌ها")</f>
        <v>انجمن‌های علمی و نشریات وابسته به دانشکده‌ها</v>
      </c>
      <c r="U1101" s="1" t="str">
        <f>IFERROR(__xludf.DUMMYFUNCTION("INDEX(SPLIT(A1101, ""/""), 3)"),"دانشکده مهندسی برق")</f>
        <v>دانشکده مهندسی برق</v>
      </c>
      <c r="V1101" s="1" t="str">
        <f>IFERROR(__xludf.DUMMYFUNCTION("INDEX(SPLIT(A1101, ""/""), 4)"),"رسانا")</f>
        <v>رسانا</v>
      </c>
    </row>
    <row r="1102">
      <c r="A1102" s="1" t="s">
        <v>3543</v>
      </c>
      <c r="B1102" s="1" t="s">
        <v>3562</v>
      </c>
      <c r="C1102" s="1" t="s">
        <v>21</v>
      </c>
      <c r="D1102" s="4" t="s">
        <v>3563</v>
      </c>
      <c r="E1102" s="1" t="s">
        <v>3546</v>
      </c>
      <c r="F1102" s="1" t="s">
        <v>3564</v>
      </c>
      <c r="G1102" s="1" t="s">
        <v>71</v>
      </c>
      <c r="H1102" s="1" t="s">
        <v>3565</v>
      </c>
      <c r="I1102" s="1" t="str">
        <f t="shared" si="1"/>
        <v>x</v>
      </c>
      <c r="J1102" s="5"/>
      <c r="K1102" s="1" t="str">
        <f t="shared" si="2"/>
        <v>3</v>
      </c>
      <c r="L1102" s="5"/>
      <c r="M1102" s="2" t="str">
        <f t="shared" si="3"/>
        <v>1377</v>
      </c>
      <c r="N1102" s="5"/>
      <c r="O1102" s="2">
        <v>7.0</v>
      </c>
      <c r="P1102" s="5"/>
      <c r="Q1102" s="5"/>
      <c r="R1102" s="6" t="s">
        <v>3566</v>
      </c>
      <c r="S1102" s="5"/>
      <c r="T1102" s="1" t="str">
        <f>IFERROR(__xludf.DUMMYFUNCTION("INDEX(SPLIT(A1102, ""/""), 2)"),"انجمن‌های علمی و نشریات وابسته به دانشکده‌ها")</f>
        <v>انجمن‌های علمی و نشریات وابسته به دانشکده‌ها</v>
      </c>
      <c r="U1102" s="1" t="str">
        <f>IFERROR(__xludf.DUMMYFUNCTION("INDEX(SPLIT(A1102, ""/""), 3)"),"دانشکده مهندسی برق")</f>
        <v>دانشکده مهندسی برق</v>
      </c>
      <c r="V1102" s="1" t="str">
        <f>IFERROR(__xludf.DUMMYFUNCTION("INDEX(SPLIT(A1102, ""/""), 4)"),"رسانا")</f>
        <v>رسانا</v>
      </c>
    </row>
    <row r="1103">
      <c r="A1103" s="1" t="s">
        <v>3543</v>
      </c>
      <c r="B1103" s="1" t="s">
        <v>3567</v>
      </c>
      <c r="C1103" s="1" t="s">
        <v>21</v>
      </c>
      <c r="D1103" s="4" t="s">
        <v>3568</v>
      </c>
      <c r="E1103" s="1" t="s">
        <v>3546</v>
      </c>
      <c r="F1103" s="1" t="s">
        <v>3564</v>
      </c>
      <c r="G1103" s="1" t="s">
        <v>71</v>
      </c>
      <c r="H1103" s="1" t="s">
        <v>3569</v>
      </c>
      <c r="I1103" s="1" t="str">
        <f t="shared" si="1"/>
        <v>x</v>
      </c>
      <c r="J1103" s="5"/>
      <c r="K1103" s="1" t="str">
        <f t="shared" si="2"/>
        <v>7</v>
      </c>
      <c r="L1103" s="5"/>
      <c r="M1103" s="2" t="str">
        <f t="shared" si="3"/>
        <v>1377</v>
      </c>
      <c r="N1103" s="5"/>
      <c r="O1103" s="2" t="s">
        <v>3570</v>
      </c>
      <c r="P1103" s="5"/>
      <c r="Q1103" s="5"/>
      <c r="R1103" s="6" t="s">
        <v>3571</v>
      </c>
      <c r="S1103" s="5"/>
      <c r="T1103" s="1" t="str">
        <f>IFERROR(__xludf.DUMMYFUNCTION("INDEX(SPLIT(A1103, ""/""), 2)"),"انجمن‌های علمی و نشریات وابسته به دانشکده‌ها")</f>
        <v>انجمن‌های علمی و نشریات وابسته به دانشکده‌ها</v>
      </c>
      <c r="U1103" s="1" t="str">
        <f>IFERROR(__xludf.DUMMYFUNCTION("INDEX(SPLIT(A1103, ""/""), 3)"),"دانشکده مهندسی برق")</f>
        <v>دانشکده مهندسی برق</v>
      </c>
      <c r="V1103" s="1" t="str">
        <f>IFERROR(__xludf.DUMMYFUNCTION("INDEX(SPLIT(A1103, ""/""), 4)"),"رسانا")</f>
        <v>رسانا</v>
      </c>
    </row>
    <row r="1104">
      <c r="A1104" s="1" t="s">
        <v>3543</v>
      </c>
      <c r="B1104" s="1" t="s">
        <v>3572</v>
      </c>
      <c r="C1104" s="1" t="s">
        <v>21</v>
      </c>
      <c r="D1104" s="4" t="s">
        <v>3573</v>
      </c>
      <c r="E1104" s="1" t="s">
        <v>3546</v>
      </c>
      <c r="F1104" s="1" t="s">
        <v>3574</v>
      </c>
      <c r="G1104" s="1" t="s">
        <v>71</v>
      </c>
      <c r="H1104" s="1" t="s">
        <v>3575</v>
      </c>
      <c r="I1104" s="1" t="str">
        <f t="shared" si="1"/>
        <v>x</v>
      </c>
      <c r="J1104" s="5"/>
      <c r="K1104" s="1" t="str">
        <f t="shared" si="2"/>
        <v>4</v>
      </c>
      <c r="L1104" s="5"/>
      <c r="M1104" s="2" t="str">
        <f t="shared" si="3"/>
        <v>1378</v>
      </c>
      <c r="N1104" s="5"/>
      <c r="O1104" s="2">
        <v>8.0</v>
      </c>
      <c r="P1104" s="5"/>
      <c r="Q1104" s="5"/>
      <c r="R1104" s="6" t="s">
        <v>3576</v>
      </c>
      <c r="S1104" s="5"/>
      <c r="T1104" s="1" t="str">
        <f>IFERROR(__xludf.DUMMYFUNCTION("INDEX(SPLIT(A1104, ""/""), 2)"),"انجمن‌های علمی و نشریات وابسته به دانشکده‌ها")</f>
        <v>انجمن‌های علمی و نشریات وابسته به دانشکده‌ها</v>
      </c>
      <c r="U1104" s="1" t="str">
        <f>IFERROR(__xludf.DUMMYFUNCTION("INDEX(SPLIT(A1104, ""/""), 3)"),"دانشکده مهندسی برق")</f>
        <v>دانشکده مهندسی برق</v>
      </c>
      <c r="V1104" s="1" t="str">
        <f>IFERROR(__xludf.DUMMYFUNCTION("INDEX(SPLIT(A1104, ""/""), 4)"),"رسانا")</f>
        <v>رسانا</v>
      </c>
    </row>
    <row r="1105">
      <c r="A1105" s="1" t="s">
        <v>3543</v>
      </c>
      <c r="B1105" s="1" t="s">
        <v>3577</v>
      </c>
      <c r="C1105" s="1" t="s">
        <v>21</v>
      </c>
      <c r="D1105" s="4" t="s">
        <v>3578</v>
      </c>
      <c r="E1105" s="1" t="s">
        <v>3546</v>
      </c>
      <c r="F1105" s="1" t="s">
        <v>3574</v>
      </c>
      <c r="G1105" s="1" t="s">
        <v>71</v>
      </c>
      <c r="H1105" s="1" t="s">
        <v>3579</v>
      </c>
      <c r="I1105" s="1" t="str">
        <f t="shared" si="1"/>
        <v>x</v>
      </c>
      <c r="J1105" s="5"/>
      <c r="K1105" s="1" t="str">
        <f t="shared" si="2"/>
        <v>7</v>
      </c>
      <c r="L1105" s="5"/>
      <c r="M1105" s="2" t="str">
        <f t="shared" si="3"/>
        <v>1378</v>
      </c>
      <c r="N1105" s="5"/>
      <c r="O1105" s="2" t="s">
        <v>3580</v>
      </c>
      <c r="P1105" s="5"/>
      <c r="Q1105" s="5"/>
      <c r="R1105" s="6" t="s">
        <v>3581</v>
      </c>
      <c r="S1105" s="5"/>
      <c r="T1105" s="1" t="str">
        <f>IFERROR(__xludf.DUMMYFUNCTION("INDEX(SPLIT(A1105, ""/""), 2)"),"انجمن‌های علمی و نشریات وابسته به دانشکده‌ها")</f>
        <v>انجمن‌های علمی و نشریات وابسته به دانشکده‌ها</v>
      </c>
      <c r="U1105" s="1" t="str">
        <f>IFERROR(__xludf.DUMMYFUNCTION("INDEX(SPLIT(A1105, ""/""), 3)"),"دانشکده مهندسی برق")</f>
        <v>دانشکده مهندسی برق</v>
      </c>
      <c r="V1105" s="1" t="str">
        <f>IFERROR(__xludf.DUMMYFUNCTION("INDEX(SPLIT(A1105, ""/""), 4)"),"رسانا")</f>
        <v>رسانا</v>
      </c>
    </row>
    <row r="1106">
      <c r="A1106" s="1" t="s">
        <v>3543</v>
      </c>
      <c r="B1106" s="1" t="s">
        <v>3582</v>
      </c>
      <c r="C1106" s="1" t="s">
        <v>21</v>
      </c>
      <c r="D1106" s="4" t="s">
        <v>3583</v>
      </c>
      <c r="E1106" s="1" t="s">
        <v>3546</v>
      </c>
      <c r="F1106" s="1" t="s">
        <v>3584</v>
      </c>
      <c r="G1106" s="1" t="s">
        <v>3585</v>
      </c>
      <c r="H1106" s="1" t="s">
        <v>3586</v>
      </c>
      <c r="I1106" s="1" t="str">
        <f t="shared" si="1"/>
        <v>x</v>
      </c>
      <c r="J1106" s="5"/>
      <c r="K1106" s="1" t="str">
        <f t="shared" si="2"/>
        <v>4</v>
      </c>
      <c r="L1106" s="5"/>
      <c r="M1106" s="2" t="str">
        <f t="shared" si="3"/>
        <v>1379</v>
      </c>
      <c r="N1106" s="5"/>
      <c r="O1106" s="2">
        <v>9.0</v>
      </c>
      <c r="P1106" s="5"/>
      <c r="Q1106" s="5"/>
      <c r="R1106" s="6" t="s">
        <v>3587</v>
      </c>
      <c r="S1106" s="5"/>
      <c r="T1106" s="1" t="str">
        <f>IFERROR(__xludf.DUMMYFUNCTION("INDEX(SPLIT(A1106, ""/""), 2)"),"انجمن‌های علمی و نشریات وابسته به دانشکده‌ها")</f>
        <v>انجمن‌های علمی و نشریات وابسته به دانشکده‌ها</v>
      </c>
      <c r="U1106" s="1" t="str">
        <f>IFERROR(__xludf.DUMMYFUNCTION("INDEX(SPLIT(A1106, ""/""), 3)"),"دانشکده مهندسی برق")</f>
        <v>دانشکده مهندسی برق</v>
      </c>
      <c r="V1106" s="1" t="str">
        <f>IFERROR(__xludf.DUMMYFUNCTION("INDEX(SPLIT(A1106, ""/""), 4)"),"رسانا")</f>
        <v>رسانا</v>
      </c>
    </row>
    <row r="1107">
      <c r="A1107" s="1" t="s">
        <v>3543</v>
      </c>
      <c r="B1107" s="1" t="s">
        <v>3588</v>
      </c>
      <c r="C1107" s="1" t="s">
        <v>21</v>
      </c>
      <c r="D1107" s="4" t="s">
        <v>3589</v>
      </c>
      <c r="E1107" s="1" t="s">
        <v>3546</v>
      </c>
      <c r="F1107" s="1" t="s">
        <v>3590</v>
      </c>
      <c r="G1107" s="1" t="s">
        <v>3591</v>
      </c>
      <c r="H1107" s="1" t="s">
        <v>3592</v>
      </c>
      <c r="I1107" s="1" t="str">
        <f t="shared" si="1"/>
        <v>x</v>
      </c>
      <c r="J1107" s="5"/>
      <c r="K1107" s="1" t="str">
        <f t="shared" si="2"/>
        <v>4</v>
      </c>
      <c r="L1107" s="5"/>
      <c r="M1107" s="2" t="str">
        <f t="shared" si="3"/>
        <v>1380</v>
      </c>
      <c r="N1107" s="5"/>
      <c r="O1107" s="2">
        <v>11.0</v>
      </c>
      <c r="P1107" s="5"/>
      <c r="Q1107" s="5"/>
      <c r="R1107" s="6" t="s">
        <v>3593</v>
      </c>
      <c r="S1107" s="5"/>
      <c r="T1107" s="1" t="str">
        <f>IFERROR(__xludf.DUMMYFUNCTION("INDEX(SPLIT(A1107, ""/""), 2)"),"انجمن‌های علمی و نشریات وابسته به دانشکده‌ها")</f>
        <v>انجمن‌های علمی و نشریات وابسته به دانشکده‌ها</v>
      </c>
      <c r="U1107" s="1" t="str">
        <f>IFERROR(__xludf.DUMMYFUNCTION("INDEX(SPLIT(A1107, ""/""), 3)"),"دانشکده مهندسی برق")</f>
        <v>دانشکده مهندسی برق</v>
      </c>
      <c r="V1107" s="1" t="str">
        <f>IFERROR(__xludf.DUMMYFUNCTION("INDEX(SPLIT(A1107, ""/""), 4)"),"رسانا")</f>
        <v>رسانا</v>
      </c>
    </row>
    <row r="1108">
      <c r="A1108" s="1" t="s">
        <v>3543</v>
      </c>
      <c r="B1108" s="1" t="s">
        <v>3594</v>
      </c>
      <c r="C1108" s="1" t="s">
        <v>21</v>
      </c>
      <c r="D1108" s="4" t="s">
        <v>3595</v>
      </c>
      <c r="E1108" s="1" t="s">
        <v>3546</v>
      </c>
      <c r="F1108" s="5"/>
      <c r="G1108" s="1" t="s">
        <v>3596</v>
      </c>
      <c r="H1108" s="1" t="s">
        <v>3597</v>
      </c>
      <c r="I1108" s="1" t="str">
        <f t="shared" si="1"/>
        <v>x</v>
      </c>
      <c r="J1108" s="5"/>
      <c r="K1108" s="1" t="str">
        <f t="shared" si="2"/>
        <v>7</v>
      </c>
      <c r="L1108" s="5"/>
      <c r="M1108" s="2" t="str">
        <f t="shared" si="3"/>
        <v>1380</v>
      </c>
      <c r="N1108" s="5"/>
      <c r="O1108" s="2" t="s">
        <v>3598</v>
      </c>
      <c r="P1108" s="5"/>
      <c r="Q1108" s="5"/>
      <c r="R1108" s="6" t="s">
        <v>3599</v>
      </c>
      <c r="S1108" s="5"/>
      <c r="T1108" s="1" t="str">
        <f>IFERROR(__xludf.DUMMYFUNCTION("INDEX(SPLIT(A1108, ""/""), 2)"),"انجمن‌های علمی و نشریات وابسته به دانشکده‌ها")</f>
        <v>انجمن‌های علمی و نشریات وابسته به دانشکده‌ها</v>
      </c>
      <c r="U1108" s="1" t="str">
        <f>IFERROR(__xludf.DUMMYFUNCTION("INDEX(SPLIT(A1108, ""/""), 3)"),"دانشکده مهندسی برق")</f>
        <v>دانشکده مهندسی برق</v>
      </c>
      <c r="V1108" s="1" t="str">
        <f>IFERROR(__xludf.DUMMYFUNCTION("INDEX(SPLIT(A1108, ""/""), 4)"),"رسانا")</f>
        <v>رسانا</v>
      </c>
    </row>
    <row r="1109">
      <c r="A1109" s="1" t="s">
        <v>3543</v>
      </c>
      <c r="B1109" s="1" t="s">
        <v>3600</v>
      </c>
      <c r="C1109" s="1" t="s">
        <v>21</v>
      </c>
      <c r="D1109" s="4" t="s">
        <v>3601</v>
      </c>
      <c r="E1109" s="1" t="s">
        <v>3546</v>
      </c>
      <c r="F1109" s="1" t="s">
        <v>71</v>
      </c>
      <c r="G1109" s="1" t="s">
        <v>71</v>
      </c>
      <c r="H1109" s="1" t="s">
        <v>291</v>
      </c>
      <c r="I1109" s="1" t="str">
        <f t="shared" si="1"/>
        <v>x</v>
      </c>
      <c r="J1109" s="5"/>
      <c r="K1109" s="1" t="str">
        <f t="shared" si="2"/>
        <v>x</v>
      </c>
      <c r="L1109" s="5"/>
      <c r="M1109" s="2" t="str">
        <f t="shared" si="3"/>
        <v>x</v>
      </c>
      <c r="N1109" s="5"/>
      <c r="O1109" s="2" t="s">
        <v>3602</v>
      </c>
      <c r="P1109" s="7" t="s">
        <v>3603</v>
      </c>
      <c r="Q1109" s="7" t="s">
        <v>3604</v>
      </c>
      <c r="R1109" s="6" t="s">
        <v>3605</v>
      </c>
      <c r="S1109" s="5"/>
      <c r="T1109" s="1" t="str">
        <f>IFERROR(__xludf.DUMMYFUNCTION("INDEX(SPLIT(A1109, ""/""), 2)"),"انجمن‌های علمی و نشریات وابسته به دانشکده‌ها")</f>
        <v>انجمن‌های علمی و نشریات وابسته به دانشکده‌ها</v>
      </c>
      <c r="U1109" s="1" t="str">
        <f>IFERROR(__xludf.DUMMYFUNCTION("INDEX(SPLIT(A1109, ""/""), 3)"),"دانشکده مهندسی برق")</f>
        <v>دانشکده مهندسی برق</v>
      </c>
      <c r="V1109" s="1" t="str">
        <f>IFERROR(__xludf.DUMMYFUNCTION("INDEX(SPLIT(A1109, ""/""), 4)"),"رسانا")</f>
        <v>رسانا</v>
      </c>
    </row>
    <row r="1110">
      <c r="A1110" s="1" t="s">
        <v>3543</v>
      </c>
      <c r="B1110" s="1" t="s">
        <v>3606</v>
      </c>
      <c r="C1110" s="1" t="s">
        <v>21</v>
      </c>
      <c r="D1110" s="4" t="s">
        <v>3607</v>
      </c>
      <c r="E1110" s="1" t="s">
        <v>3546</v>
      </c>
      <c r="F1110" s="1" t="s">
        <v>3596</v>
      </c>
      <c r="G1110" s="1" t="s">
        <v>3608</v>
      </c>
      <c r="H1110" s="1" t="s">
        <v>3609</v>
      </c>
      <c r="I1110" s="1" t="str">
        <f t="shared" si="1"/>
        <v>x</v>
      </c>
      <c r="J1110" s="5"/>
      <c r="K1110" s="1" t="str">
        <f t="shared" si="2"/>
        <v>3</v>
      </c>
      <c r="L1110" s="5"/>
      <c r="M1110" s="2" t="str">
        <f t="shared" si="3"/>
        <v>1381</v>
      </c>
      <c r="N1110" s="5"/>
      <c r="O1110" s="2">
        <v>12.0</v>
      </c>
      <c r="P1110" s="5"/>
      <c r="Q1110" s="5"/>
      <c r="R1110" s="6" t="s">
        <v>3610</v>
      </c>
      <c r="S1110" s="5"/>
      <c r="T1110" s="1" t="str">
        <f>IFERROR(__xludf.DUMMYFUNCTION("INDEX(SPLIT(A1110, ""/""), 2)"),"انجمن‌های علمی و نشریات وابسته به دانشکده‌ها")</f>
        <v>انجمن‌های علمی و نشریات وابسته به دانشکده‌ها</v>
      </c>
      <c r="U1110" s="1" t="str">
        <f>IFERROR(__xludf.DUMMYFUNCTION("INDEX(SPLIT(A1110, ""/""), 3)"),"دانشکده مهندسی برق")</f>
        <v>دانشکده مهندسی برق</v>
      </c>
      <c r="V1110" s="1" t="str">
        <f>IFERROR(__xludf.DUMMYFUNCTION("INDEX(SPLIT(A1110, ""/""), 4)"),"رسانا")</f>
        <v>رسانا</v>
      </c>
    </row>
    <row r="1111">
      <c r="A1111" s="1" t="s">
        <v>3543</v>
      </c>
      <c r="B1111" s="1" t="s">
        <v>3611</v>
      </c>
      <c r="C1111" s="1" t="s">
        <v>21</v>
      </c>
      <c r="D1111" s="4" t="s">
        <v>3612</v>
      </c>
      <c r="E1111" s="1" t="s">
        <v>3546</v>
      </c>
      <c r="F1111" s="1" t="s">
        <v>71</v>
      </c>
      <c r="G1111" s="1" t="s">
        <v>71</v>
      </c>
      <c r="H1111" s="1" t="s">
        <v>3613</v>
      </c>
      <c r="I1111" s="1" t="str">
        <f t="shared" si="1"/>
        <v>x</v>
      </c>
      <c r="J1111" s="5"/>
      <c r="K1111" s="1" t="str">
        <f t="shared" si="2"/>
        <v>x</v>
      </c>
      <c r="L1111" s="1">
        <v>2.0</v>
      </c>
      <c r="M1111" s="2" t="str">
        <f t="shared" si="3"/>
        <v>1381</v>
      </c>
      <c r="N1111" s="5"/>
      <c r="O1111" s="2" t="s">
        <v>3614</v>
      </c>
      <c r="P1111" s="5"/>
      <c r="Q1111" s="5"/>
      <c r="R1111" s="8" t="s">
        <v>3615</v>
      </c>
      <c r="S1111" s="5"/>
      <c r="T1111" s="1" t="str">
        <f>IFERROR(__xludf.DUMMYFUNCTION("INDEX(SPLIT(A1111, ""/""), 2)"),"انجمن‌های علمی و نشریات وابسته به دانشکده‌ها")</f>
        <v>انجمن‌های علمی و نشریات وابسته به دانشکده‌ها</v>
      </c>
      <c r="U1111" s="1" t="str">
        <f>IFERROR(__xludf.DUMMYFUNCTION("INDEX(SPLIT(A1111, ""/""), 3)"),"دانشکده مهندسی برق")</f>
        <v>دانشکده مهندسی برق</v>
      </c>
      <c r="V1111" s="1" t="str">
        <f>IFERROR(__xludf.DUMMYFUNCTION("INDEX(SPLIT(A1111, ""/""), 4)"),"رسانا")</f>
        <v>رسانا</v>
      </c>
    </row>
    <row r="1112">
      <c r="A1112" s="1" t="s">
        <v>3616</v>
      </c>
      <c r="B1112" s="1" t="s">
        <v>3617</v>
      </c>
      <c r="C1112" s="1" t="s">
        <v>21</v>
      </c>
      <c r="D1112" s="4" t="s">
        <v>3618</v>
      </c>
      <c r="E1112" s="1" t="s">
        <v>71</v>
      </c>
      <c r="F1112" s="1" t="s">
        <v>71</v>
      </c>
      <c r="G1112" s="1" t="s">
        <v>3619</v>
      </c>
      <c r="H1112" s="1" t="s">
        <v>3620</v>
      </c>
      <c r="I1112" s="1" t="str">
        <f t="shared" si="1"/>
        <v>28</v>
      </c>
      <c r="J1112" s="5"/>
      <c r="K1112" s="1" t="str">
        <f t="shared" si="2"/>
        <v>12</v>
      </c>
      <c r="L1112" s="5"/>
      <c r="M1112" s="2" t="str">
        <f t="shared" si="3"/>
        <v>1394</v>
      </c>
      <c r="N1112" s="5"/>
      <c r="O1112" s="2">
        <v>1.0</v>
      </c>
      <c r="P1112" s="5"/>
      <c r="Q1112" s="5"/>
      <c r="R1112" s="6" t="s">
        <v>3620</v>
      </c>
      <c r="S1112" s="5"/>
      <c r="T1112" s="1" t="str">
        <f>IFERROR(__xludf.DUMMYFUNCTION("INDEX(SPLIT(A1112, ""/""), 2)"),"انجمن‌های علمی و نشریات وابسته به دانشکده‌ها")</f>
        <v>انجمن‌های علمی و نشریات وابسته به دانشکده‌ها</v>
      </c>
      <c r="U1112" s="1" t="str">
        <f>IFERROR(__xludf.DUMMYFUNCTION("INDEX(SPLIT(A1112, ""/""), 3)"),"دانشکده مهندسی برق")</f>
        <v>دانشکده مهندسی برق</v>
      </c>
      <c r="V1112" s="1" t="str">
        <f>IFERROR(__xludf.DUMMYFUNCTION("INDEX(SPLIT(A1112, ""/""), 4)"),"روشنا")</f>
        <v>روشنا</v>
      </c>
    </row>
    <row r="1113">
      <c r="A1113" s="1" t="s">
        <v>3616</v>
      </c>
      <c r="B1113" s="1" t="s">
        <v>3621</v>
      </c>
      <c r="C1113" s="1" t="s">
        <v>21</v>
      </c>
      <c r="D1113" s="4" t="s">
        <v>3622</v>
      </c>
      <c r="E1113" s="1" t="s">
        <v>71</v>
      </c>
      <c r="F1113" s="1" t="s">
        <v>71</v>
      </c>
      <c r="G1113" s="1" t="s">
        <v>3619</v>
      </c>
      <c r="H1113" s="1" t="s">
        <v>3623</v>
      </c>
      <c r="I1113" s="1" t="str">
        <f t="shared" si="1"/>
        <v>23</v>
      </c>
      <c r="J1113" s="5"/>
      <c r="K1113" s="1" t="str">
        <f t="shared" si="2"/>
        <v>2</v>
      </c>
      <c r="L1113" s="5"/>
      <c r="M1113" s="2" t="str">
        <f t="shared" si="3"/>
        <v>1395</v>
      </c>
      <c r="N1113" s="5"/>
      <c r="O1113" s="2">
        <v>2.0</v>
      </c>
      <c r="P1113" s="5"/>
      <c r="Q1113" s="5"/>
      <c r="R1113" s="6" t="s">
        <v>3623</v>
      </c>
      <c r="S1113" s="5"/>
      <c r="T1113" s="1" t="str">
        <f>IFERROR(__xludf.DUMMYFUNCTION("INDEX(SPLIT(A1113, ""/""), 2)"),"انجمن‌های علمی و نشریات وابسته به دانشکده‌ها")</f>
        <v>انجمن‌های علمی و نشریات وابسته به دانشکده‌ها</v>
      </c>
      <c r="U1113" s="1" t="str">
        <f>IFERROR(__xludf.DUMMYFUNCTION("INDEX(SPLIT(A1113, ""/""), 3)"),"دانشکده مهندسی برق")</f>
        <v>دانشکده مهندسی برق</v>
      </c>
      <c r="V1113" s="1" t="str">
        <f>IFERROR(__xludf.DUMMYFUNCTION("INDEX(SPLIT(A1113, ""/""), 4)"),"روشنا")</f>
        <v>روشنا</v>
      </c>
    </row>
    <row r="1114">
      <c r="A1114" s="1" t="s">
        <v>3616</v>
      </c>
      <c r="B1114" s="1" t="s">
        <v>3624</v>
      </c>
      <c r="C1114" s="1" t="s">
        <v>21</v>
      </c>
      <c r="D1114" s="4" t="s">
        <v>3625</v>
      </c>
      <c r="E1114" s="1" t="s">
        <v>71</v>
      </c>
      <c r="F1114" s="1" t="s">
        <v>71</v>
      </c>
      <c r="G1114" s="1" t="s">
        <v>3619</v>
      </c>
      <c r="H1114" s="1" t="s">
        <v>3626</v>
      </c>
      <c r="I1114" s="1" t="str">
        <f t="shared" si="1"/>
        <v>24</v>
      </c>
      <c r="J1114" s="5"/>
      <c r="K1114" s="1" t="str">
        <f t="shared" si="2"/>
        <v>4</v>
      </c>
      <c r="L1114" s="5"/>
      <c r="M1114" s="2" t="str">
        <f t="shared" si="3"/>
        <v>1395</v>
      </c>
      <c r="N1114" s="5"/>
      <c r="O1114" s="2">
        <v>3.0</v>
      </c>
      <c r="P1114" s="5"/>
      <c r="Q1114" s="5"/>
      <c r="R1114" s="6" t="s">
        <v>3626</v>
      </c>
      <c r="S1114" s="5"/>
      <c r="T1114" s="1" t="str">
        <f>IFERROR(__xludf.DUMMYFUNCTION("INDEX(SPLIT(A1114, ""/""), 2)"),"انجمن‌های علمی و نشریات وابسته به دانشکده‌ها")</f>
        <v>انجمن‌های علمی و نشریات وابسته به دانشکده‌ها</v>
      </c>
      <c r="U1114" s="1" t="str">
        <f>IFERROR(__xludf.DUMMYFUNCTION("INDEX(SPLIT(A1114, ""/""), 3)"),"دانشکده مهندسی برق")</f>
        <v>دانشکده مهندسی برق</v>
      </c>
      <c r="V1114" s="1" t="str">
        <f>IFERROR(__xludf.DUMMYFUNCTION("INDEX(SPLIT(A1114, ""/""), 4)"),"روشنا")</f>
        <v>روشنا</v>
      </c>
    </row>
    <row r="1115">
      <c r="A1115" s="1" t="s">
        <v>3616</v>
      </c>
      <c r="B1115" s="1" t="s">
        <v>3627</v>
      </c>
      <c r="C1115" s="1" t="s">
        <v>21</v>
      </c>
      <c r="D1115" s="4" t="s">
        <v>3628</v>
      </c>
      <c r="E1115" s="1" t="s">
        <v>71</v>
      </c>
      <c r="F1115" s="1" t="s">
        <v>3619</v>
      </c>
      <c r="G1115" s="1" t="s">
        <v>3629</v>
      </c>
      <c r="H1115" s="1" t="s">
        <v>1966</v>
      </c>
      <c r="I1115" s="1" t="str">
        <f t="shared" si="1"/>
        <v>23</v>
      </c>
      <c r="J1115" s="5"/>
      <c r="K1115" s="1" t="str">
        <f t="shared" si="2"/>
        <v>8</v>
      </c>
      <c r="L1115" s="5"/>
      <c r="M1115" s="2" t="str">
        <f t="shared" si="3"/>
        <v>1395</v>
      </c>
      <c r="N1115" s="5"/>
      <c r="O1115" s="2">
        <v>4.0</v>
      </c>
      <c r="P1115" s="5"/>
      <c r="Q1115" s="5"/>
      <c r="R1115" s="6" t="s">
        <v>1966</v>
      </c>
      <c r="S1115" s="5"/>
      <c r="T1115" s="1" t="str">
        <f>IFERROR(__xludf.DUMMYFUNCTION("INDEX(SPLIT(A1115, ""/""), 2)"),"انجمن‌های علمی و نشریات وابسته به دانشکده‌ها")</f>
        <v>انجمن‌های علمی و نشریات وابسته به دانشکده‌ها</v>
      </c>
      <c r="U1115" s="1" t="str">
        <f>IFERROR(__xludf.DUMMYFUNCTION("INDEX(SPLIT(A1115, ""/""), 3)"),"دانشکده مهندسی برق")</f>
        <v>دانشکده مهندسی برق</v>
      </c>
      <c r="V1115" s="1" t="str">
        <f>IFERROR(__xludf.DUMMYFUNCTION("INDEX(SPLIT(A1115, ""/""), 4)"),"روشنا")</f>
        <v>روشنا</v>
      </c>
    </row>
    <row r="1116">
      <c r="A1116" s="1" t="s">
        <v>3616</v>
      </c>
      <c r="B1116" s="1" t="s">
        <v>3630</v>
      </c>
      <c r="C1116" s="1" t="s">
        <v>21</v>
      </c>
      <c r="D1116" s="4" t="s">
        <v>3631</v>
      </c>
      <c r="E1116" s="1" t="s">
        <v>71</v>
      </c>
      <c r="F1116" s="1" t="s">
        <v>3619</v>
      </c>
      <c r="G1116" s="1" t="s">
        <v>3629</v>
      </c>
      <c r="H1116" s="7" t="s">
        <v>3632</v>
      </c>
      <c r="I1116" s="1" t="str">
        <f t="shared" si="1"/>
        <v>1</v>
      </c>
      <c r="J1116" s="5"/>
      <c r="K1116" s="1" t="str">
        <f t="shared" si="2"/>
        <v>2</v>
      </c>
      <c r="L1116" s="5"/>
      <c r="M1116" s="2" t="str">
        <f t="shared" si="3"/>
        <v>1396</v>
      </c>
      <c r="N1116" s="5"/>
      <c r="O1116" s="2">
        <v>5.0</v>
      </c>
      <c r="P1116" s="5"/>
      <c r="Q1116" s="5"/>
      <c r="R1116" s="8" t="s">
        <v>3632</v>
      </c>
      <c r="S1116" s="5"/>
      <c r="T1116" s="1" t="str">
        <f>IFERROR(__xludf.DUMMYFUNCTION("INDEX(SPLIT(A1116, ""/""), 2)"),"انجمن‌های علمی و نشریات وابسته به دانشکده‌ها")</f>
        <v>انجمن‌های علمی و نشریات وابسته به دانشکده‌ها</v>
      </c>
      <c r="U1116" s="1" t="str">
        <f>IFERROR(__xludf.DUMMYFUNCTION("INDEX(SPLIT(A1116, ""/""), 3)"),"دانشکده مهندسی برق")</f>
        <v>دانشکده مهندسی برق</v>
      </c>
      <c r="V1116" s="1" t="str">
        <f>IFERROR(__xludf.DUMMYFUNCTION("INDEX(SPLIT(A1116, ""/""), 4)"),"روشنا")</f>
        <v>روشنا</v>
      </c>
    </row>
    <row r="1117">
      <c r="A1117" s="1" t="s">
        <v>3633</v>
      </c>
      <c r="B1117" s="1" t="s">
        <v>3634</v>
      </c>
      <c r="C1117" s="1" t="s">
        <v>21</v>
      </c>
      <c r="D1117" s="4" t="s">
        <v>3635</v>
      </c>
      <c r="E1117" s="1" t="s">
        <v>71</v>
      </c>
      <c r="F1117" s="1" t="s">
        <v>3636</v>
      </c>
      <c r="G1117" s="1" t="s">
        <v>3637</v>
      </c>
      <c r="H1117" s="1" t="s">
        <v>195</v>
      </c>
      <c r="I1117" s="1" t="str">
        <f t="shared" si="1"/>
        <v>x</v>
      </c>
      <c r="J1117" s="5"/>
      <c r="K1117" s="1" t="str">
        <f t="shared" si="2"/>
        <v>9</v>
      </c>
      <c r="L1117" s="5"/>
      <c r="M1117" s="2" t="str">
        <f t="shared" si="3"/>
        <v>1398</v>
      </c>
      <c r="N1117" s="5"/>
      <c r="O1117" s="2">
        <v>1.0</v>
      </c>
      <c r="P1117" s="5"/>
      <c r="Q1117" s="5"/>
      <c r="R1117" s="6" t="s">
        <v>196</v>
      </c>
      <c r="S1117" s="5"/>
      <c r="T1117" s="1" t="str">
        <f>IFERROR(__xludf.DUMMYFUNCTION("INDEX(SPLIT(A1117, ""/""), 2)"),"انجمن‌های علمی و نشریات وابسته به دانشکده‌ها")</f>
        <v>انجمن‌های علمی و نشریات وابسته به دانشکده‌ها</v>
      </c>
      <c r="U1117" s="1" t="str">
        <f>IFERROR(__xludf.DUMMYFUNCTION("INDEX(SPLIT(A1117, ""/""), 3)"),"انجمن‌های علمی غیردانشکده‌ای")</f>
        <v>انجمن‌های علمی غیردانشکده‌ای</v>
      </c>
      <c r="V1117" s="1" t="str">
        <f>IFERROR(__xludf.DUMMYFUNCTION("INDEX(SPLIT(A1117, ""/""), 4)"),"ژرفانامه")</f>
        <v>ژرفانامه</v>
      </c>
    </row>
    <row r="1118">
      <c r="A1118" s="1" t="s">
        <v>3633</v>
      </c>
      <c r="B1118" s="1" t="s">
        <v>3638</v>
      </c>
      <c r="C1118" s="1" t="s">
        <v>21</v>
      </c>
      <c r="D1118" s="4" t="s">
        <v>3639</v>
      </c>
      <c r="E1118" s="1" t="s">
        <v>71</v>
      </c>
      <c r="F1118" s="1" t="s">
        <v>3636</v>
      </c>
      <c r="G1118" s="1" t="s">
        <v>3637</v>
      </c>
      <c r="H1118" s="1" t="s">
        <v>199</v>
      </c>
      <c r="I1118" s="1" t="str">
        <f t="shared" si="1"/>
        <v>x</v>
      </c>
      <c r="J1118" s="5"/>
      <c r="K1118" s="1" t="str">
        <f t="shared" si="2"/>
        <v>11</v>
      </c>
      <c r="L1118" s="5"/>
      <c r="M1118" s="2" t="str">
        <f t="shared" si="3"/>
        <v>1398</v>
      </c>
      <c r="N1118" s="5"/>
      <c r="O1118" s="2">
        <v>2.0</v>
      </c>
      <c r="P1118" s="5"/>
      <c r="Q1118" s="5"/>
      <c r="R1118" s="6" t="s">
        <v>200</v>
      </c>
      <c r="S1118" s="5"/>
      <c r="T1118" s="1" t="str">
        <f>IFERROR(__xludf.DUMMYFUNCTION("INDEX(SPLIT(A1118, ""/""), 2)"),"انجمن‌های علمی و نشریات وابسته به دانشکده‌ها")</f>
        <v>انجمن‌های علمی و نشریات وابسته به دانشکده‌ها</v>
      </c>
      <c r="U1118" s="1" t="str">
        <f>IFERROR(__xludf.DUMMYFUNCTION("INDEX(SPLIT(A1118, ""/""), 3)"),"انجمن‌های علمی غیردانشکده‌ای")</f>
        <v>انجمن‌های علمی غیردانشکده‌ای</v>
      </c>
      <c r="V1118" s="1" t="str">
        <f>IFERROR(__xludf.DUMMYFUNCTION("INDEX(SPLIT(A1118, ""/""), 4)"),"ژرفانامه")</f>
        <v>ژرفانامه</v>
      </c>
    </row>
    <row r="1119">
      <c r="A1119" s="1" t="s">
        <v>3633</v>
      </c>
      <c r="B1119" s="1" t="s">
        <v>3640</v>
      </c>
      <c r="C1119" s="1" t="s">
        <v>21</v>
      </c>
      <c r="D1119" s="4" t="s">
        <v>3641</v>
      </c>
      <c r="E1119" s="1" t="s">
        <v>71</v>
      </c>
      <c r="F1119" s="1" t="s">
        <v>3636</v>
      </c>
      <c r="G1119" s="1" t="s">
        <v>3637</v>
      </c>
      <c r="H1119" s="1" t="s">
        <v>329</v>
      </c>
      <c r="I1119" s="1" t="str">
        <f t="shared" si="1"/>
        <v>x</v>
      </c>
      <c r="J1119" s="5"/>
      <c r="K1119" s="1" t="str">
        <f t="shared" si="2"/>
        <v>2</v>
      </c>
      <c r="L1119" s="5"/>
      <c r="M1119" s="2" t="str">
        <f t="shared" si="3"/>
        <v>1398</v>
      </c>
      <c r="N1119" s="5"/>
      <c r="O1119" s="2">
        <v>3.0</v>
      </c>
      <c r="P1119" s="5"/>
      <c r="Q1119" s="5"/>
      <c r="R1119" s="6" t="s">
        <v>330</v>
      </c>
      <c r="S1119" s="5"/>
      <c r="T1119" s="1" t="str">
        <f>IFERROR(__xludf.DUMMYFUNCTION("INDEX(SPLIT(A1119, ""/""), 2)"),"انجمن‌های علمی و نشریات وابسته به دانشکده‌ها")</f>
        <v>انجمن‌های علمی و نشریات وابسته به دانشکده‌ها</v>
      </c>
      <c r="U1119" s="1" t="str">
        <f>IFERROR(__xludf.DUMMYFUNCTION("INDEX(SPLIT(A1119, ""/""), 3)"),"انجمن‌های علمی غیردانشکده‌ای")</f>
        <v>انجمن‌های علمی غیردانشکده‌ای</v>
      </c>
      <c r="V1119" s="1" t="str">
        <f>IFERROR(__xludf.DUMMYFUNCTION("INDEX(SPLIT(A1119, ""/""), 4)"),"ژرفانامه")</f>
        <v>ژرفانامه</v>
      </c>
    </row>
    <row r="1120">
      <c r="A1120" s="1" t="s">
        <v>3633</v>
      </c>
      <c r="B1120" s="1" t="s">
        <v>3642</v>
      </c>
      <c r="C1120" s="1" t="s">
        <v>21</v>
      </c>
      <c r="D1120" s="4" t="s">
        <v>3643</v>
      </c>
      <c r="E1120" s="1" t="s">
        <v>71</v>
      </c>
      <c r="F1120" s="1" t="s">
        <v>3636</v>
      </c>
      <c r="G1120" s="1" t="s">
        <v>3644</v>
      </c>
      <c r="H1120" s="1" t="s">
        <v>44</v>
      </c>
      <c r="I1120" s="1" t="str">
        <f t="shared" si="1"/>
        <v>x</v>
      </c>
      <c r="J1120" s="5"/>
      <c r="K1120" s="1" t="str">
        <f t="shared" si="2"/>
        <v>10</v>
      </c>
      <c r="L1120" s="5"/>
      <c r="M1120" s="2" t="str">
        <f t="shared" si="3"/>
        <v>1399</v>
      </c>
      <c r="N1120" s="5"/>
      <c r="O1120" s="2">
        <v>4.0</v>
      </c>
      <c r="P1120" s="5"/>
      <c r="Q1120" s="5"/>
      <c r="R1120" s="6" t="s">
        <v>45</v>
      </c>
      <c r="S1120" s="5"/>
      <c r="T1120" s="1" t="str">
        <f>IFERROR(__xludf.DUMMYFUNCTION("INDEX(SPLIT(A1120, ""/""), 2)"),"انجمن‌های علمی و نشریات وابسته به دانشکده‌ها")</f>
        <v>انجمن‌های علمی و نشریات وابسته به دانشکده‌ها</v>
      </c>
      <c r="U1120" s="1" t="str">
        <f>IFERROR(__xludf.DUMMYFUNCTION("INDEX(SPLIT(A1120, ""/""), 3)"),"انجمن‌های علمی غیردانشکده‌ای")</f>
        <v>انجمن‌های علمی غیردانشکده‌ای</v>
      </c>
      <c r="V1120" s="1" t="str">
        <f>IFERROR(__xludf.DUMMYFUNCTION("INDEX(SPLIT(A1120, ""/""), 4)"),"ژرفانامه")</f>
        <v>ژرفانامه</v>
      </c>
    </row>
    <row r="1121">
      <c r="A1121" s="1" t="s">
        <v>3633</v>
      </c>
      <c r="B1121" s="1" t="s">
        <v>3645</v>
      </c>
      <c r="C1121" s="1" t="s">
        <v>21</v>
      </c>
      <c r="D1121" s="4" t="s">
        <v>3646</v>
      </c>
      <c r="E1121" s="1" t="s">
        <v>71</v>
      </c>
      <c r="F1121" s="1" t="s">
        <v>3636</v>
      </c>
      <c r="G1121" s="1" t="s">
        <v>3644</v>
      </c>
      <c r="H1121" s="1" t="s">
        <v>60</v>
      </c>
      <c r="I1121" s="1" t="str">
        <f t="shared" si="1"/>
        <v>x</v>
      </c>
      <c r="J1121" s="5"/>
      <c r="K1121" s="1" t="str">
        <f t="shared" si="2"/>
        <v>2</v>
      </c>
      <c r="L1121" s="5"/>
      <c r="M1121" s="2" t="str">
        <f t="shared" si="3"/>
        <v>1400</v>
      </c>
      <c r="N1121" s="5"/>
      <c r="O1121" s="2">
        <v>5.0</v>
      </c>
      <c r="P1121" s="5"/>
      <c r="Q1121" s="5"/>
      <c r="R1121" s="6" t="s">
        <v>61</v>
      </c>
      <c r="S1121" s="5"/>
      <c r="T1121" s="1" t="str">
        <f>IFERROR(__xludf.DUMMYFUNCTION("INDEX(SPLIT(A1121, ""/""), 2)"),"انجمن‌های علمی و نشریات وابسته به دانشکده‌ها")</f>
        <v>انجمن‌های علمی و نشریات وابسته به دانشکده‌ها</v>
      </c>
      <c r="U1121" s="1" t="str">
        <f>IFERROR(__xludf.DUMMYFUNCTION("INDEX(SPLIT(A1121, ""/""), 3)"),"انجمن‌های علمی غیردانشکده‌ای")</f>
        <v>انجمن‌های علمی غیردانشکده‌ای</v>
      </c>
      <c r="V1121" s="1" t="str">
        <f>IFERROR(__xludf.DUMMYFUNCTION("INDEX(SPLIT(A1121, ""/""), 4)"),"ژرفانامه")</f>
        <v>ژرفانامه</v>
      </c>
    </row>
    <row r="1122">
      <c r="A1122" s="1" t="s">
        <v>3633</v>
      </c>
      <c r="B1122" s="1" t="s">
        <v>3647</v>
      </c>
      <c r="C1122" s="1" t="s">
        <v>21</v>
      </c>
      <c r="D1122" s="4" t="s">
        <v>3648</v>
      </c>
      <c r="E1122" s="1" t="s">
        <v>71</v>
      </c>
      <c r="F1122" s="1" t="s">
        <v>3636</v>
      </c>
      <c r="G1122" s="1" t="s">
        <v>3649</v>
      </c>
      <c r="H1122" s="1" t="s">
        <v>155</v>
      </c>
      <c r="I1122" s="1" t="str">
        <f t="shared" si="1"/>
        <v>x</v>
      </c>
      <c r="J1122" s="5"/>
      <c r="K1122" s="1" t="str">
        <f t="shared" si="2"/>
        <v>12</v>
      </c>
      <c r="L1122" s="5"/>
      <c r="M1122" s="2" t="str">
        <f t="shared" si="3"/>
        <v>1401</v>
      </c>
      <c r="N1122" s="5"/>
      <c r="O1122" s="2">
        <v>6.0</v>
      </c>
      <c r="P1122" s="5"/>
      <c r="Q1122" s="5"/>
      <c r="R1122" s="6" t="s">
        <v>156</v>
      </c>
      <c r="S1122" s="5"/>
      <c r="T1122" s="1" t="str">
        <f>IFERROR(__xludf.DUMMYFUNCTION("INDEX(SPLIT(A1122, ""/""), 2)"),"انجمن‌های علمی و نشریات وابسته به دانشکده‌ها")</f>
        <v>انجمن‌های علمی و نشریات وابسته به دانشکده‌ها</v>
      </c>
      <c r="U1122" s="1" t="str">
        <f>IFERROR(__xludf.DUMMYFUNCTION("INDEX(SPLIT(A1122, ""/""), 3)"),"انجمن‌های علمی غیردانشکده‌ای")</f>
        <v>انجمن‌های علمی غیردانشکده‌ای</v>
      </c>
      <c r="V1122" s="1" t="str">
        <f>IFERROR(__xludf.DUMMYFUNCTION("INDEX(SPLIT(A1122, ""/""), 4)"),"ژرفانامه")</f>
        <v>ژرفانامه</v>
      </c>
    </row>
    <row r="1123">
      <c r="A1123" s="1" t="s">
        <v>3633</v>
      </c>
      <c r="B1123" s="1" t="s">
        <v>3650</v>
      </c>
      <c r="C1123" s="1" t="s">
        <v>21</v>
      </c>
      <c r="D1123" s="4" t="s">
        <v>3651</v>
      </c>
      <c r="E1123" s="1" t="s">
        <v>71</v>
      </c>
      <c r="F1123" s="1" t="s">
        <v>3636</v>
      </c>
      <c r="G1123" s="1" t="s">
        <v>3649</v>
      </c>
      <c r="H1123" s="1" t="s">
        <v>451</v>
      </c>
      <c r="I1123" s="1" t="str">
        <f t="shared" si="1"/>
        <v>x</v>
      </c>
      <c r="J1123" s="5"/>
      <c r="K1123" s="1" t="str">
        <f t="shared" si="2"/>
        <v>4</v>
      </c>
      <c r="L1123" s="5"/>
      <c r="M1123" s="2" t="str">
        <f t="shared" si="3"/>
        <v>1402</v>
      </c>
      <c r="N1123" s="5"/>
      <c r="O1123" s="2">
        <v>7.0</v>
      </c>
      <c r="P1123" s="5"/>
      <c r="Q1123" s="5"/>
      <c r="R1123" s="6" t="s">
        <v>452</v>
      </c>
      <c r="S1123" s="5"/>
      <c r="T1123" s="1" t="str">
        <f>IFERROR(__xludf.DUMMYFUNCTION("INDEX(SPLIT(A1123, ""/""), 2)"),"انجمن‌های علمی و نشریات وابسته به دانشکده‌ها")</f>
        <v>انجمن‌های علمی و نشریات وابسته به دانشکده‌ها</v>
      </c>
      <c r="U1123" s="1" t="str">
        <f>IFERROR(__xludf.DUMMYFUNCTION("INDEX(SPLIT(A1123, ""/""), 3)"),"انجمن‌های علمی غیردانشکده‌ای")</f>
        <v>انجمن‌های علمی غیردانشکده‌ای</v>
      </c>
      <c r="V1123" s="1" t="str">
        <f>IFERROR(__xludf.DUMMYFUNCTION("INDEX(SPLIT(A1123, ""/""), 4)"),"ژرفانامه")</f>
        <v>ژرفانامه</v>
      </c>
    </row>
    <row r="1124">
      <c r="A1124" s="1" t="s">
        <v>3652</v>
      </c>
      <c r="B1124" s="1" t="s">
        <v>3653</v>
      </c>
      <c r="C1124" s="1" t="s">
        <v>21</v>
      </c>
      <c r="D1124" s="4" t="s">
        <v>3654</v>
      </c>
      <c r="E1124" s="1" t="s">
        <v>71</v>
      </c>
      <c r="F1124" s="1" t="s">
        <v>3655</v>
      </c>
      <c r="G1124" s="1" t="s">
        <v>3656</v>
      </c>
      <c r="H1124" s="1" t="s">
        <v>2712</v>
      </c>
      <c r="I1124" s="1" t="str">
        <f t="shared" si="1"/>
        <v>x</v>
      </c>
      <c r="J1124" s="5"/>
      <c r="K1124" s="1" t="str">
        <f t="shared" si="2"/>
        <v>x</v>
      </c>
      <c r="L1124" s="1">
        <v>1.0</v>
      </c>
      <c r="M1124" s="2" t="str">
        <f t="shared" si="3"/>
        <v>1395</v>
      </c>
      <c r="N1124" s="5"/>
      <c r="O1124" s="2">
        <v>1.0</v>
      </c>
      <c r="P1124" s="5"/>
      <c r="Q1124" s="5"/>
      <c r="R1124" s="8" t="s">
        <v>2713</v>
      </c>
      <c r="S1124" s="5"/>
      <c r="T1124" s="1" t="str">
        <f>IFERROR(__xludf.DUMMYFUNCTION("INDEX(SPLIT(A1124, ""/""), 2)"),"انجمن‌های علمی و نشریات وابسته به دانشکده‌ها")</f>
        <v>انجمن‌های علمی و نشریات وابسته به دانشکده‌ها</v>
      </c>
      <c r="U1124" s="1" t="str">
        <f>IFERROR(__xludf.DUMMYFUNCTION("INDEX(SPLIT(A1124, ""/""), 3)"),"دانشکده فیزیک")</f>
        <v>دانشکده فیزیک</v>
      </c>
      <c r="V1124" s="1" t="str">
        <f>IFERROR(__xludf.DUMMYFUNCTION("INDEX(SPLIT(A1124, ""/""), 4)"),"شباهنگ")</f>
        <v>شباهنگ</v>
      </c>
    </row>
    <row r="1125">
      <c r="A1125" s="1" t="s">
        <v>3652</v>
      </c>
      <c r="B1125" s="1" t="s">
        <v>3657</v>
      </c>
      <c r="C1125" s="1" t="s">
        <v>21</v>
      </c>
      <c r="D1125" s="4" t="s">
        <v>3658</v>
      </c>
      <c r="E1125" s="1" t="s">
        <v>71</v>
      </c>
      <c r="F1125" s="1" t="s">
        <v>3655</v>
      </c>
      <c r="G1125" s="1" t="s">
        <v>3656</v>
      </c>
      <c r="H1125" s="1" t="s">
        <v>2712</v>
      </c>
      <c r="I1125" s="1" t="str">
        <f t="shared" si="1"/>
        <v>x</v>
      </c>
      <c r="J1125" s="5"/>
      <c r="K1125" s="1" t="str">
        <f t="shared" si="2"/>
        <v>x</v>
      </c>
      <c r="L1125" s="1">
        <v>1.0</v>
      </c>
      <c r="M1125" s="2" t="str">
        <f t="shared" si="3"/>
        <v>1395</v>
      </c>
      <c r="N1125" s="5"/>
      <c r="O1125" s="2">
        <v>2.0</v>
      </c>
      <c r="P1125" s="5"/>
      <c r="Q1125" s="5"/>
      <c r="R1125" s="8" t="s">
        <v>2713</v>
      </c>
      <c r="S1125" s="5"/>
      <c r="T1125" s="1" t="str">
        <f>IFERROR(__xludf.DUMMYFUNCTION("INDEX(SPLIT(A1125, ""/""), 2)"),"انجمن‌های علمی و نشریات وابسته به دانشکده‌ها")</f>
        <v>انجمن‌های علمی و نشریات وابسته به دانشکده‌ها</v>
      </c>
      <c r="U1125" s="1" t="str">
        <f>IFERROR(__xludf.DUMMYFUNCTION("INDEX(SPLIT(A1125, ""/""), 3)"),"دانشکده فیزیک")</f>
        <v>دانشکده فیزیک</v>
      </c>
      <c r="V1125" s="1" t="str">
        <f>IFERROR(__xludf.DUMMYFUNCTION("INDEX(SPLIT(A1125, ""/""), 4)"),"شباهنگ")</f>
        <v>شباهنگ</v>
      </c>
    </row>
    <row r="1126">
      <c r="A1126" s="1" t="s">
        <v>3652</v>
      </c>
      <c r="B1126" s="1" t="s">
        <v>3659</v>
      </c>
      <c r="C1126" s="1" t="s">
        <v>21</v>
      </c>
      <c r="D1126" s="4" t="s">
        <v>3660</v>
      </c>
      <c r="E1126" s="1" t="s">
        <v>71</v>
      </c>
      <c r="F1126" s="1" t="s">
        <v>3655</v>
      </c>
      <c r="G1126" s="1" t="s">
        <v>3656</v>
      </c>
      <c r="H1126" s="1" t="s">
        <v>2712</v>
      </c>
      <c r="I1126" s="1" t="str">
        <f t="shared" si="1"/>
        <v>x</v>
      </c>
      <c r="J1126" s="5"/>
      <c r="K1126" s="1" t="str">
        <f t="shared" si="2"/>
        <v>x</v>
      </c>
      <c r="L1126" s="1">
        <v>3.0</v>
      </c>
      <c r="M1126" s="2" t="str">
        <f t="shared" si="3"/>
        <v>1395</v>
      </c>
      <c r="N1126" s="5"/>
      <c r="O1126" s="2">
        <v>3.0</v>
      </c>
      <c r="P1126" s="5"/>
      <c r="Q1126" s="5"/>
      <c r="R1126" s="8" t="s">
        <v>2713</v>
      </c>
      <c r="S1126" s="5"/>
      <c r="T1126" s="1" t="str">
        <f>IFERROR(__xludf.DUMMYFUNCTION("INDEX(SPLIT(A1126, ""/""), 2)"),"انجمن‌های علمی و نشریات وابسته به دانشکده‌ها")</f>
        <v>انجمن‌های علمی و نشریات وابسته به دانشکده‌ها</v>
      </c>
      <c r="U1126" s="1" t="str">
        <f>IFERROR(__xludf.DUMMYFUNCTION("INDEX(SPLIT(A1126, ""/""), 3)"),"دانشکده فیزیک")</f>
        <v>دانشکده فیزیک</v>
      </c>
      <c r="V1126" s="1" t="str">
        <f>IFERROR(__xludf.DUMMYFUNCTION("INDEX(SPLIT(A1126, ""/""), 4)"),"شباهنگ")</f>
        <v>شباهنگ</v>
      </c>
    </row>
    <row r="1127">
      <c r="A1127" s="1" t="s">
        <v>3652</v>
      </c>
      <c r="B1127" s="1" t="s">
        <v>3661</v>
      </c>
      <c r="C1127" s="1" t="s">
        <v>21</v>
      </c>
      <c r="D1127" s="4" t="s">
        <v>3662</v>
      </c>
      <c r="E1127" s="1" t="s">
        <v>71</v>
      </c>
      <c r="F1127" s="1" t="s">
        <v>3655</v>
      </c>
      <c r="G1127" s="1" t="s">
        <v>3656</v>
      </c>
      <c r="H1127" s="1" t="s">
        <v>2712</v>
      </c>
      <c r="I1127" s="1" t="str">
        <f t="shared" si="1"/>
        <v>x</v>
      </c>
      <c r="J1127" s="5"/>
      <c r="K1127" s="1" t="str">
        <f t="shared" si="2"/>
        <v>x</v>
      </c>
      <c r="L1127" s="1">
        <v>3.0</v>
      </c>
      <c r="M1127" s="2" t="str">
        <f t="shared" si="3"/>
        <v>1395</v>
      </c>
      <c r="N1127" s="5"/>
      <c r="O1127" s="2">
        <v>4.0</v>
      </c>
      <c r="P1127" s="5"/>
      <c r="Q1127" s="5"/>
      <c r="R1127" s="8" t="s">
        <v>2713</v>
      </c>
      <c r="S1127" s="5"/>
      <c r="T1127" s="1" t="str">
        <f>IFERROR(__xludf.DUMMYFUNCTION("INDEX(SPLIT(A1127, ""/""), 2)"),"انجمن‌های علمی و نشریات وابسته به دانشکده‌ها")</f>
        <v>انجمن‌های علمی و نشریات وابسته به دانشکده‌ها</v>
      </c>
      <c r="U1127" s="1" t="str">
        <f>IFERROR(__xludf.DUMMYFUNCTION("INDEX(SPLIT(A1127, ""/""), 3)"),"دانشکده فیزیک")</f>
        <v>دانشکده فیزیک</v>
      </c>
      <c r="V1127" s="1" t="str">
        <f>IFERROR(__xludf.DUMMYFUNCTION("INDEX(SPLIT(A1127, ""/""), 4)"),"شباهنگ")</f>
        <v>شباهنگ</v>
      </c>
    </row>
    <row r="1128">
      <c r="A1128" s="1" t="s">
        <v>3652</v>
      </c>
      <c r="B1128" s="1" t="s">
        <v>3663</v>
      </c>
      <c r="C1128" s="1" t="s">
        <v>21</v>
      </c>
      <c r="D1128" s="4" t="s">
        <v>3664</v>
      </c>
      <c r="E1128" s="1" t="s">
        <v>71</v>
      </c>
      <c r="F1128" s="1" t="s">
        <v>3655</v>
      </c>
      <c r="G1128" s="1" t="s">
        <v>3656</v>
      </c>
      <c r="H1128" s="1" t="s">
        <v>2712</v>
      </c>
      <c r="I1128" s="1" t="str">
        <f t="shared" si="1"/>
        <v>x</v>
      </c>
      <c r="J1128" s="5"/>
      <c r="K1128" s="1" t="str">
        <f t="shared" si="2"/>
        <v>x</v>
      </c>
      <c r="L1128" s="1">
        <v>3.0</v>
      </c>
      <c r="M1128" s="2" t="str">
        <f t="shared" si="3"/>
        <v>1395</v>
      </c>
      <c r="N1128" s="5"/>
      <c r="O1128" s="2">
        <v>5.0</v>
      </c>
      <c r="P1128" s="5"/>
      <c r="Q1128" s="5"/>
      <c r="R1128" s="8" t="s">
        <v>2713</v>
      </c>
      <c r="S1128" s="5"/>
      <c r="T1128" s="1" t="str">
        <f>IFERROR(__xludf.DUMMYFUNCTION("INDEX(SPLIT(A1128, ""/""), 2)"),"انجمن‌های علمی و نشریات وابسته به دانشکده‌ها")</f>
        <v>انجمن‌های علمی و نشریات وابسته به دانشکده‌ها</v>
      </c>
      <c r="U1128" s="1" t="str">
        <f>IFERROR(__xludf.DUMMYFUNCTION("INDEX(SPLIT(A1128, ""/""), 3)"),"دانشکده فیزیک")</f>
        <v>دانشکده فیزیک</v>
      </c>
      <c r="V1128" s="1" t="str">
        <f>IFERROR(__xludf.DUMMYFUNCTION("INDEX(SPLIT(A1128, ""/""), 4)"),"شباهنگ")</f>
        <v>شباهنگ</v>
      </c>
    </row>
    <row r="1129">
      <c r="A1129" s="1" t="s">
        <v>3652</v>
      </c>
      <c r="B1129" s="1" t="s">
        <v>3665</v>
      </c>
      <c r="C1129" s="1" t="s">
        <v>21</v>
      </c>
      <c r="D1129" s="4" t="s">
        <v>3666</v>
      </c>
      <c r="E1129" s="1" t="s">
        <v>71</v>
      </c>
      <c r="F1129" s="1" t="s">
        <v>3655</v>
      </c>
      <c r="G1129" s="1" t="s">
        <v>3656</v>
      </c>
      <c r="H1129" s="1" t="s">
        <v>2712</v>
      </c>
      <c r="I1129" s="1" t="str">
        <f t="shared" si="1"/>
        <v>x</v>
      </c>
      <c r="J1129" s="5"/>
      <c r="K1129" s="1" t="str">
        <f t="shared" si="2"/>
        <v>x</v>
      </c>
      <c r="L1129" s="1">
        <v>4.0</v>
      </c>
      <c r="M1129" s="2" t="str">
        <f t="shared" si="3"/>
        <v>1395</v>
      </c>
      <c r="N1129" s="5"/>
      <c r="O1129" s="2">
        <v>6.0</v>
      </c>
      <c r="P1129" s="5"/>
      <c r="Q1129" s="5"/>
      <c r="R1129" s="8" t="s">
        <v>2713</v>
      </c>
      <c r="S1129" s="5"/>
      <c r="T1129" s="1" t="str">
        <f>IFERROR(__xludf.DUMMYFUNCTION("INDEX(SPLIT(A1129, ""/""), 2)"),"انجمن‌های علمی و نشریات وابسته به دانشکده‌ها")</f>
        <v>انجمن‌های علمی و نشریات وابسته به دانشکده‌ها</v>
      </c>
      <c r="U1129" s="1" t="str">
        <f>IFERROR(__xludf.DUMMYFUNCTION("INDEX(SPLIT(A1129, ""/""), 3)"),"دانشکده فیزیک")</f>
        <v>دانشکده فیزیک</v>
      </c>
      <c r="V1129" s="1" t="str">
        <f>IFERROR(__xludf.DUMMYFUNCTION("INDEX(SPLIT(A1129, ""/""), 4)"),"شباهنگ")</f>
        <v>شباهنگ</v>
      </c>
    </row>
    <row r="1130">
      <c r="A1130" s="1" t="s">
        <v>3652</v>
      </c>
      <c r="B1130" s="1" t="s">
        <v>3667</v>
      </c>
      <c r="C1130" s="1" t="s">
        <v>21</v>
      </c>
      <c r="D1130" s="4" t="s">
        <v>3668</v>
      </c>
      <c r="E1130" s="1" t="s">
        <v>71</v>
      </c>
      <c r="F1130" s="1" t="s">
        <v>3655</v>
      </c>
      <c r="G1130" s="1" t="s">
        <v>3656</v>
      </c>
      <c r="H1130" s="1" t="s">
        <v>759</v>
      </c>
      <c r="I1130" s="1" t="str">
        <f t="shared" si="1"/>
        <v>x</v>
      </c>
      <c r="J1130" s="5"/>
      <c r="K1130" s="1" t="str">
        <f t="shared" si="2"/>
        <v>1</v>
      </c>
      <c r="L1130" s="5"/>
      <c r="M1130" s="2" t="str">
        <f t="shared" si="3"/>
        <v>1396</v>
      </c>
      <c r="N1130" s="5"/>
      <c r="O1130" s="2">
        <v>7.0</v>
      </c>
      <c r="P1130" s="5"/>
      <c r="Q1130" s="5"/>
      <c r="R1130" s="6" t="s">
        <v>760</v>
      </c>
      <c r="S1130" s="5"/>
      <c r="T1130" s="1" t="str">
        <f>IFERROR(__xludf.DUMMYFUNCTION("INDEX(SPLIT(A1130, ""/""), 2)"),"انجمن‌های علمی و نشریات وابسته به دانشکده‌ها")</f>
        <v>انجمن‌های علمی و نشریات وابسته به دانشکده‌ها</v>
      </c>
      <c r="U1130" s="1" t="str">
        <f>IFERROR(__xludf.DUMMYFUNCTION("INDEX(SPLIT(A1130, ""/""), 3)"),"دانشکده فیزیک")</f>
        <v>دانشکده فیزیک</v>
      </c>
      <c r="V1130" s="1" t="str">
        <f>IFERROR(__xludf.DUMMYFUNCTION("INDEX(SPLIT(A1130, ""/""), 4)"),"شباهنگ")</f>
        <v>شباهنگ</v>
      </c>
    </row>
    <row r="1131">
      <c r="A1131" s="1" t="s">
        <v>3652</v>
      </c>
      <c r="B1131" s="1" t="s">
        <v>3669</v>
      </c>
      <c r="C1131" s="1" t="s">
        <v>21</v>
      </c>
      <c r="D1131" s="4" t="s">
        <v>3670</v>
      </c>
      <c r="E1131" s="1" t="s">
        <v>71</v>
      </c>
      <c r="F1131" s="1" t="s">
        <v>3655</v>
      </c>
      <c r="G1131" s="1" t="s">
        <v>3656</v>
      </c>
      <c r="H1131" s="1" t="s">
        <v>3671</v>
      </c>
      <c r="I1131" s="1" t="str">
        <f t="shared" si="1"/>
        <v>x</v>
      </c>
      <c r="J1131" s="5"/>
      <c r="K1131" s="1" t="str">
        <f t="shared" si="2"/>
        <v>x</v>
      </c>
      <c r="L1131" s="1">
        <v>1.0</v>
      </c>
      <c r="M1131" s="2" t="str">
        <f t="shared" si="3"/>
        <v>1396</v>
      </c>
      <c r="N1131" s="5"/>
      <c r="O1131" s="2">
        <v>8.0</v>
      </c>
      <c r="P1131" s="5"/>
      <c r="Q1131" s="5"/>
      <c r="R1131" s="8" t="s">
        <v>2302</v>
      </c>
      <c r="S1131" s="5"/>
      <c r="T1131" s="1" t="str">
        <f>IFERROR(__xludf.DUMMYFUNCTION("INDEX(SPLIT(A1131, ""/""), 2)"),"انجمن‌های علمی و نشریات وابسته به دانشکده‌ها")</f>
        <v>انجمن‌های علمی و نشریات وابسته به دانشکده‌ها</v>
      </c>
      <c r="U1131" s="1" t="str">
        <f>IFERROR(__xludf.DUMMYFUNCTION("INDEX(SPLIT(A1131, ""/""), 3)"),"دانشکده فیزیک")</f>
        <v>دانشکده فیزیک</v>
      </c>
      <c r="V1131" s="1" t="str">
        <f>IFERROR(__xludf.DUMMYFUNCTION("INDEX(SPLIT(A1131, ""/""), 4)"),"شباهنگ")</f>
        <v>شباهنگ</v>
      </c>
    </row>
    <row r="1132">
      <c r="A1132" s="1" t="s">
        <v>3652</v>
      </c>
      <c r="B1132" s="1" t="s">
        <v>3672</v>
      </c>
      <c r="C1132" s="1" t="s">
        <v>21</v>
      </c>
      <c r="D1132" s="4" t="s">
        <v>3673</v>
      </c>
      <c r="E1132" s="1" t="s">
        <v>71</v>
      </c>
      <c r="F1132" s="1" t="s">
        <v>3655</v>
      </c>
      <c r="G1132" s="1" t="s">
        <v>3656</v>
      </c>
      <c r="H1132" s="1" t="s">
        <v>2719</v>
      </c>
      <c r="I1132" s="1" t="str">
        <f t="shared" si="1"/>
        <v>x</v>
      </c>
      <c r="J1132" s="5"/>
      <c r="K1132" s="1" t="str">
        <f t="shared" si="2"/>
        <v>x</v>
      </c>
      <c r="L1132" s="1">
        <v>1.0</v>
      </c>
      <c r="M1132" s="2" t="str">
        <f t="shared" si="3"/>
        <v>1397</v>
      </c>
      <c r="N1132" s="5"/>
      <c r="O1132" s="2">
        <v>10.0</v>
      </c>
      <c r="P1132" s="5"/>
      <c r="Q1132" s="5"/>
      <c r="R1132" s="8" t="s">
        <v>2023</v>
      </c>
      <c r="S1132" s="5"/>
      <c r="T1132" s="1" t="str">
        <f>IFERROR(__xludf.DUMMYFUNCTION("INDEX(SPLIT(A1132, ""/""), 2)"),"انجمن‌های علمی و نشریات وابسته به دانشکده‌ها")</f>
        <v>انجمن‌های علمی و نشریات وابسته به دانشکده‌ها</v>
      </c>
      <c r="U1132" s="1" t="str">
        <f>IFERROR(__xludf.DUMMYFUNCTION("INDEX(SPLIT(A1132, ""/""), 3)"),"دانشکده فیزیک")</f>
        <v>دانشکده فیزیک</v>
      </c>
      <c r="V1132" s="1" t="str">
        <f>IFERROR(__xludf.DUMMYFUNCTION("INDEX(SPLIT(A1132, ""/""), 4)"),"شباهنگ")</f>
        <v>شباهنگ</v>
      </c>
    </row>
    <row r="1133">
      <c r="A1133" s="1" t="s">
        <v>3652</v>
      </c>
      <c r="B1133" s="1" t="s">
        <v>3674</v>
      </c>
      <c r="C1133" s="1" t="s">
        <v>21</v>
      </c>
      <c r="D1133" s="4" t="s">
        <v>3675</v>
      </c>
      <c r="E1133" s="1" t="s">
        <v>71</v>
      </c>
      <c r="F1133" s="1" t="s">
        <v>3676</v>
      </c>
      <c r="G1133" s="1" t="s">
        <v>3656</v>
      </c>
      <c r="H1133" s="1" t="s">
        <v>2719</v>
      </c>
      <c r="I1133" s="1" t="str">
        <f t="shared" si="1"/>
        <v>x</v>
      </c>
      <c r="J1133" s="5"/>
      <c r="K1133" s="1" t="str">
        <f t="shared" si="2"/>
        <v>x</v>
      </c>
      <c r="L1133" s="1">
        <v>3.0</v>
      </c>
      <c r="M1133" s="2" t="str">
        <f t="shared" si="3"/>
        <v>1397</v>
      </c>
      <c r="N1133" s="5"/>
      <c r="O1133" s="2">
        <v>11.0</v>
      </c>
      <c r="P1133" s="5"/>
      <c r="Q1133" s="5"/>
      <c r="R1133" s="8" t="s">
        <v>2023</v>
      </c>
      <c r="S1133" s="5"/>
      <c r="T1133" s="1" t="str">
        <f>IFERROR(__xludf.DUMMYFUNCTION("INDEX(SPLIT(A1133, ""/""), 2)"),"انجمن‌های علمی و نشریات وابسته به دانشکده‌ها")</f>
        <v>انجمن‌های علمی و نشریات وابسته به دانشکده‌ها</v>
      </c>
      <c r="U1133" s="1" t="str">
        <f>IFERROR(__xludf.DUMMYFUNCTION("INDEX(SPLIT(A1133, ""/""), 3)"),"دانشکده فیزیک")</f>
        <v>دانشکده فیزیک</v>
      </c>
      <c r="V1133" s="1" t="str">
        <f>IFERROR(__xludf.DUMMYFUNCTION("INDEX(SPLIT(A1133, ""/""), 4)"),"شباهنگ")</f>
        <v>شباهنگ</v>
      </c>
    </row>
    <row r="1134">
      <c r="A1134" s="1" t="s">
        <v>3652</v>
      </c>
      <c r="B1134" s="1" t="s">
        <v>3677</v>
      </c>
      <c r="C1134" s="1" t="s">
        <v>21</v>
      </c>
      <c r="D1134" s="4" t="s">
        <v>3678</v>
      </c>
      <c r="E1134" s="1" t="s">
        <v>71</v>
      </c>
      <c r="F1134" s="1" t="s">
        <v>3676</v>
      </c>
      <c r="G1134" s="1" t="s">
        <v>3679</v>
      </c>
      <c r="H1134" s="1" t="s">
        <v>2719</v>
      </c>
      <c r="I1134" s="1" t="str">
        <f t="shared" si="1"/>
        <v>x</v>
      </c>
      <c r="J1134" s="5"/>
      <c r="K1134" s="1" t="str">
        <f t="shared" si="2"/>
        <v>x</v>
      </c>
      <c r="L1134" s="1">
        <v>4.0</v>
      </c>
      <c r="M1134" s="2" t="str">
        <f t="shared" si="3"/>
        <v>1397</v>
      </c>
      <c r="N1134" s="5"/>
      <c r="O1134" s="2">
        <v>12.0</v>
      </c>
      <c r="P1134" s="5"/>
      <c r="Q1134" s="5"/>
      <c r="R1134" s="8" t="s">
        <v>2023</v>
      </c>
      <c r="S1134" s="5"/>
      <c r="T1134" s="1" t="str">
        <f>IFERROR(__xludf.DUMMYFUNCTION("INDEX(SPLIT(A1134, ""/""), 2)"),"انجمن‌های علمی و نشریات وابسته به دانشکده‌ها")</f>
        <v>انجمن‌های علمی و نشریات وابسته به دانشکده‌ها</v>
      </c>
      <c r="U1134" s="1" t="str">
        <f>IFERROR(__xludf.DUMMYFUNCTION("INDEX(SPLIT(A1134, ""/""), 3)"),"دانشکده فیزیک")</f>
        <v>دانشکده فیزیک</v>
      </c>
      <c r="V1134" s="1" t="str">
        <f>IFERROR(__xludf.DUMMYFUNCTION("INDEX(SPLIT(A1134, ""/""), 4)"),"شباهنگ")</f>
        <v>شباهنگ</v>
      </c>
    </row>
    <row r="1135">
      <c r="A1135" s="1" t="s">
        <v>3652</v>
      </c>
      <c r="B1135" s="1" t="s">
        <v>3680</v>
      </c>
      <c r="C1135" s="1" t="s">
        <v>21</v>
      </c>
      <c r="D1135" s="4" t="s">
        <v>3681</v>
      </c>
      <c r="E1135" s="1" t="s">
        <v>71</v>
      </c>
      <c r="F1135" s="1" t="s">
        <v>3676</v>
      </c>
      <c r="G1135" s="1" t="s">
        <v>3679</v>
      </c>
      <c r="H1135" s="1" t="s">
        <v>107</v>
      </c>
      <c r="I1135" s="1" t="str">
        <f t="shared" si="1"/>
        <v>x</v>
      </c>
      <c r="J1135" s="5"/>
      <c r="K1135" s="1" t="str">
        <f t="shared" si="2"/>
        <v>x</v>
      </c>
      <c r="L1135" s="1">
        <v>3.0</v>
      </c>
      <c r="M1135" s="2" t="str">
        <f t="shared" si="3"/>
        <v>1398</v>
      </c>
      <c r="N1135" s="5"/>
      <c r="O1135" s="2">
        <v>13.0</v>
      </c>
      <c r="P1135" s="5"/>
      <c r="Q1135" s="5"/>
      <c r="R1135" s="8" t="s">
        <v>108</v>
      </c>
      <c r="S1135" s="5"/>
      <c r="T1135" s="1" t="str">
        <f>IFERROR(__xludf.DUMMYFUNCTION("INDEX(SPLIT(A1135, ""/""), 2)"),"انجمن‌های علمی و نشریات وابسته به دانشکده‌ها")</f>
        <v>انجمن‌های علمی و نشریات وابسته به دانشکده‌ها</v>
      </c>
      <c r="U1135" s="1" t="str">
        <f>IFERROR(__xludf.DUMMYFUNCTION("INDEX(SPLIT(A1135, ""/""), 3)"),"دانشکده فیزیک")</f>
        <v>دانشکده فیزیک</v>
      </c>
      <c r="V1135" s="1" t="str">
        <f>IFERROR(__xludf.DUMMYFUNCTION("INDEX(SPLIT(A1135, ""/""), 4)"),"شباهنگ")</f>
        <v>شباهنگ</v>
      </c>
    </row>
    <row r="1136">
      <c r="A1136" s="1" t="s">
        <v>3652</v>
      </c>
      <c r="B1136" s="1" t="s">
        <v>3682</v>
      </c>
      <c r="C1136" s="1" t="s">
        <v>21</v>
      </c>
      <c r="D1136" s="4" t="s">
        <v>3683</v>
      </c>
      <c r="E1136" s="1" t="s">
        <v>71</v>
      </c>
      <c r="F1136" s="1" t="s">
        <v>3676</v>
      </c>
      <c r="G1136" s="1" t="s">
        <v>3679</v>
      </c>
      <c r="H1136" s="1" t="s">
        <v>107</v>
      </c>
      <c r="I1136" s="1" t="str">
        <f t="shared" si="1"/>
        <v>x</v>
      </c>
      <c r="J1136" s="5"/>
      <c r="K1136" s="1" t="str">
        <f t="shared" si="2"/>
        <v>x</v>
      </c>
      <c r="L1136" s="1">
        <v>3.0</v>
      </c>
      <c r="M1136" s="2" t="str">
        <f t="shared" si="3"/>
        <v>1398</v>
      </c>
      <c r="N1136" s="5"/>
      <c r="O1136" s="2">
        <v>14.0</v>
      </c>
      <c r="P1136" s="5"/>
      <c r="Q1136" s="5"/>
      <c r="R1136" s="8" t="s">
        <v>108</v>
      </c>
      <c r="S1136" s="5"/>
      <c r="T1136" s="1" t="str">
        <f>IFERROR(__xludf.DUMMYFUNCTION("INDEX(SPLIT(A1136, ""/""), 2)"),"انجمن‌های علمی و نشریات وابسته به دانشکده‌ها")</f>
        <v>انجمن‌های علمی و نشریات وابسته به دانشکده‌ها</v>
      </c>
      <c r="U1136" s="1" t="str">
        <f>IFERROR(__xludf.DUMMYFUNCTION("INDEX(SPLIT(A1136, ""/""), 3)"),"دانشکده فیزیک")</f>
        <v>دانشکده فیزیک</v>
      </c>
      <c r="V1136" s="1" t="str">
        <f>IFERROR(__xludf.DUMMYFUNCTION("INDEX(SPLIT(A1136, ""/""), 4)"),"شباهنگ")</f>
        <v>شباهنگ</v>
      </c>
    </row>
    <row r="1137">
      <c r="A1137" s="1" t="s">
        <v>3652</v>
      </c>
      <c r="B1137" s="1" t="s">
        <v>3684</v>
      </c>
      <c r="C1137" s="1" t="s">
        <v>21</v>
      </c>
      <c r="D1137" s="4" t="s">
        <v>3685</v>
      </c>
      <c r="E1137" s="1" t="s">
        <v>71</v>
      </c>
      <c r="F1137" s="1" t="s">
        <v>3676</v>
      </c>
      <c r="G1137" s="1" t="s">
        <v>3686</v>
      </c>
      <c r="H1137" s="1" t="s">
        <v>32</v>
      </c>
      <c r="I1137" s="1" t="str">
        <f t="shared" si="1"/>
        <v>x</v>
      </c>
      <c r="J1137" s="5"/>
      <c r="K1137" s="1" t="str">
        <f t="shared" si="2"/>
        <v>8</v>
      </c>
      <c r="L1137" s="5"/>
      <c r="M1137" s="2" t="str">
        <f t="shared" si="3"/>
        <v>1399</v>
      </c>
      <c r="N1137" s="5"/>
      <c r="O1137" s="2">
        <v>15.0</v>
      </c>
      <c r="P1137" s="5"/>
      <c r="Q1137" s="5"/>
      <c r="R1137" s="6" t="s">
        <v>33</v>
      </c>
      <c r="S1137" s="5"/>
      <c r="T1137" s="1" t="str">
        <f>IFERROR(__xludf.DUMMYFUNCTION("INDEX(SPLIT(A1137, ""/""), 2)"),"انجمن‌های علمی و نشریات وابسته به دانشکده‌ها")</f>
        <v>انجمن‌های علمی و نشریات وابسته به دانشکده‌ها</v>
      </c>
      <c r="U1137" s="1" t="str">
        <f>IFERROR(__xludf.DUMMYFUNCTION("INDEX(SPLIT(A1137, ""/""), 3)"),"دانشکده فیزیک")</f>
        <v>دانشکده فیزیک</v>
      </c>
      <c r="V1137" s="1" t="str">
        <f>IFERROR(__xludf.DUMMYFUNCTION("INDEX(SPLIT(A1137, ""/""), 4)"),"شباهنگ")</f>
        <v>شباهنگ</v>
      </c>
    </row>
    <row r="1138">
      <c r="A1138" s="1" t="s">
        <v>3652</v>
      </c>
      <c r="B1138" s="1" t="s">
        <v>3687</v>
      </c>
      <c r="C1138" s="1" t="s">
        <v>21</v>
      </c>
      <c r="D1138" s="4" t="s">
        <v>3688</v>
      </c>
      <c r="E1138" s="1" t="s">
        <v>71</v>
      </c>
      <c r="F1138" s="1" t="s">
        <v>3676</v>
      </c>
      <c r="G1138" s="1" t="s">
        <v>3686</v>
      </c>
      <c r="H1138" s="1" t="s">
        <v>742</v>
      </c>
      <c r="I1138" s="1" t="str">
        <f t="shared" si="1"/>
        <v>x</v>
      </c>
      <c r="J1138" s="5"/>
      <c r="K1138" s="1" t="str">
        <f t="shared" si="2"/>
        <v>x</v>
      </c>
      <c r="L1138" s="1">
        <v>3.0</v>
      </c>
      <c r="M1138" s="2" t="str">
        <f t="shared" si="3"/>
        <v>1400</v>
      </c>
      <c r="N1138" s="5"/>
      <c r="O1138" s="2">
        <v>16.0</v>
      </c>
      <c r="P1138" s="5"/>
      <c r="Q1138" s="5"/>
      <c r="R1138" s="8" t="s">
        <v>744</v>
      </c>
      <c r="S1138" s="5"/>
      <c r="T1138" s="1" t="str">
        <f>IFERROR(__xludf.DUMMYFUNCTION("INDEX(SPLIT(A1138, ""/""), 2)"),"انجمن‌های علمی و نشریات وابسته به دانشکده‌ها")</f>
        <v>انجمن‌های علمی و نشریات وابسته به دانشکده‌ها</v>
      </c>
      <c r="U1138" s="1" t="str">
        <f>IFERROR(__xludf.DUMMYFUNCTION("INDEX(SPLIT(A1138, ""/""), 3)"),"دانشکده فیزیک")</f>
        <v>دانشکده فیزیک</v>
      </c>
      <c r="V1138" s="1" t="str">
        <f>IFERROR(__xludf.DUMMYFUNCTION("INDEX(SPLIT(A1138, ""/""), 4)"),"شباهنگ")</f>
        <v>شباهنگ</v>
      </c>
    </row>
    <row r="1139">
      <c r="A1139" s="1" t="s">
        <v>3652</v>
      </c>
      <c r="B1139" s="1" t="s">
        <v>3689</v>
      </c>
      <c r="C1139" s="1" t="s">
        <v>21</v>
      </c>
      <c r="D1139" s="4" t="s">
        <v>3690</v>
      </c>
      <c r="E1139" s="1" t="s">
        <v>71</v>
      </c>
      <c r="F1139" s="1" t="s">
        <v>3676</v>
      </c>
      <c r="G1139" s="1" t="s">
        <v>3686</v>
      </c>
      <c r="H1139" s="1" t="s">
        <v>742</v>
      </c>
      <c r="I1139" s="1" t="str">
        <f t="shared" si="1"/>
        <v>x</v>
      </c>
      <c r="J1139" s="5"/>
      <c r="K1139" s="1" t="str">
        <f t="shared" si="2"/>
        <v>x</v>
      </c>
      <c r="L1139" s="1">
        <v>4.0</v>
      </c>
      <c r="M1139" s="2" t="str">
        <f t="shared" si="3"/>
        <v>1400</v>
      </c>
      <c r="N1139" s="5"/>
      <c r="O1139" s="2">
        <v>17.0</v>
      </c>
      <c r="P1139" s="5"/>
      <c r="Q1139" s="5"/>
      <c r="R1139" s="8" t="s">
        <v>744</v>
      </c>
      <c r="S1139" s="5"/>
      <c r="T1139" s="1" t="str">
        <f>IFERROR(__xludf.DUMMYFUNCTION("INDEX(SPLIT(A1139, ""/""), 2)"),"انجمن‌های علمی و نشریات وابسته به دانشکده‌ها")</f>
        <v>انجمن‌های علمی و نشریات وابسته به دانشکده‌ها</v>
      </c>
      <c r="U1139" s="1" t="str">
        <f>IFERROR(__xludf.DUMMYFUNCTION("INDEX(SPLIT(A1139, ""/""), 3)"),"دانشکده فیزیک")</f>
        <v>دانشکده فیزیک</v>
      </c>
      <c r="V1139" s="1" t="str">
        <f>IFERROR(__xludf.DUMMYFUNCTION("INDEX(SPLIT(A1139, ""/""), 4)"),"شباهنگ")</f>
        <v>شباهنگ</v>
      </c>
    </row>
    <row r="1140">
      <c r="A1140" s="1" t="s">
        <v>3652</v>
      </c>
      <c r="B1140" s="1" t="s">
        <v>3691</v>
      </c>
      <c r="C1140" s="1" t="s">
        <v>21</v>
      </c>
      <c r="D1140" s="4" t="s">
        <v>3692</v>
      </c>
      <c r="E1140" s="1" t="s">
        <v>71</v>
      </c>
      <c r="F1140" s="1" t="s">
        <v>3676</v>
      </c>
      <c r="G1140" s="1" t="s">
        <v>3686</v>
      </c>
      <c r="H1140" s="1" t="s">
        <v>520</v>
      </c>
      <c r="I1140" s="1" t="str">
        <f t="shared" si="1"/>
        <v>x</v>
      </c>
      <c r="J1140" s="5"/>
      <c r="K1140" s="1" t="str">
        <f t="shared" si="2"/>
        <v>x</v>
      </c>
      <c r="L1140" s="1">
        <v>4.0</v>
      </c>
      <c r="M1140" s="2" t="str">
        <f t="shared" si="3"/>
        <v>1401</v>
      </c>
      <c r="N1140" s="5"/>
      <c r="O1140" s="2">
        <v>18.0</v>
      </c>
      <c r="P1140" s="5"/>
      <c r="Q1140" s="5"/>
      <c r="R1140" s="8" t="s">
        <v>521</v>
      </c>
      <c r="S1140" s="5"/>
      <c r="T1140" s="1" t="str">
        <f>IFERROR(__xludf.DUMMYFUNCTION("INDEX(SPLIT(A1140, ""/""), 2)"),"انجمن‌های علمی و نشریات وابسته به دانشکده‌ها")</f>
        <v>انجمن‌های علمی و نشریات وابسته به دانشکده‌ها</v>
      </c>
      <c r="U1140" s="1" t="str">
        <f>IFERROR(__xludf.DUMMYFUNCTION("INDEX(SPLIT(A1140, ""/""), 3)"),"دانشکده فیزیک")</f>
        <v>دانشکده فیزیک</v>
      </c>
      <c r="V1140" s="1" t="str">
        <f>IFERROR(__xludf.DUMMYFUNCTION("INDEX(SPLIT(A1140, ""/""), 4)"),"شباهنگ")</f>
        <v>شباهنگ</v>
      </c>
    </row>
    <row r="1141">
      <c r="A1141" s="1" t="s">
        <v>3652</v>
      </c>
      <c r="B1141" s="1" t="s">
        <v>3693</v>
      </c>
      <c r="C1141" s="1" t="s">
        <v>21</v>
      </c>
      <c r="D1141" s="4" t="s">
        <v>3694</v>
      </c>
      <c r="E1141" s="1" t="s">
        <v>71</v>
      </c>
      <c r="F1141" s="1" t="s">
        <v>3676</v>
      </c>
      <c r="G1141" s="1" t="s">
        <v>3686</v>
      </c>
      <c r="H1141" s="1" t="s">
        <v>520</v>
      </c>
      <c r="I1141" s="1" t="str">
        <f t="shared" si="1"/>
        <v>x</v>
      </c>
      <c r="J1141" s="5"/>
      <c r="K1141" s="1" t="str">
        <f t="shared" si="2"/>
        <v>x</v>
      </c>
      <c r="L1141" s="1">
        <v>4.0</v>
      </c>
      <c r="M1141" s="2" t="str">
        <f t="shared" si="3"/>
        <v>1401</v>
      </c>
      <c r="N1141" s="5"/>
      <c r="O1141" s="2">
        <v>19.0</v>
      </c>
      <c r="P1141" s="5"/>
      <c r="Q1141" s="5"/>
      <c r="R1141" s="8" t="s">
        <v>521</v>
      </c>
      <c r="S1141" s="5"/>
      <c r="T1141" s="1" t="str">
        <f>IFERROR(__xludf.DUMMYFUNCTION("INDEX(SPLIT(A1141, ""/""), 2)"),"انجمن‌های علمی و نشریات وابسته به دانشکده‌ها")</f>
        <v>انجمن‌های علمی و نشریات وابسته به دانشکده‌ها</v>
      </c>
      <c r="U1141" s="1" t="str">
        <f>IFERROR(__xludf.DUMMYFUNCTION("INDEX(SPLIT(A1141, ""/""), 3)"),"دانشکده فیزیک")</f>
        <v>دانشکده فیزیک</v>
      </c>
      <c r="V1141" s="1" t="str">
        <f>IFERROR(__xludf.DUMMYFUNCTION("INDEX(SPLIT(A1141, ""/""), 4)"),"شباهنگ")</f>
        <v>شباهنگ</v>
      </c>
    </row>
    <row r="1142">
      <c r="A1142" s="1" t="s">
        <v>3652</v>
      </c>
      <c r="B1142" s="1" t="s">
        <v>3695</v>
      </c>
      <c r="C1142" s="1" t="s">
        <v>21</v>
      </c>
      <c r="D1142" s="4" t="s">
        <v>3696</v>
      </c>
      <c r="E1142" s="1" t="s">
        <v>71</v>
      </c>
      <c r="F1142" s="1" t="s">
        <v>3676</v>
      </c>
      <c r="G1142" s="1" t="s">
        <v>3697</v>
      </c>
      <c r="H1142" s="1" t="s">
        <v>2438</v>
      </c>
      <c r="I1142" s="1" t="str">
        <f t="shared" si="1"/>
        <v>x</v>
      </c>
      <c r="J1142" s="5"/>
      <c r="K1142" s="1" t="str">
        <f t="shared" si="2"/>
        <v>2</v>
      </c>
      <c r="L1142" s="5"/>
      <c r="M1142" s="2" t="str">
        <f t="shared" si="3"/>
        <v>1403</v>
      </c>
      <c r="N1142" s="5"/>
      <c r="O1142" s="2">
        <v>20.0</v>
      </c>
      <c r="P1142" s="5"/>
      <c r="Q1142" s="5"/>
      <c r="R1142" s="6" t="s">
        <v>2439</v>
      </c>
      <c r="S1142" s="5"/>
      <c r="T1142" s="1" t="str">
        <f>IFERROR(__xludf.DUMMYFUNCTION("INDEX(SPLIT(A1142, ""/""), 2)"),"انجمن‌های علمی و نشریات وابسته به دانشکده‌ها")</f>
        <v>انجمن‌های علمی و نشریات وابسته به دانشکده‌ها</v>
      </c>
      <c r="U1142" s="1" t="str">
        <f>IFERROR(__xludf.DUMMYFUNCTION("INDEX(SPLIT(A1142, ""/""), 3)"),"دانشکده فیزیک")</f>
        <v>دانشکده فیزیک</v>
      </c>
      <c r="V1142" s="1" t="str">
        <f>IFERROR(__xludf.DUMMYFUNCTION("INDEX(SPLIT(A1142, ""/""), 4)"),"شباهنگ")</f>
        <v>شباهنگ</v>
      </c>
    </row>
    <row r="1143">
      <c r="A1143" s="1" t="s">
        <v>3698</v>
      </c>
      <c r="B1143" s="1" t="s">
        <v>3699</v>
      </c>
      <c r="C1143" s="1" t="s">
        <v>21</v>
      </c>
      <c r="D1143" s="4" t="s">
        <v>3700</v>
      </c>
      <c r="E1143" s="1" t="s">
        <v>3701</v>
      </c>
      <c r="F1143" s="1" t="s">
        <v>3702</v>
      </c>
      <c r="G1143" s="1" t="s">
        <v>752</v>
      </c>
      <c r="H1143" s="1" t="s">
        <v>3703</v>
      </c>
      <c r="I1143" s="1" t="str">
        <f t="shared" si="1"/>
        <v>x</v>
      </c>
      <c r="J1143" s="5"/>
      <c r="K1143" s="1" t="str">
        <f t="shared" si="2"/>
        <v>3</v>
      </c>
      <c r="L1143" s="5"/>
      <c r="M1143" s="2" t="str">
        <f t="shared" si="3"/>
        <v>1386</v>
      </c>
      <c r="N1143" s="5"/>
      <c r="O1143" s="1">
        <v>0.0</v>
      </c>
      <c r="P1143" s="5"/>
      <c r="Q1143" s="5"/>
      <c r="R1143" s="6" t="s">
        <v>3704</v>
      </c>
      <c r="S1143" s="5"/>
      <c r="T1143" s="1" t="str">
        <f>IFERROR(__xludf.DUMMYFUNCTION("INDEX(SPLIT(A1143, ""/""), 2)"),"شورا")</f>
        <v>شورا</v>
      </c>
      <c r="U1143" s="1" t="str">
        <f>IFERROR(__xludf.DUMMYFUNCTION("INDEX(SPLIT(A1143, ""/""), 3)"),"#REF!")</f>
        <v>#REF!</v>
      </c>
      <c r="V1143" s="1" t="str">
        <f>IFERROR(__xludf.DUMMYFUNCTION("INDEX(SPLIT(A1143, ""/""), 4)"),"#REF!")</f>
        <v>#REF!</v>
      </c>
    </row>
    <row r="1144">
      <c r="A1144" s="1" t="s">
        <v>3698</v>
      </c>
      <c r="B1144" s="1" t="s">
        <v>3705</v>
      </c>
      <c r="C1144" s="1" t="s">
        <v>21</v>
      </c>
      <c r="D1144" s="4" t="s">
        <v>3706</v>
      </c>
      <c r="E1144" s="1" t="s">
        <v>3701</v>
      </c>
      <c r="F1144" s="1" t="s">
        <v>3707</v>
      </c>
      <c r="G1144" s="1" t="s">
        <v>752</v>
      </c>
      <c r="H1144" s="1" t="s">
        <v>1620</v>
      </c>
      <c r="I1144" s="1" t="str">
        <f t="shared" si="1"/>
        <v>x</v>
      </c>
      <c r="J1144" s="5"/>
      <c r="K1144" s="1" t="str">
        <f t="shared" si="2"/>
        <v>8</v>
      </c>
      <c r="L1144" s="5"/>
      <c r="M1144" s="2" t="str">
        <f t="shared" si="3"/>
        <v>1388</v>
      </c>
      <c r="N1144" s="5"/>
      <c r="O1144" s="1">
        <v>1.0</v>
      </c>
      <c r="P1144" s="5"/>
      <c r="Q1144" s="5"/>
      <c r="R1144" s="6" t="s">
        <v>1621</v>
      </c>
      <c r="S1144" s="5"/>
      <c r="T1144" s="1" t="str">
        <f>IFERROR(__xludf.DUMMYFUNCTION("INDEX(SPLIT(A1144, ""/""), 2)"),"شورا")</f>
        <v>شورا</v>
      </c>
      <c r="U1144" s="1" t="str">
        <f>IFERROR(__xludf.DUMMYFUNCTION("INDEX(SPLIT(A1144, ""/""), 3)"),"#REF!")</f>
        <v>#REF!</v>
      </c>
      <c r="V1144" s="1" t="str">
        <f>IFERROR(__xludf.DUMMYFUNCTION("INDEX(SPLIT(A1144, ""/""), 4)"),"#REF!")</f>
        <v>#REF!</v>
      </c>
    </row>
    <row r="1145">
      <c r="A1145" s="1" t="s">
        <v>3698</v>
      </c>
      <c r="B1145" s="1" t="s">
        <v>3708</v>
      </c>
      <c r="C1145" s="1" t="s">
        <v>21</v>
      </c>
      <c r="D1145" s="4" t="s">
        <v>3709</v>
      </c>
      <c r="E1145" s="1" t="s">
        <v>3701</v>
      </c>
      <c r="F1145" s="1" t="s">
        <v>3710</v>
      </c>
      <c r="G1145" s="1" t="s">
        <v>752</v>
      </c>
      <c r="H1145" s="1" t="s">
        <v>2680</v>
      </c>
      <c r="I1145" s="1" t="str">
        <f t="shared" si="1"/>
        <v>x</v>
      </c>
      <c r="J1145" s="5"/>
      <c r="K1145" s="1" t="str">
        <f t="shared" si="2"/>
        <v>x</v>
      </c>
      <c r="L1145" s="5"/>
      <c r="M1145" s="2" t="str">
        <f t="shared" si="3"/>
        <v>1389</v>
      </c>
      <c r="N1145" s="5"/>
      <c r="O1145" s="1">
        <v>2.0</v>
      </c>
      <c r="P1145" s="5"/>
      <c r="Q1145" s="5"/>
      <c r="R1145" s="8" t="s">
        <v>2681</v>
      </c>
      <c r="S1145" s="5"/>
      <c r="T1145" s="1" t="str">
        <f>IFERROR(__xludf.DUMMYFUNCTION("INDEX(SPLIT(A1145, ""/""), 2)"),"شورا")</f>
        <v>شورا</v>
      </c>
      <c r="U1145" s="1" t="str">
        <f>IFERROR(__xludf.DUMMYFUNCTION("INDEX(SPLIT(A1145, ""/""), 3)"),"#REF!")</f>
        <v>#REF!</v>
      </c>
      <c r="V1145" s="1" t="str">
        <f>IFERROR(__xludf.DUMMYFUNCTION("INDEX(SPLIT(A1145, ""/""), 4)"),"#REF!")</f>
        <v>#REF!</v>
      </c>
    </row>
    <row r="1146">
      <c r="A1146" s="1" t="s">
        <v>3698</v>
      </c>
      <c r="B1146" s="1" t="s">
        <v>3711</v>
      </c>
      <c r="C1146" s="1" t="s">
        <v>21</v>
      </c>
      <c r="D1146" s="4" t="s">
        <v>3712</v>
      </c>
      <c r="E1146" s="1" t="s">
        <v>3701</v>
      </c>
      <c r="F1146" s="1" t="s">
        <v>3710</v>
      </c>
      <c r="G1146" s="1" t="s">
        <v>752</v>
      </c>
      <c r="H1146" s="1" t="s">
        <v>3713</v>
      </c>
      <c r="I1146" s="1" t="str">
        <f t="shared" si="1"/>
        <v>28</v>
      </c>
      <c r="J1146" s="5"/>
      <c r="K1146" s="1" t="str">
        <f t="shared" si="2"/>
        <v>1</v>
      </c>
      <c r="L1146" s="5"/>
      <c r="M1146" s="2" t="str">
        <f t="shared" si="3"/>
        <v>1389</v>
      </c>
      <c r="N1146" s="5"/>
      <c r="O1146" s="1">
        <v>3.0</v>
      </c>
      <c r="P1146" s="5"/>
      <c r="Q1146" s="5"/>
      <c r="R1146" s="6" t="s">
        <v>3713</v>
      </c>
      <c r="S1146" s="5"/>
      <c r="T1146" s="1" t="str">
        <f>IFERROR(__xludf.DUMMYFUNCTION("INDEX(SPLIT(A1146, ""/""), 2)"),"شورا")</f>
        <v>شورا</v>
      </c>
      <c r="U1146" s="1" t="str">
        <f>IFERROR(__xludf.DUMMYFUNCTION("INDEX(SPLIT(A1146, ""/""), 3)"),"#REF!")</f>
        <v>#REF!</v>
      </c>
      <c r="V1146" s="1" t="str">
        <f>IFERROR(__xludf.DUMMYFUNCTION("INDEX(SPLIT(A1146, ""/""), 4)"),"#REF!")</f>
        <v>#REF!</v>
      </c>
    </row>
    <row r="1147">
      <c r="A1147" s="1" t="s">
        <v>3698</v>
      </c>
      <c r="B1147" s="1" t="s">
        <v>3714</v>
      </c>
      <c r="C1147" s="1" t="s">
        <v>21</v>
      </c>
      <c r="D1147" s="4" t="s">
        <v>3715</v>
      </c>
      <c r="E1147" s="1" t="s">
        <v>3701</v>
      </c>
      <c r="F1147" s="1" t="s">
        <v>3710</v>
      </c>
      <c r="G1147" s="1" t="s">
        <v>752</v>
      </c>
      <c r="H1147" s="7" t="s">
        <v>3716</v>
      </c>
      <c r="I1147" s="1" t="str">
        <f t="shared" si="1"/>
        <v>5</v>
      </c>
      <c r="J1147" s="5"/>
      <c r="K1147" s="1" t="str">
        <f t="shared" si="2"/>
        <v>2</v>
      </c>
      <c r="L1147" s="5"/>
      <c r="M1147" s="2" t="str">
        <f t="shared" si="3"/>
        <v>1389</v>
      </c>
      <c r="N1147" s="5"/>
      <c r="O1147" s="1">
        <v>4.0</v>
      </c>
      <c r="P1147" s="5"/>
      <c r="Q1147" s="5"/>
      <c r="R1147" s="8" t="s">
        <v>3716</v>
      </c>
      <c r="S1147" s="5"/>
      <c r="T1147" s="1" t="str">
        <f>IFERROR(__xludf.DUMMYFUNCTION("INDEX(SPLIT(A1147, ""/""), 2)"),"شورا")</f>
        <v>شورا</v>
      </c>
      <c r="U1147" s="1" t="str">
        <f>IFERROR(__xludf.DUMMYFUNCTION("INDEX(SPLIT(A1147, ""/""), 3)"),"#REF!")</f>
        <v>#REF!</v>
      </c>
      <c r="V1147" s="1" t="str">
        <f>IFERROR(__xludf.DUMMYFUNCTION("INDEX(SPLIT(A1147, ""/""), 4)"),"#REF!")</f>
        <v>#REF!</v>
      </c>
    </row>
    <row r="1148">
      <c r="A1148" s="1" t="s">
        <v>3698</v>
      </c>
      <c r="B1148" s="1" t="s">
        <v>3717</v>
      </c>
      <c r="C1148" s="1" t="s">
        <v>21</v>
      </c>
      <c r="D1148" s="4" t="s">
        <v>3718</v>
      </c>
      <c r="E1148" s="1" t="s">
        <v>3701</v>
      </c>
      <c r="F1148" s="1" t="s">
        <v>3710</v>
      </c>
      <c r="G1148" s="1" t="s">
        <v>752</v>
      </c>
      <c r="H1148" s="7" t="s">
        <v>3719</v>
      </c>
      <c r="I1148" s="1" t="str">
        <f t="shared" si="1"/>
        <v>12</v>
      </c>
      <c r="J1148" s="5"/>
      <c r="K1148" s="1" t="str">
        <f t="shared" si="2"/>
        <v>2</v>
      </c>
      <c r="L1148" s="5"/>
      <c r="M1148" s="2" t="str">
        <f t="shared" si="3"/>
        <v>1389</v>
      </c>
      <c r="N1148" s="5"/>
      <c r="O1148" s="1">
        <v>5.0</v>
      </c>
      <c r="P1148" s="5"/>
      <c r="Q1148" s="5"/>
      <c r="R1148" s="8" t="s">
        <v>3719</v>
      </c>
      <c r="S1148" s="5"/>
      <c r="T1148" s="1" t="str">
        <f>IFERROR(__xludf.DUMMYFUNCTION("INDEX(SPLIT(A1148, ""/""), 2)"),"شورا")</f>
        <v>شورا</v>
      </c>
      <c r="U1148" s="1" t="str">
        <f>IFERROR(__xludf.DUMMYFUNCTION("INDEX(SPLIT(A1148, ""/""), 3)"),"#REF!")</f>
        <v>#REF!</v>
      </c>
      <c r="V1148" s="1" t="str">
        <f>IFERROR(__xludf.DUMMYFUNCTION("INDEX(SPLIT(A1148, ""/""), 4)"),"#REF!")</f>
        <v>#REF!</v>
      </c>
    </row>
    <row r="1149">
      <c r="A1149" s="1" t="s">
        <v>3698</v>
      </c>
      <c r="B1149" s="1" t="s">
        <v>3720</v>
      </c>
      <c r="C1149" s="1" t="s">
        <v>21</v>
      </c>
      <c r="D1149" s="4" t="s">
        <v>3721</v>
      </c>
      <c r="E1149" s="1" t="s">
        <v>3701</v>
      </c>
      <c r="F1149" s="1" t="s">
        <v>3710</v>
      </c>
      <c r="G1149" s="1" t="s">
        <v>752</v>
      </c>
      <c r="H1149" s="1" t="s">
        <v>3722</v>
      </c>
      <c r="I1149" s="1" t="str">
        <f t="shared" si="1"/>
        <v>138</v>
      </c>
      <c r="J1149" s="5"/>
      <c r="K1149" s="1" t="str">
        <f t="shared" si="2"/>
        <v>2</v>
      </c>
      <c r="L1149" s="5"/>
      <c r="M1149" s="2" t="str">
        <f t="shared" si="3"/>
        <v>1389</v>
      </c>
      <c r="N1149" s="5"/>
      <c r="O1149" s="1">
        <v>6.0</v>
      </c>
      <c r="P1149" s="5"/>
      <c r="Q1149" s="5"/>
      <c r="R1149" s="6" t="s">
        <v>3723</v>
      </c>
      <c r="S1149" s="5"/>
      <c r="T1149" s="1" t="str">
        <f>IFERROR(__xludf.DUMMYFUNCTION("INDEX(SPLIT(A1149, ""/""), 2)"),"شورا")</f>
        <v>شورا</v>
      </c>
      <c r="U1149" s="1" t="str">
        <f>IFERROR(__xludf.DUMMYFUNCTION("INDEX(SPLIT(A1149, ""/""), 3)"),"#REF!")</f>
        <v>#REF!</v>
      </c>
      <c r="V1149" s="1" t="str">
        <f>IFERROR(__xludf.DUMMYFUNCTION("INDEX(SPLIT(A1149, ""/""), 4)"),"#REF!")</f>
        <v>#REF!</v>
      </c>
    </row>
    <row r="1150">
      <c r="A1150" s="1" t="s">
        <v>3698</v>
      </c>
      <c r="B1150" s="1" t="s">
        <v>3724</v>
      </c>
      <c r="C1150" s="1" t="s">
        <v>21</v>
      </c>
      <c r="D1150" s="4" t="s">
        <v>3725</v>
      </c>
      <c r="E1150" s="1" t="s">
        <v>3701</v>
      </c>
      <c r="F1150" s="1" t="s">
        <v>3710</v>
      </c>
      <c r="G1150" s="1" t="s">
        <v>752</v>
      </c>
      <c r="H1150" s="7" t="s">
        <v>1121</v>
      </c>
      <c r="I1150" s="1" t="str">
        <f t="shared" si="1"/>
        <v>10</v>
      </c>
      <c r="J1150" s="5"/>
      <c r="K1150" s="1" t="str">
        <f t="shared" si="2"/>
        <v>3</v>
      </c>
      <c r="L1150" s="5"/>
      <c r="M1150" s="2" t="str">
        <f t="shared" si="3"/>
        <v>1389</v>
      </c>
      <c r="N1150" s="5"/>
      <c r="O1150" s="1">
        <v>7.0</v>
      </c>
      <c r="P1150" s="5"/>
      <c r="Q1150" s="5"/>
      <c r="R1150" s="8" t="s">
        <v>1121</v>
      </c>
      <c r="S1150" s="5"/>
      <c r="T1150" s="1" t="str">
        <f>IFERROR(__xludf.DUMMYFUNCTION("INDEX(SPLIT(A1150, ""/""), 2)"),"شورا")</f>
        <v>شورا</v>
      </c>
      <c r="U1150" s="1" t="str">
        <f>IFERROR(__xludf.DUMMYFUNCTION("INDEX(SPLIT(A1150, ""/""), 3)"),"#REF!")</f>
        <v>#REF!</v>
      </c>
      <c r="V1150" s="1" t="str">
        <f>IFERROR(__xludf.DUMMYFUNCTION("INDEX(SPLIT(A1150, ""/""), 4)"),"#REF!")</f>
        <v>#REF!</v>
      </c>
    </row>
    <row r="1151">
      <c r="A1151" s="1" t="s">
        <v>3698</v>
      </c>
      <c r="B1151" s="1" t="s">
        <v>3726</v>
      </c>
      <c r="C1151" s="1" t="s">
        <v>21</v>
      </c>
      <c r="D1151" s="4" t="s">
        <v>3727</v>
      </c>
      <c r="E1151" s="1" t="s">
        <v>3701</v>
      </c>
      <c r="F1151" s="1" t="s">
        <v>3710</v>
      </c>
      <c r="G1151" s="1" t="s">
        <v>3728</v>
      </c>
      <c r="H1151" s="1" t="s">
        <v>3729</v>
      </c>
      <c r="I1151" s="1" t="str">
        <f t="shared" si="1"/>
        <v>24</v>
      </c>
      <c r="J1151" s="5"/>
      <c r="K1151" s="1" t="str">
        <f t="shared" si="2"/>
        <v>3</v>
      </c>
      <c r="L1151" s="5"/>
      <c r="M1151" s="2" t="str">
        <f t="shared" si="3"/>
        <v>1389</v>
      </c>
      <c r="N1151" s="5"/>
      <c r="O1151" s="1">
        <v>8.0</v>
      </c>
      <c r="P1151" s="5"/>
      <c r="Q1151" s="5"/>
      <c r="R1151" s="6" t="s">
        <v>3729</v>
      </c>
      <c r="S1151" s="5"/>
      <c r="T1151" s="1" t="str">
        <f>IFERROR(__xludf.DUMMYFUNCTION("INDEX(SPLIT(A1151, ""/""), 2)"),"شورا")</f>
        <v>شورا</v>
      </c>
      <c r="U1151" s="1" t="str">
        <f>IFERROR(__xludf.DUMMYFUNCTION("INDEX(SPLIT(A1151, ""/""), 3)"),"#REF!")</f>
        <v>#REF!</v>
      </c>
      <c r="V1151" s="1" t="str">
        <f>IFERROR(__xludf.DUMMYFUNCTION("INDEX(SPLIT(A1151, ""/""), 4)"),"#REF!")</f>
        <v>#REF!</v>
      </c>
    </row>
    <row r="1152">
      <c r="A1152" s="1" t="s">
        <v>3698</v>
      </c>
      <c r="B1152" s="1" t="s">
        <v>3730</v>
      </c>
      <c r="C1152" s="1" t="s">
        <v>21</v>
      </c>
      <c r="D1152" s="4" t="s">
        <v>3731</v>
      </c>
      <c r="E1152" s="1" t="s">
        <v>3701</v>
      </c>
      <c r="F1152" s="1" t="s">
        <v>3710</v>
      </c>
      <c r="G1152" s="1" t="s">
        <v>3732</v>
      </c>
      <c r="H1152" s="1" t="s">
        <v>3733</v>
      </c>
      <c r="I1152" s="1" t="str">
        <f t="shared" si="1"/>
        <v>13</v>
      </c>
      <c r="J1152" s="5"/>
      <c r="K1152" s="1" t="str">
        <f t="shared" si="2"/>
        <v>4</v>
      </c>
      <c r="L1152" s="5"/>
      <c r="M1152" s="2" t="str">
        <f t="shared" si="3"/>
        <v>1389</v>
      </c>
      <c r="N1152" s="5"/>
      <c r="O1152" s="1">
        <v>9.0</v>
      </c>
      <c r="P1152" s="5"/>
      <c r="Q1152" s="5"/>
      <c r="R1152" s="6" t="s">
        <v>3733</v>
      </c>
      <c r="S1152" s="5"/>
      <c r="T1152" s="1" t="str">
        <f>IFERROR(__xludf.DUMMYFUNCTION("INDEX(SPLIT(A1152, ""/""), 2)"),"شورا")</f>
        <v>شورا</v>
      </c>
      <c r="U1152" s="1" t="str">
        <f>IFERROR(__xludf.DUMMYFUNCTION("INDEX(SPLIT(A1152, ""/""), 3)"),"#REF!")</f>
        <v>#REF!</v>
      </c>
      <c r="V1152" s="1" t="str">
        <f>IFERROR(__xludf.DUMMYFUNCTION("INDEX(SPLIT(A1152, ""/""), 4)"),"#REF!")</f>
        <v>#REF!</v>
      </c>
    </row>
    <row r="1153">
      <c r="A1153" s="1" t="s">
        <v>3698</v>
      </c>
      <c r="B1153" s="1" t="s">
        <v>3734</v>
      </c>
      <c r="C1153" s="1" t="s">
        <v>21</v>
      </c>
      <c r="D1153" s="4" t="s">
        <v>3735</v>
      </c>
      <c r="E1153" s="1" t="s">
        <v>3701</v>
      </c>
      <c r="F1153" s="1" t="s">
        <v>3710</v>
      </c>
      <c r="G1153" s="1" t="s">
        <v>752</v>
      </c>
      <c r="H1153" s="1" t="s">
        <v>3736</v>
      </c>
      <c r="I1153" s="1" t="str">
        <f t="shared" si="1"/>
        <v>28</v>
      </c>
      <c r="J1153" s="5"/>
      <c r="K1153" s="1" t="str">
        <f t="shared" si="2"/>
        <v>4</v>
      </c>
      <c r="L1153" s="5"/>
      <c r="M1153" s="2" t="str">
        <f t="shared" si="3"/>
        <v>1389</v>
      </c>
      <c r="N1153" s="5"/>
      <c r="O1153" s="1">
        <v>10.0</v>
      </c>
      <c r="P1153" s="5"/>
      <c r="Q1153" s="5"/>
      <c r="R1153" s="6" t="s">
        <v>3736</v>
      </c>
      <c r="S1153" s="5"/>
      <c r="T1153" s="1" t="str">
        <f>IFERROR(__xludf.DUMMYFUNCTION("INDEX(SPLIT(A1153, ""/""), 2)"),"شورا")</f>
        <v>شورا</v>
      </c>
      <c r="U1153" s="1" t="str">
        <f>IFERROR(__xludf.DUMMYFUNCTION("INDEX(SPLIT(A1153, ""/""), 3)"),"#REF!")</f>
        <v>#REF!</v>
      </c>
      <c r="V1153" s="1" t="str">
        <f>IFERROR(__xludf.DUMMYFUNCTION("INDEX(SPLIT(A1153, ""/""), 4)"),"#REF!")</f>
        <v>#REF!</v>
      </c>
    </row>
    <row r="1154">
      <c r="A1154" s="1" t="s">
        <v>3698</v>
      </c>
      <c r="B1154" s="1" t="s">
        <v>3737</v>
      </c>
      <c r="C1154" s="1" t="s">
        <v>21</v>
      </c>
      <c r="D1154" s="4" t="s">
        <v>3738</v>
      </c>
      <c r="E1154" s="1" t="s">
        <v>3701</v>
      </c>
      <c r="F1154" s="1" t="s">
        <v>3710</v>
      </c>
      <c r="G1154" s="1" t="s">
        <v>752</v>
      </c>
      <c r="H1154" s="1" t="s">
        <v>3739</v>
      </c>
      <c r="I1154" s="1" t="str">
        <f t="shared" si="1"/>
        <v>26</v>
      </c>
      <c r="J1154" s="5"/>
      <c r="K1154" s="1" t="str">
        <f t="shared" si="2"/>
        <v>5</v>
      </c>
      <c r="L1154" s="5"/>
      <c r="M1154" s="2" t="str">
        <f t="shared" si="3"/>
        <v>1389</v>
      </c>
      <c r="N1154" s="5"/>
      <c r="O1154" s="1">
        <v>11.0</v>
      </c>
      <c r="P1154" s="5"/>
      <c r="Q1154" s="5"/>
      <c r="R1154" s="6" t="s">
        <v>3739</v>
      </c>
      <c r="S1154" s="5"/>
      <c r="T1154" s="1" t="str">
        <f>IFERROR(__xludf.DUMMYFUNCTION("INDEX(SPLIT(A1154, ""/""), 2)"),"شورا")</f>
        <v>شورا</v>
      </c>
      <c r="U1154" s="1" t="str">
        <f>IFERROR(__xludf.DUMMYFUNCTION("INDEX(SPLIT(A1154, ""/""), 3)"),"#REF!")</f>
        <v>#REF!</v>
      </c>
      <c r="V1154" s="1" t="str">
        <f>IFERROR(__xludf.DUMMYFUNCTION("INDEX(SPLIT(A1154, ""/""), 4)"),"#REF!")</f>
        <v>#REF!</v>
      </c>
    </row>
    <row r="1155">
      <c r="A1155" s="1" t="s">
        <v>3698</v>
      </c>
      <c r="B1155" s="1" t="s">
        <v>3740</v>
      </c>
      <c r="C1155" s="1" t="s">
        <v>21</v>
      </c>
      <c r="D1155" s="4" t="s">
        <v>3741</v>
      </c>
      <c r="E1155" s="1" t="s">
        <v>3701</v>
      </c>
      <c r="F1155" s="1" t="s">
        <v>3710</v>
      </c>
      <c r="G1155" s="1" t="s">
        <v>752</v>
      </c>
      <c r="H1155" s="1" t="s">
        <v>3739</v>
      </c>
      <c r="I1155" s="1" t="str">
        <f t="shared" si="1"/>
        <v>26</v>
      </c>
      <c r="J1155" s="5"/>
      <c r="K1155" s="1" t="str">
        <f t="shared" si="2"/>
        <v>5</v>
      </c>
      <c r="L1155" s="5"/>
      <c r="M1155" s="2" t="str">
        <f t="shared" si="3"/>
        <v>1389</v>
      </c>
      <c r="N1155" s="5"/>
      <c r="O1155" s="1">
        <v>11.0</v>
      </c>
      <c r="P1155" s="5"/>
      <c r="Q1155" s="5"/>
      <c r="R1155" s="6" t="s">
        <v>3739</v>
      </c>
      <c r="S1155" s="5"/>
      <c r="T1155" s="1" t="str">
        <f>IFERROR(__xludf.DUMMYFUNCTION("INDEX(SPLIT(A1155, ""/""), 2)"),"شورا")</f>
        <v>شورا</v>
      </c>
      <c r="U1155" s="1" t="str">
        <f>IFERROR(__xludf.DUMMYFUNCTION("INDEX(SPLIT(A1155, ""/""), 3)"),"#REF!")</f>
        <v>#REF!</v>
      </c>
      <c r="V1155" s="1" t="str">
        <f>IFERROR(__xludf.DUMMYFUNCTION("INDEX(SPLIT(A1155, ""/""), 4)"),"#REF!")</f>
        <v>#REF!</v>
      </c>
    </row>
    <row r="1156">
      <c r="A1156" s="1" t="s">
        <v>3698</v>
      </c>
      <c r="B1156" s="1" t="s">
        <v>3742</v>
      </c>
      <c r="C1156" s="1" t="s">
        <v>21</v>
      </c>
      <c r="D1156" s="4" t="s">
        <v>3743</v>
      </c>
      <c r="E1156" s="1" t="s">
        <v>3701</v>
      </c>
      <c r="F1156" s="1" t="s">
        <v>3710</v>
      </c>
      <c r="G1156" s="1" t="s">
        <v>752</v>
      </c>
      <c r="H1156" s="1" t="s">
        <v>3744</v>
      </c>
      <c r="I1156" s="1" t="str">
        <f t="shared" si="1"/>
        <v>15</v>
      </c>
      <c r="J1156" s="5"/>
      <c r="K1156" s="1" t="str">
        <f t="shared" si="2"/>
        <v>6</v>
      </c>
      <c r="L1156" s="5"/>
      <c r="M1156" s="2" t="str">
        <f t="shared" si="3"/>
        <v>1389</v>
      </c>
      <c r="N1156" s="5"/>
      <c r="O1156" s="1">
        <v>12.0</v>
      </c>
      <c r="P1156" s="5"/>
      <c r="Q1156" s="5"/>
      <c r="R1156" s="6" t="s">
        <v>3744</v>
      </c>
      <c r="S1156" s="5"/>
      <c r="T1156" s="1" t="str">
        <f>IFERROR(__xludf.DUMMYFUNCTION("INDEX(SPLIT(A1156, ""/""), 2)"),"شورا")</f>
        <v>شورا</v>
      </c>
      <c r="U1156" s="1" t="str">
        <f>IFERROR(__xludf.DUMMYFUNCTION("INDEX(SPLIT(A1156, ""/""), 3)"),"#REF!")</f>
        <v>#REF!</v>
      </c>
      <c r="V1156" s="1" t="str">
        <f>IFERROR(__xludf.DUMMYFUNCTION("INDEX(SPLIT(A1156, ""/""), 4)"),"#REF!")</f>
        <v>#REF!</v>
      </c>
    </row>
    <row r="1157">
      <c r="A1157" s="1" t="s">
        <v>3698</v>
      </c>
      <c r="B1157" s="1" t="s">
        <v>3745</v>
      </c>
      <c r="C1157" s="1" t="s">
        <v>21</v>
      </c>
      <c r="D1157" s="4" t="s">
        <v>3746</v>
      </c>
      <c r="E1157" s="1" t="s">
        <v>3701</v>
      </c>
      <c r="F1157" s="1" t="s">
        <v>3710</v>
      </c>
      <c r="G1157" s="1" t="s">
        <v>752</v>
      </c>
      <c r="H1157" s="1" t="s">
        <v>3747</v>
      </c>
      <c r="I1157" s="1" t="str">
        <f t="shared" si="1"/>
        <v>22</v>
      </c>
      <c r="J1157" s="5"/>
      <c r="K1157" s="1" t="str">
        <f t="shared" si="2"/>
        <v>6</v>
      </c>
      <c r="L1157" s="5"/>
      <c r="M1157" s="2" t="str">
        <f t="shared" si="3"/>
        <v>1389</v>
      </c>
      <c r="N1157" s="5"/>
      <c r="O1157" s="1">
        <v>13.0</v>
      </c>
      <c r="P1157" s="5"/>
      <c r="Q1157" s="5"/>
      <c r="R1157" s="6" t="s">
        <v>3747</v>
      </c>
      <c r="S1157" s="5"/>
      <c r="T1157" s="1" t="str">
        <f>IFERROR(__xludf.DUMMYFUNCTION("INDEX(SPLIT(A1157, ""/""), 2)"),"شورا")</f>
        <v>شورا</v>
      </c>
      <c r="U1157" s="1" t="str">
        <f>IFERROR(__xludf.DUMMYFUNCTION("INDEX(SPLIT(A1157, ""/""), 3)"),"#REF!")</f>
        <v>#REF!</v>
      </c>
      <c r="V1157" s="1" t="str">
        <f>IFERROR(__xludf.DUMMYFUNCTION("INDEX(SPLIT(A1157, ""/""), 4)"),"#REF!")</f>
        <v>#REF!</v>
      </c>
    </row>
    <row r="1158">
      <c r="A1158" s="1" t="s">
        <v>3698</v>
      </c>
      <c r="B1158" s="1" t="s">
        <v>3748</v>
      </c>
      <c r="C1158" s="1" t="s">
        <v>21</v>
      </c>
      <c r="D1158" s="4" t="s">
        <v>3749</v>
      </c>
      <c r="E1158" s="1" t="s">
        <v>3701</v>
      </c>
      <c r="F1158" s="1" t="s">
        <v>3710</v>
      </c>
      <c r="G1158" s="1" t="s">
        <v>752</v>
      </c>
      <c r="H1158" s="7" t="s">
        <v>3750</v>
      </c>
      <c r="I1158" s="1" t="str">
        <f t="shared" si="1"/>
        <v>3</v>
      </c>
      <c r="J1158" s="5"/>
      <c r="K1158" s="1" t="str">
        <f t="shared" si="2"/>
        <v>7</v>
      </c>
      <c r="L1158" s="5"/>
      <c r="M1158" s="2" t="str">
        <f t="shared" si="3"/>
        <v>1389</v>
      </c>
      <c r="N1158" s="5"/>
      <c r="O1158" s="1" t="s">
        <v>3751</v>
      </c>
      <c r="P1158" s="5"/>
      <c r="Q1158" s="5"/>
      <c r="R1158" s="8" t="s">
        <v>3750</v>
      </c>
      <c r="S1158" s="5"/>
      <c r="T1158" s="1" t="str">
        <f>IFERROR(__xludf.DUMMYFUNCTION("INDEX(SPLIT(A1158, ""/""), 2)"),"شورا")</f>
        <v>شورا</v>
      </c>
      <c r="U1158" s="1" t="str">
        <f>IFERROR(__xludf.DUMMYFUNCTION("INDEX(SPLIT(A1158, ""/""), 3)"),"#REF!")</f>
        <v>#REF!</v>
      </c>
      <c r="V1158" s="1" t="str">
        <f>IFERROR(__xludf.DUMMYFUNCTION("INDEX(SPLIT(A1158, ""/""), 4)"),"#REF!")</f>
        <v>#REF!</v>
      </c>
    </row>
    <row r="1159">
      <c r="A1159" s="1" t="s">
        <v>3698</v>
      </c>
      <c r="B1159" s="1" t="s">
        <v>3752</v>
      </c>
      <c r="C1159" s="1" t="s">
        <v>21</v>
      </c>
      <c r="D1159" s="4" t="s">
        <v>3753</v>
      </c>
      <c r="E1159" s="1" t="s">
        <v>3701</v>
      </c>
      <c r="F1159" s="1" t="s">
        <v>3710</v>
      </c>
      <c r="G1159" s="1" t="s">
        <v>752</v>
      </c>
      <c r="H1159" s="7" t="s">
        <v>3754</v>
      </c>
      <c r="I1159" s="1" t="str">
        <f t="shared" si="1"/>
        <v>10</v>
      </c>
      <c r="J1159" s="5"/>
      <c r="K1159" s="1" t="str">
        <f t="shared" si="2"/>
        <v>7</v>
      </c>
      <c r="L1159" s="5"/>
      <c r="M1159" s="2" t="str">
        <f t="shared" si="3"/>
        <v>1389</v>
      </c>
      <c r="N1159" s="5"/>
      <c r="O1159" s="1">
        <v>14.0</v>
      </c>
      <c r="P1159" s="5"/>
      <c r="Q1159" s="5"/>
      <c r="R1159" s="8" t="s">
        <v>3754</v>
      </c>
      <c r="S1159" s="5"/>
      <c r="T1159" s="1" t="str">
        <f>IFERROR(__xludf.DUMMYFUNCTION("INDEX(SPLIT(A1159, ""/""), 2)"),"شورا")</f>
        <v>شورا</v>
      </c>
      <c r="U1159" s="1" t="str">
        <f>IFERROR(__xludf.DUMMYFUNCTION("INDEX(SPLIT(A1159, ""/""), 3)"),"#REF!")</f>
        <v>#REF!</v>
      </c>
      <c r="V1159" s="1" t="str">
        <f>IFERROR(__xludf.DUMMYFUNCTION("INDEX(SPLIT(A1159, ""/""), 4)"),"#REF!")</f>
        <v>#REF!</v>
      </c>
    </row>
    <row r="1160">
      <c r="A1160" s="1" t="s">
        <v>3698</v>
      </c>
      <c r="B1160" s="1" t="s">
        <v>3755</v>
      </c>
      <c r="C1160" s="1" t="s">
        <v>21</v>
      </c>
      <c r="D1160" s="4" t="s">
        <v>3756</v>
      </c>
      <c r="E1160" s="1" t="s">
        <v>3701</v>
      </c>
      <c r="F1160" s="1" t="s">
        <v>3710</v>
      </c>
      <c r="G1160" s="1" t="s">
        <v>752</v>
      </c>
      <c r="H1160" s="7" t="s">
        <v>3757</v>
      </c>
      <c r="I1160" s="1" t="str">
        <f t="shared" si="1"/>
        <v>1</v>
      </c>
      <c r="J1160" s="5"/>
      <c r="K1160" s="1" t="str">
        <f t="shared" si="2"/>
        <v>8</v>
      </c>
      <c r="L1160" s="5"/>
      <c r="M1160" s="2" t="str">
        <f t="shared" si="3"/>
        <v>1389</v>
      </c>
      <c r="N1160" s="5"/>
      <c r="O1160" s="1">
        <v>15.0</v>
      </c>
      <c r="P1160" s="5"/>
      <c r="Q1160" s="5"/>
      <c r="R1160" s="8" t="s">
        <v>3757</v>
      </c>
      <c r="S1160" s="5"/>
      <c r="T1160" s="1" t="str">
        <f>IFERROR(__xludf.DUMMYFUNCTION("INDEX(SPLIT(A1160, ""/""), 2)"),"شورا")</f>
        <v>شورا</v>
      </c>
      <c r="U1160" s="1" t="str">
        <f>IFERROR(__xludf.DUMMYFUNCTION("INDEX(SPLIT(A1160, ""/""), 3)"),"#REF!")</f>
        <v>#REF!</v>
      </c>
      <c r="V1160" s="1" t="str">
        <f>IFERROR(__xludf.DUMMYFUNCTION("INDEX(SPLIT(A1160, ""/""), 4)"),"#REF!")</f>
        <v>#REF!</v>
      </c>
    </row>
    <row r="1161">
      <c r="A1161" s="1" t="s">
        <v>3698</v>
      </c>
      <c r="B1161" s="1" t="s">
        <v>3758</v>
      </c>
      <c r="C1161" s="1" t="s">
        <v>21</v>
      </c>
      <c r="D1161" s="4" t="s">
        <v>3759</v>
      </c>
      <c r="E1161" s="1" t="s">
        <v>3701</v>
      </c>
      <c r="F1161" s="1" t="s">
        <v>3710</v>
      </c>
      <c r="G1161" s="1" t="s">
        <v>752</v>
      </c>
      <c r="H1161" s="1" t="s">
        <v>1645</v>
      </c>
      <c r="I1161" s="1" t="str">
        <f t="shared" si="1"/>
        <v>15</v>
      </c>
      <c r="J1161" s="5"/>
      <c r="K1161" s="1" t="str">
        <f t="shared" si="2"/>
        <v>8</v>
      </c>
      <c r="L1161" s="5"/>
      <c r="M1161" s="2" t="str">
        <f t="shared" si="3"/>
        <v>1389</v>
      </c>
      <c r="N1161" s="5"/>
      <c r="O1161" s="1">
        <v>16.0</v>
      </c>
      <c r="P1161" s="5"/>
      <c r="Q1161" s="5"/>
      <c r="R1161" s="6" t="s">
        <v>1645</v>
      </c>
      <c r="S1161" s="5"/>
      <c r="T1161" s="1" t="str">
        <f>IFERROR(__xludf.DUMMYFUNCTION("INDEX(SPLIT(A1161, ""/""), 2)"),"شورا")</f>
        <v>شورا</v>
      </c>
      <c r="U1161" s="1" t="str">
        <f>IFERROR(__xludf.DUMMYFUNCTION("INDEX(SPLIT(A1161, ""/""), 3)"),"#REF!")</f>
        <v>#REF!</v>
      </c>
      <c r="V1161" s="1" t="str">
        <f>IFERROR(__xludf.DUMMYFUNCTION("INDEX(SPLIT(A1161, ""/""), 4)"),"#REF!")</f>
        <v>#REF!</v>
      </c>
    </row>
    <row r="1162">
      <c r="A1162" s="1" t="s">
        <v>3698</v>
      </c>
      <c r="B1162" s="1" t="s">
        <v>3760</v>
      </c>
      <c r="C1162" s="1" t="s">
        <v>21</v>
      </c>
      <c r="D1162" s="4" t="s">
        <v>3761</v>
      </c>
      <c r="E1162" s="1" t="s">
        <v>3701</v>
      </c>
      <c r="F1162" s="1" t="s">
        <v>3710</v>
      </c>
      <c r="G1162" s="1" t="s">
        <v>752</v>
      </c>
      <c r="H1162" s="1" t="s">
        <v>3762</v>
      </c>
      <c r="I1162" s="1" t="str">
        <f t="shared" si="1"/>
        <v>27</v>
      </c>
      <c r="J1162" s="5"/>
      <c r="K1162" s="1" t="str">
        <f t="shared" si="2"/>
        <v>10</v>
      </c>
      <c r="L1162" s="5"/>
      <c r="M1162" s="2" t="str">
        <f t="shared" si="3"/>
        <v>1389</v>
      </c>
      <c r="N1162" s="5"/>
      <c r="O1162" s="1">
        <v>17.0</v>
      </c>
      <c r="P1162" s="5"/>
      <c r="Q1162" s="5"/>
      <c r="R1162" s="6" t="s">
        <v>3762</v>
      </c>
      <c r="S1162" s="5"/>
      <c r="T1162" s="1" t="str">
        <f>IFERROR(__xludf.DUMMYFUNCTION("INDEX(SPLIT(A1162, ""/""), 2)"),"شورا")</f>
        <v>شورا</v>
      </c>
      <c r="U1162" s="1" t="str">
        <f>IFERROR(__xludf.DUMMYFUNCTION("INDEX(SPLIT(A1162, ""/""), 3)"),"#REF!")</f>
        <v>#REF!</v>
      </c>
      <c r="V1162" s="1" t="str">
        <f>IFERROR(__xludf.DUMMYFUNCTION("INDEX(SPLIT(A1162, ""/""), 4)"),"#REF!")</f>
        <v>#REF!</v>
      </c>
    </row>
    <row r="1163">
      <c r="A1163" s="1" t="s">
        <v>3698</v>
      </c>
      <c r="B1163" s="1" t="s">
        <v>3763</v>
      </c>
      <c r="C1163" s="1" t="s">
        <v>21</v>
      </c>
      <c r="D1163" s="4" t="s">
        <v>3764</v>
      </c>
      <c r="E1163" s="1" t="s">
        <v>3701</v>
      </c>
      <c r="F1163" s="1" t="s">
        <v>3710</v>
      </c>
      <c r="G1163" s="1" t="s">
        <v>752</v>
      </c>
      <c r="H1163" s="7" t="s">
        <v>3765</v>
      </c>
      <c r="I1163" s="1" t="str">
        <f t="shared" si="1"/>
        <v>3</v>
      </c>
      <c r="J1163" s="5"/>
      <c r="K1163" s="1" t="str">
        <f t="shared" si="2"/>
        <v>12</v>
      </c>
      <c r="L1163" s="5"/>
      <c r="M1163" s="2" t="str">
        <f t="shared" si="3"/>
        <v>1389</v>
      </c>
      <c r="N1163" s="5"/>
      <c r="O1163" s="1">
        <v>18.0</v>
      </c>
      <c r="P1163" s="5"/>
      <c r="Q1163" s="5"/>
      <c r="R1163" s="8" t="s">
        <v>3765</v>
      </c>
      <c r="S1163" s="5"/>
      <c r="T1163" s="1" t="str">
        <f>IFERROR(__xludf.DUMMYFUNCTION("INDEX(SPLIT(A1163, ""/""), 2)"),"شورا")</f>
        <v>شورا</v>
      </c>
      <c r="U1163" s="1" t="str">
        <f>IFERROR(__xludf.DUMMYFUNCTION("INDEX(SPLIT(A1163, ""/""), 3)"),"#REF!")</f>
        <v>#REF!</v>
      </c>
      <c r="V1163" s="1" t="str">
        <f>IFERROR(__xludf.DUMMYFUNCTION("INDEX(SPLIT(A1163, ""/""), 4)"),"#REF!")</f>
        <v>#REF!</v>
      </c>
    </row>
    <row r="1164">
      <c r="A1164" s="1" t="s">
        <v>3698</v>
      </c>
      <c r="B1164" s="1" t="s">
        <v>3766</v>
      </c>
      <c r="C1164" s="1" t="s">
        <v>21</v>
      </c>
      <c r="D1164" s="4" t="s">
        <v>3767</v>
      </c>
      <c r="E1164" s="1" t="s">
        <v>3701</v>
      </c>
      <c r="F1164" s="1" t="s">
        <v>3710</v>
      </c>
      <c r="G1164" s="1" t="s">
        <v>752</v>
      </c>
      <c r="H1164" s="7" t="s">
        <v>3768</v>
      </c>
      <c r="I1164" s="1" t="str">
        <f t="shared" si="1"/>
        <v>4</v>
      </c>
      <c r="J1164" s="5"/>
      <c r="K1164" s="1" t="str">
        <f t="shared" si="2"/>
        <v>2</v>
      </c>
      <c r="L1164" s="5"/>
      <c r="M1164" s="2" t="str">
        <f t="shared" si="3"/>
        <v>1390</v>
      </c>
      <c r="N1164" s="5"/>
      <c r="O1164" s="1">
        <v>19.0</v>
      </c>
      <c r="P1164" s="5"/>
      <c r="Q1164" s="5"/>
      <c r="R1164" s="8" t="s">
        <v>3768</v>
      </c>
      <c r="S1164" s="5"/>
      <c r="T1164" s="1" t="str">
        <f>IFERROR(__xludf.DUMMYFUNCTION("INDEX(SPLIT(A1164, ""/""), 2)"),"شورا")</f>
        <v>شورا</v>
      </c>
      <c r="U1164" s="1" t="str">
        <f>IFERROR(__xludf.DUMMYFUNCTION("INDEX(SPLIT(A1164, ""/""), 3)"),"#REF!")</f>
        <v>#REF!</v>
      </c>
      <c r="V1164" s="1" t="str">
        <f>IFERROR(__xludf.DUMMYFUNCTION("INDEX(SPLIT(A1164, ""/""), 4)"),"#REF!")</f>
        <v>#REF!</v>
      </c>
    </row>
    <row r="1165">
      <c r="A1165" s="1" t="s">
        <v>3698</v>
      </c>
      <c r="B1165" s="1" t="s">
        <v>3769</v>
      </c>
      <c r="C1165" s="1" t="s">
        <v>21</v>
      </c>
      <c r="D1165" s="4" t="s">
        <v>3770</v>
      </c>
      <c r="E1165" s="1" t="s">
        <v>3701</v>
      </c>
      <c r="F1165" s="1" t="s">
        <v>3710</v>
      </c>
      <c r="G1165" s="1" t="s">
        <v>752</v>
      </c>
      <c r="H1165" s="7" t="s">
        <v>3771</v>
      </c>
      <c r="I1165" s="1" t="str">
        <f t="shared" si="1"/>
        <v>12</v>
      </c>
      <c r="J1165" s="5"/>
      <c r="K1165" s="1" t="str">
        <f t="shared" si="2"/>
        <v>2</v>
      </c>
      <c r="L1165" s="5"/>
      <c r="M1165" s="2" t="str">
        <f t="shared" si="3"/>
        <v>1390</v>
      </c>
      <c r="N1165" s="5"/>
      <c r="O1165" s="1">
        <v>20.0</v>
      </c>
      <c r="P1165" s="5"/>
      <c r="Q1165" s="5"/>
      <c r="R1165" s="8" t="s">
        <v>3771</v>
      </c>
      <c r="S1165" s="5"/>
      <c r="T1165" s="1" t="str">
        <f>IFERROR(__xludf.DUMMYFUNCTION("INDEX(SPLIT(A1165, ""/""), 2)"),"شورا")</f>
        <v>شورا</v>
      </c>
      <c r="U1165" s="1" t="str">
        <f>IFERROR(__xludf.DUMMYFUNCTION("INDEX(SPLIT(A1165, ""/""), 3)"),"#REF!")</f>
        <v>#REF!</v>
      </c>
      <c r="V1165" s="1" t="str">
        <f>IFERROR(__xludf.DUMMYFUNCTION("INDEX(SPLIT(A1165, ""/""), 4)"),"#REF!")</f>
        <v>#REF!</v>
      </c>
    </row>
    <row r="1166">
      <c r="A1166" s="1" t="s">
        <v>3698</v>
      </c>
      <c r="B1166" s="1" t="s">
        <v>3772</v>
      </c>
      <c r="C1166" s="1" t="s">
        <v>21</v>
      </c>
      <c r="D1166" s="4" t="s">
        <v>3773</v>
      </c>
      <c r="E1166" s="1" t="s">
        <v>3701</v>
      </c>
      <c r="F1166" s="1" t="s">
        <v>3710</v>
      </c>
      <c r="G1166" s="1" t="s">
        <v>752</v>
      </c>
      <c r="H1166" s="1" t="s">
        <v>3774</v>
      </c>
      <c r="I1166" s="1" t="str">
        <f t="shared" si="1"/>
        <v>27</v>
      </c>
      <c r="J1166" s="5"/>
      <c r="K1166" s="1" t="str">
        <f t="shared" si="2"/>
        <v>2</v>
      </c>
      <c r="L1166" s="5"/>
      <c r="M1166" s="2" t="str">
        <f t="shared" si="3"/>
        <v>1390</v>
      </c>
      <c r="N1166" s="5"/>
      <c r="O1166" s="1">
        <v>21.0</v>
      </c>
      <c r="P1166" s="5"/>
      <c r="Q1166" s="5"/>
      <c r="R1166" s="6" t="s">
        <v>3774</v>
      </c>
      <c r="S1166" s="5"/>
      <c r="T1166" s="1" t="str">
        <f>IFERROR(__xludf.DUMMYFUNCTION("INDEX(SPLIT(A1166, ""/""), 2)"),"شورا")</f>
        <v>شورا</v>
      </c>
      <c r="U1166" s="1" t="str">
        <f>IFERROR(__xludf.DUMMYFUNCTION("INDEX(SPLIT(A1166, ""/""), 3)"),"#REF!")</f>
        <v>#REF!</v>
      </c>
      <c r="V1166" s="1" t="str">
        <f>IFERROR(__xludf.DUMMYFUNCTION("INDEX(SPLIT(A1166, ""/""), 4)"),"#REF!")</f>
        <v>#REF!</v>
      </c>
    </row>
    <row r="1167">
      <c r="A1167" s="1" t="s">
        <v>3698</v>
      </c>
      <c r="B1167" s="1" t="s">
        <v>3775</v>
      </c>
      <c r="C1167" s="1" t="s">
        <v>21</v>
      </c>
      <c r="D1167" s="4" t="s">
        <v>3776</v>
      </c>
      <c r="E1167" s="1" t="s">
        <v>3701</v>
      </c>
      <c r="F1167" s="1" t="s">
        <v>3710</v>
      </c>
      <c r="G1167" s="1" t="s">
        <v>752</v>
      </c>
      <c r="H1167" s="7" t="s">
        <v>3777</v>
      </c>
      <c r="I1167" s="1" t="str">
        <f t="shared" si="1"/>
        <v>3</v>
      </c>
      <c r="J1167" s="5"/>
      <c r="K1167" s="1" t="str">
        <f t="shared" si="2"/>
        <v>3</v>
      </c>
      <c r="L1167" s="5"/>
      <c r="M1167" s="2" t="str">
        <f t="shared" si="3"/>
        <v>1390</v>
      </c>
      <c r="N1167" s="5"/>
      <c r="O1167" s="1">
        <v>22.0</v>
      </c>
      <c r="P1167" s="5"/>
      <c r="Q1167" s="5"/>
      <c r="R1167" s="8" t="s">
        <v>3777</v>
      </c>
      <c r="S1167" s="5"/>
      <c r="T1167" s="1" t="str">
        <f>IFERROR(__xludf.DUMMYFUNCTION("INDEX(SPLIT(A1167, ""/""), 2)"),"شورا")</f>
        <v>شورا</v>
      </c>
      <c r="U1167" s="1" t="str">
        <f>IFERROR(__xludf.DUMMYFUNCTION("INDEX(SPLIT(A1167, ""/""), 3)"),"#REF!")</f>
        <v>#REF!</v>
      </c>
      <c r="V1167" s="1" t="str">
        <f>IFERROR(__xludf.DUMMYFUNCTION("INDEX(SPLIT(A1167, ""/""), 4)"),"#REF!")</f>
        <v>#REF!</v>
      </c>
    </row>
    <row r="1168">
      <c r="A1168" s="1" t="s">
        <v>3698</v>
      </c>
      <c r="B1168" s="1" t="s">
        <v>3778</v>
      </c>
      <c r="C1168" s="1" t="s">
        <v>21</v>
      </c>
      <c r="D1168" s="4" t="s">
        <v>3779</v>
      </c>
      <c r="E1168" s="1" t="s">
        <v>3701</v>
      </c>
      <c r="F1168" s="1" t="s">
        <v>3710</v>
      </c>
      <c r="G1168" s="1" t="s">
        <v>752</v>
      </c>
      <c r="H1168" s="7" t="s">
        <v>3780</v>
      </c>
      <c r="I1168" s="1" t="str">
        <f t="shared" si="1"/>
        <v>9</v>
      </c>
      <c r="J1168" s="5"/>
      <c r="K1168" s="1" t="str">
        <f t="shared" si="2"/>
        <v>3</v>
      </c>
      <c r="L1168" s="5"/>
      <c r="M1168" s="2" t="str">
        <f t="shared" si="3"/>
        <v>1390</v>
      </c>
      <c r="N1168" s="5"/>
      <c r="O1168" s="1">
        <v>23.0</v>
      </c>
      <c r="P1168" s="5"/>
      <c r="Q1168" s="5"/>
      <c r="R1168" s="8" t="s">
        <v>3780</v>
      </c>
      <c r="S1168" s="5"/>
      <c r="T1168" s="1" t="str">
        <f>IFERROR(__xludf.DUMMYFUNCTION("INDEX(SPLIT(A1168, ""/""), 2)"),"شورا")</f>
        <v>شورا</v>
      </c>
      <c r="U1168" s="1" t="str">
        <f>IFERROR(__xludf.DUMMYFUNCTION("INDEX(SPLIT(A1168, ""/""), 3)"),"#REF!")</f>
        <v>#REF!</v>
      </c>
      <c r="V1168" s="1" t="str">
        <f>IFERROR(__xludf.DUMMYFUNCTION("INDEX(SPLIT(A1168, ""/""), 4)"),"#REF!")</f>
        <v>#REF!</v>
      </c>
    </row>
    <row r="1169">
      <c r="A1169" s="1" t="s">
        <v>3698</v>
      </c>
      <c r="B1169" s="1" t="s">
        <v>3781</v>
      </c>
      <c r="C1169" s="1" t="s">
        <v>21</v>
      </c>
      <c r="D1169" s="4" t="s">
        <v>3782</v>
      </c>
      <c r="E1169" s="1" t="s">
        <v>3701</v>
      </c>
      <c r="F1169" s="1" t="s">
        <v>3710</v>
      </c>
      <c r="G1169" s="1" t="s">
        <v>752</v>
      </c>
      <c r="H1169" s="7" t="s">
        <v>3783</v>
      </c>
      <c r="I1169" s="1" t="str">
        <f t="shared" si="1"/>
        <v>11</v>
      </c>
      <c r="J1169" s="5"/>
      <c r="K1169" s="1" t="str">
        <f t="shared" si="2"/>
        <v>5</v>
      </c>
      <c r="L1169" s="5"/>
      <c r="M1169" s="2" t="str">
        <f t="shared" si="3"/>
        <v>1390</v>
      </c>
      <c r="N1169" s="5"/>
      <c r="O1169" s="1">
        <v>24.0</v>
      </c>
      <c r="P1169" s="5"/>
      <c r="Q1169" s="5"/>
      <c r="R1169" s="8" t="s">
        <v>3783</v>
      </c>
      <c r="S1169" s="5"/>
      <c r="T1169" s="1" t="str">
        <f>IFERROR(__xludf.DUMMYFUNCTION("INDEX(SPLIT(A1169, ""/""), 2)"),"شورا")</f>
        <v>شورا</v>
      </c>
      <c r="U1169" s="1" t="str">
        <f>IFERROR(__xludf.DUMMYFUNCTION("INDEX(SPLIT(A1169, ""/""), 3)"),"#REF!")</f>
        <v>#REF!</v>
      </c>
      <c r="V1169" s="1" t="str">
        <f>IFERROR(__xludf.DUMMYFUNCTION("INDEX(SPLIT(A1169, ""/""), 4)"),"#REF!")</f>
        <v>#REF!</v>
      </c>
    </row>
    <row r="1170">
      <c r="A1170" s="1" t="s">
        <v>3698</v>
      </c>
      <c r="B1170" s="1" t="s">
        <v>3784</v>
      </c>
      <c r="C1170" s="1" t="s">
        <v>21</v>
      </c>
      <c r="D1170" s="4" t="s">
        <v>3785</v>
      </c>
      <c r="E1170" s="1" t="s">
        <v>3701</v>
      </c>
      <c r="F1170" s="1" t="s">
        <v>3710</v>
      </c>
      <c r="G1170" s="1" t="s">
        <v>752</v>
      </c>
      <c r="H1170" s="1" t="s">
        <v>3786</v>
      </c>
      <c r="I1170" s="1" t="str">
        <f t="shared" si="1"/>
        <v>17</v>
      </c>
      <c r="J1170" s="5"/>
      <c r="K1170" s="1" t="str">
        <f t="shared" si="2"/>
        <v>7</v>
      </c>
      <c r="L1170" s="5"/>
      <c r="M1170" s="2" t="str">
        <f t="shared" si="3"/>
        <v>1390</v>
      </c>
      <c r="N1170" s="5"/>
      <c r="O1170" s="1">
        <v>25.0</v>
      </c>
      <c r="P1170" s="5"/>
      <c r="Q1170" s="5"/>
      <c r="R1170" s="6" t="s">
        <v>3786</v>
      </c>
      <c r="S1170" s="5"/>
      <c r="T1170" s="1" t="str">
        <f>IFERROR(__xludf.DUMMYFUNCTION("INDEX(SPLIT(A1170, ""/""), 2)"),"شورا")</f>
        <v>شورا</v>
      </c>
      <c r="U1170" s="1" t="str">
        <f>IFERROR(__xludf.DUMMYFUNCTION("INDEX(SPLIT(A1170, ""/""), 3)"),"#REF!")</f>
        <v>#REF!</v>
      </c>
      <c r="V1170" s="1" t="str">
        <f>IFERROR(__xludf.DUMMYFUNCTION("INDEX(SPLIT(A1170, ""/""), 4)"),"#REF!")</f>
        <v>#REF!</v>
      </c>
    </row>
    <row r="1171">
      <c r="A1171" s="1" t="s">
        <v>3698</v>
      </c>
      <c r="B1171" s="1" t="s">
        <v>3787</v>
      </c>
      <c r="C1171" s="1" t="s">
        <v>21</v>
      </c>
      <c r="D1171" s="4" t="s">
        <v>3788</v>
      </c>
      <c r="E1171" s="1" t="s">
        <v>3701</v>
      </c>
      <c r="F1171" s="1" t="s">
        <v>3710</v>
      </c>
      <c r="G1171" s="1" t="s">
        <v>752</v>
      </c>
      <c r="H1171" s="7" t="s">
        <v>2531</v>
      </c>
      <c r="I1171" s="1" t="str">
        <f t="shared" si="1"/>
        <v>10</v>
      </c>
      <c r="J1171" s="5"/>
      <c r="K1171" s="1" t="str">
        <f t="shared" si="2"/>
        <v>2</v>
      </c>
      <c r="L1171" s="5"/>
      <c r="M1171" s="2" t="str">
        <f t="shared" si="3"/>
        <v>1390</v>
      </c>
      <c r="N1171" s="5"/>
      <c r="O1171" s="1">
        <v>26.0</v>
      </c>
      <c r="P1171" s="5"/>
      <c r="Q1171" s="5"/>
      <c r="R1171" s="8" t="s">
        <v>2531</v>
      </c>
      <c r="S1171" s="5"/>
      <c r="T1171" s="1" t="str">
        <f>IFERROR(__xludf.DUMMYFUNCTION("INDEX(SPLIT(A1171, ""/""), 2)"),"شورا")</f>
        <v>شورا</v>
      </c>
      <c r="U1171" s="1" t="str">
        <f>IFERROR(__xludf.DUMMYFUNCTION("INDEX(SPLIT(A1171, ""/""), 3)"),"#REF!")</f>
        <v>#REF!</v>
      </c>
      <c r="V1171" s="1" t="str">
        <f>IFERROR(__xludf.DUMMYFUNCTION("INDEX(SPLIT(A1171, ""/""), 4)"),"#REF!")</f>
        <v>#REF!</v>
      </c>
    </row>
    <row r="1172">
      <c r="A1172" s="1" t="s">
        <v>3698</v>
      </c>
      <c r="B1172" s="1" t="s">
        <v>3789</v>
      </c>
      <c r="C1172" s="1" t="s">
        <v>21</v>
      </c>
      <c r="D1172" s="4" t="s">
        <v>3790</v>
      </c>
      <c r="E1172" s="1" t="s">
        <v>3701</v>
      </c>
      <c r="F1172" s="1" t="s">
        <v>3710</v>
      </c>
      <c r="G1172" s="1" t="s">
        <v>752</v>
      </c>
      <c r="H1172" s="1" t="s">
        <v>3791</v>
      </c>
      <c r="I1172" s="1" t="str">
        <f t="shared" si="1"/>
        <v>21</v>
      </c>
      <c r="J1172" s="5"/>
      <c r="K1172" s="1" t="str">
        <f t="shared" si="2"/>
        <v>8</v>
      </c>
      <c r="L1172" s="5"/>
      <c r="M1172" s="2" t="str">
        <f t="shared" si="3"/>
        <v>1390</v>
      </c>
      <c r="N1172" s="5"/>
      <c r="O1172" s="1">
        <v>27.0</v>
      </c>
      <c r="P1172" s="5"/>
      <c r="Q1172" s="5"/>
      <c r="R1172" s="6" t="s">
        <v>3791</v>
      </c>
      <c r="S1172" s="5"/>
      <c r="T1172" s="1" t="str">
        <f>IFERROR(__xludf.DUMMYFUNCTION("INDEX(SPLIT(A1172, ""/""), 2)"),"شورا")</f>
        <v>شورا</v>
      </c>
      <c r="U1172" s="1" t="str">
        <f>IFERROR(__xludf.DUMMYFUNCTION("INDEX(SPLIT(A1172, ""/""), 3)"),"#REF!")</f>
        <v>#REF!</v>
      </c>
      <c r="V1172" s="1" t="str">
        <f>IFERROR(__xludf.DUMMYFUNCTION("INDEX(SPLIT(A1172, ""/""), 4)"),"#REF!")</f>
        <v>#REF!</v>
      </c>
    </row>
    <row r="1173">
      <c r="A1173" s="1" t="s">
        <v>3698</v>
      </c>
      <c r="B1173" s="1" t="s">
        <v>3792</v>
      </c>
      <c r="C1173" s="1" t="s">
        <v>21</v>
      </c>
      <c r="D1173" s="4" t="s">
        <v>3793</v>
      </c>
      <c r="E1173" s="1" t="s">
        <v>3701</v>
      </c>
      <c r="F1173" s="1" t="s">
        <v>3710</v>
      </c>
      <c r="G1173" s="1" t="s">
        <v>752</v>
      </c>
      <c r="H1173" s="7" t="s">
        <v>3794</v>
      </c>
      <c r="I1173" s="1" t="str">
        <f t="shared" si="1"/>
        <v>2</v>
      </c>
      <c r="J1173" s="5"/>
      <c r="K1173" s="1" t="str">
        <f t="shared" si="2"/>
        <v>12</v>
      </c>
      <c r="L1173" s="5"/>
      <c r="M1173" s="2" t="str">
        <f t="shared" si="3"/>
        <v>1390</v>
      </c>
      <c r="N1173" s="5"/>
      <c r="O1173" s="1">
        <v>28.0</v>
      </c>
      <c r="P1173" s="5"/>
      <c r="Q1173" s="5"/>
      <c r="R1173" s="8" t="s">
        <v>3794</v>
      </c>
      <c r="S1173" s="5"/>
      <c r="T1173" s="1" t="str">
        <f>IFERROR(__xludf.DUMMYFUNCTION("INDEX(SPLIT(A1173, ""/""), 2)"),"شورا")</f>
        <v>شورا</v>
      </c>
      <c r="U1173" s="1" t="str">
        <f>IFERROR(__xludf.DUMMYFUNCTION("INDEX(SPLIT(A1173, ""/""), 3)"),"#REF!")</f>
        <v>#REF!</v>
      </c>
      <c r="V1173" s="1" t="str">
        <f>IFERROR(__xludf.DUMMYFUNCTION("INDEX(SPLIT(A1173, ""/""), 4)"),"#REF!")</f>
        <v>#REF!</v>
      </c>
    </row>
    <row r="1174">
      <c r="A1174" s="1" t="s">
        <v>3698</v>
      </c>
      <c r="B1174" s="1" t="s">
        <v>3795</v>
      </c>
      <c r="C1174" s="1" t="s">
        <v>21</v>
      </c>
      <c r="D1174" s="4" t="s">
        <v>3796</v>
      </c>
      <c r="E1174" s="1" t="s">
        <v>3701</v>
      </c>
      <c r="F1174" s="1" t="s">
        <v>3710</v>
      </c>
      <c r="G1174" s="1" t="s">
        <v>752</v>
      </c>
      <c r="H1174" s="1" t="s">
        <v>3797</v>
      </c>
      <c r="I1174" s="1" t="str">
        <f t="shared" si="1"/>
        <v>20</v>
      </c>
      <c r="J1174" s="5"/>
      <c r="K1174" s="1" t="str">
        <f t="shared" si="2"/>
        <v>12</v>
      </c>
      <c r="L1174" s="5"/>
      <c r="M1174" s="2" t="str">
        <f t="shared" si="3"/>
        <v>1390</v>
      </c>
      <c r="N1174" s="5"/>
      <c r="O1174" s="1">
        <v>29.0</v>
      </c>
      <c r="P1174" s="5"/>
      <c r="Q1174" s="5"/>
      <c r="R1174" s="6" t="s">
        <v>3797</v>
      </c>
      <c r="S1174" s="5"/>
      <c r="T1174" s="1" t="str">
        <f>IFERROR(__xludf.DUMMYFUNCTION("INDEX(SPLIT(A1174, ""/""), 2)"),"شورا")</f>
        <v>شورا</v>
      </c>
      <c r="U1174" s="1" t="str">
        <f>IFERROR(__xludf.DUMMYFUNCTION("INDEX(SPLIT(A1174, ""/""), 3)"),"#REF!")</f>
        <v>#REF!</v>
      </c>
      <c r="V1174" s="1" t="str">
        <f>IFERROR(__xludf.DUMMYFUNCTION("INDEX(SPLIT(A1174, ""/""), 4)"),"#REF!")</f>
        <v>#REF!</v>
      </c>
    </row>
    <row r="1175">
      <c r="A1175" s="1" t="s">
        <v>3698</v>
      </c>
      <c r="B1175" s="1" t="s">
        <v>3798</v>
      </c>
      <c r="C1175" s="1" t="s">
        <v>21</v>
      </c>
      <c r="D1175" s="4" t="s">
        <v>3799</v>
      </c>
      <c r="E1175" s="1" t="s">
        <v>3701</v>
      </c>
      <c r="F1175" s="1" t="s">
        <v>3710</v>
      </c>
      <c r="G1175" s="1" t="s">
        <v>752</v>
      </c>
      <c r="H1175" s="7" t="s">
        <v>3800</v>
      </c>
      <c r="I1175" s="1" t="str">
        <f t="shared" si="1"/>
        <v>5</v>
      </c>
      <c r="J1175" s="5"/>
      <c r="K1175" s="1" t="str">
        <f t="shared" si="2"/>
        <v>2</v>
      </c>
      <c r="L1175" s="5"/>
      <c r="M1175" s="2" t="str">
        <f t="shared" si="3"/>
        <v>1391</v>
      </c>
      <c r="N1175" s="5"/>
      <c r="O1175" s="1">
        <v>30.0</v>
      </c>
      <c r="P1175" s="5"/>
      <c r="Q1175" s="5"/>
      <c r="R1175" s="8" t="s">
        <v>3800</v>
      </c>
      <c r="S1175" s="5"/>
      <c r="T1175" s="1" t="str">
        <f>IFERROR(__xludf.DUMMYFUNCTION("INDEX(SPLIT(A1175, ""/""), 2)"),"شورا")</f>
        <v>شورا</v>
      </c>
      <c r="U1175" s="1" t="str">
        <f>IFERROR(__xludf.DUMMYFUNCTION("INDEX(SPLIT(A1175, ""/""), 3)"),"#REF!")</f>
        <v>#REF!</v>
      </c>
      <c r="V1175" s="1" t="str">
        <f>IFERROR(__xludf.DUMMYFUNCTION("INDEX(SPLIT(A1175, ""/""), 4)"),"#REF!")</f>
        <v>#REF!</v>
      </c>
    </row>
    <row r="1176">
      <c r="A1176" s="1" t="s">
        <v>3698</v>
      </c>
      <c r="B1176" s="1" t="s">
        <v>3801</v>
      </c>
      <c r="C1176" s="1" t="s">
        <v>21</v>
      </c>
      <c r="D1176" s="4" t="s">
        <v>3802</v>
      </c>
      <c r="E1176" s="1" t="s">
        <v>3701</v>
      </c>
      <c r="F1176" s="1" t="s">
        <v>3710</v>
      </c>
      <c r="G1176" s="1" t="s">
        <v>752</v>
      </c>
      <c r="H1176" s="1" t="s">
        <v>3803</v>
      </c>
      <c r="I1176" s="1" t="str">
        <f t="shared" si="1"/>
        <v>24</v>
      </c>
      <c r="J1176" s="5"/>
      <c r="K1176" s="1" t="str">
        <f t="shared" si="2"/>
        <v>2</v>
      </c>
      <c r="L1176" s="5"/>
      <c r="M1176" s="2" t="str">
        <f t="shared" si="3"/>
        <v>1391</v>
      </c>
      <c r="N1176" s="5"/>
      <c r="O1176" s="1">
        <v>31.0</v>
      </c>
      <c r="P1176" s="5"/>
      <c r="Q1176" s="5"/>
      <c r="R1176" s="6" t="s">
        <v>3803</v>
      </c>
      <c r="S1176" s="5"/>
      <c r="T1176" s="1" t="str">
        <f>IFERROR(__xludf.DUMMYFUNCTION("INDEX(SPLIT(A1176, ""/""), 2)"),"شورا")</f>
        <v>شورا</v>
      </c>
      <c r="U1176" s="1" t="str">
        <f>IFERROR(__xludf.DUMMYFUNCTION("INDEX(SPLIT(A1176, ""/""), 3)"),"#REF!")</f>
        <v>#REF!</v>
      </c>
      <c r="V1176" s="1" t="str">
        <f>IFERROR(__xludf.DUMMYFUNCTION("INDEX(SPLIT(A1176, ""/""), 4)"),"#REF!")</f>
        <v>#REF!</v>
      </c>
    </row>
    <row r="1177">
      <c r="A1177" s="1" t="s">
        <v>3698</v>
      </c>
      <c r="B1177" s="1" t="s">
        <v>3804</v>
      </c>
      <c r="C1177" s="1" t="s">
        <v>21</v>
      </c>
      <c r="D1177" s="4" t="s">
        <v>3805</v>
      </c>
      <c r="E1177" s="1" t="s">
        <v>3701</v>
      </c>
      <c r="F1177" s="1" t="s">
        <v>3710</v>
      </c>
      <c r="G1177" s="1" t="s">
        <v>752</v>
      </c>
      <c r="H1177" s="1" t="s">
        <v>3806</v>
      </c>
      <c r="I1177" s="1" t="str">
        <f t="shared" si="1"/>
        <v>29</v>
      </c>
      <c r="J1177" s="5"/>
      <c r="K1177" s="1" t="str">
        <f t="shared" si="2"/>
        <v>3</v>
      </c>
      <c r="L1177" s="5"/>
      <c r="M1177" s="2" t="str">
        <f t="shared" si="3"/>
        <v>1391</v>
      </c>
      <c r="N1177" s="5"/>
      <c r="O1177" s="1">
        <v>32.0</v>
      </c>
      <c r="P1177" s="5"/>
      <c r="Q1177" s="5"/>
      <c r="R1177" s="6" t="s">
        <v>3806</v>
      </c>
      <c r="S1177" s="5"/>
      <c r="T1177" s="1" t="str">
        <f>IFERROR(__xludf.DUMMYFUNCTION("INDEX(SPLIT(A1177, ""/""), 2)"),"شورا")</f>
        <v>شورا</v>
      </c>
      <c r="U1177" s="1" t="str">
        <f>IFERROR(__xludf.DUMMYFUNCTION("INDEX(SPLIT(A1177, ""/""), 3)"),"#REF!")</f>
        <v>#REF!</v>
      </c>
      <c r="V1177" s="1" t="str">
        <f>IFERROR(__xludf.DUMMYFUNCTION("INDEX(SPLIT(A1177, ""/""), 4)"),"#REF!")</f>
        <v>#REF!</v>
      </c>
    </row>
    <row r="1178">
      <c r="A1178" s="1" t="s">
        <v>3698</v>
      </c>
      <c r="B1178" s="1" t="s">
        <v>3807</v>
      </c>
      <c r="C1178" s="1" t="s">
        <v>21</v>
      </c>
      <c r="D1178" s="4" t="s">
        <v>3808</v>
      </c>
      <c r="E1178" s="1" t="s">
        <v>3701</v>
      </c>
      <c r="F1178" s="1" t="s">
        <v>3710</v>
      </c>
      <c r="G1178" s="1" t="s">
        <v>752</v>
      </c>
      <c r="H1178" s="1" t="s">
        <v>3809</v>
      </c>
      <c r="I1178" s="1" t="str">
        <f t="shared" si="1"/>
        <v>x</v>
      </c>
      <c r="J1178" s="5"/>
      <c r="K1178" s="1" t="str">
        <f t="shared" si="2"/>
        <v>7</v>
      </c>
      <c r="L1178" s="5"/>
      <c r="M1178" s="2" t="str">
        <f t="shared" si="3"/>
        <v>1391</v>
      </c>
      <c r="N1178" s="5"/>
      <c r="O1178" s="1">
        <v>33.0</v>
      </c>
      <c r="P1178" s="5"/>
      <c r="Q1178" s="5"/>
      <c r="R1178" s="6" t="s">
        <v>3810</v>
      </c>
      <c r="S1178" s="5"/>
      <c r="T1178" s="1" t="str">
        <f>IFERROR(__xludf.DUMMYFUNCTION("INDEX(SPLIT(A1178, ""/""), 2)"),"شورا")</f>
        <v>شورا</v>
      </c>
      <c r="U1178" s="1" t="str">
        <f>IFERROR(__xludf.DUMMYFUNCTION("INDEX(SPLIT(A1178, ""/""), 3)"),"#REF!")</f>
        <v>#REF!</v>
      </c>
      <c r="V1178" s="1" t="str">
        <f>IFERROR(__xludf.DUMMYFUNCTION("INDEX(SPLIT(A1178, ""/""), 4)"),"#REF!")</f>
        <v>#REF!</v>
      </c>
    </row>
    <row r="1179">
      <c r="A1179" s="1" t="s">
        <v>3698</v>
      </c>
      <c r="B1179" s="1" t="s">
        <v>3811</v>
      </c>
      <c r="C1179" s="1" t="s">
        <v>21</v>
      </c>
      <c r="D1179" s="4" t="s">
        <v>3812</v>
      </c>
      <c r="E1179" s="1" t="s">
        <v>3701</v>
      </c>
      <c r="F1179" s="1" t="s">
        <v>3710</v>
      </c>
      <c r="G1179" s="1" t="s">
        <v>752</v>
      </c>
      <c r="H1179" s="1" t="s">
        <v>3813</v>
      </c>
      <c r="I1179" s="1" t="str">
        <f t="shared" si="1"/>
        <v>25</v>
      </c>
      <c r="J1179" s="5"/>
      <c r="K1179" s="1" t="str">
        <f t="shared" si="2"/>
        <v>9</v>
      </c>
      <c r="L1179" s="5"/>
      <c r="M1179" s="2" t="str">
        <f t="shared" si="3"/>
        <v>1391</v>
      </c>
      <c r="N1179" s="5"/>
      <c r="O1179" s="1">
        <v>34.0</v>
      </c>
      <c r="P1179" s="5"/>
      <c r="Q1179" s="5"/>
      <c r="R1179" s="6" t="s">
        <v>3813</v>
      </c>
      <c r="S1179" s="5"/>
      <c r="T1179" s="1" t="str">
        <f>IFERROR(__xludf.DUMMYFUNCTION("INDEX(SPLIT(A1179, ""/""), 2)"),"شورا")</f>
        <v>شورا</v>
      </c>
      <c r="U1179" s="1" t="str">
        <f>IFERROR(__xludf.DUMMYFUNCTION("INDEX(SPLIT(A1179, ""/""), 3)"),"#REF!")</f>
        <v>#REF!</v>
      </c>
      <c r="V1179" s="1" t="str">
        <f>IFERROR(__xludf.DUMMYFUNCTION("INDEX(SPLIT(A1179, ""/""), 4)"),"#REF!")</f>
        <v>#REF!</v>
      </c>
    </row>
    <row r="1180">
      <c r="A1180" s="1" t="s">
        <v>3698</v>
      </c>
      <c r="B1180" s="1" t="s">
        <v>3814</v>
      </c>
      <c r="C1180" s="1" t="s">
        <v>21</v>
      </c>
      <c r="D1180" s="4" t="s">
        <v>3815</v>
      </c>
      <c r="E1180" s="1" t="s">
        <v>3701</v>
      </c>
      <c r="F1180" s="1" t="s">
        <v>3816</v>
      </c>
      <c r="G1180" s="1" t="s">
        <v>3817</v>
      </c>
      <c r="H1180" s="1" t="s">
        <v>3818</v>
      </c>
      <c r="I1180" s="1" t="str">
        <f t="shared" si="1"/>
        <v>15</v>
      </c>
      <c r="J1180" s="5"/>
      <c r="K1180" s="1" t="str">
        <f t="shared" si="2"/>
        <v>12</v>
      </c>
      <c r="L1180" s="5"/>
      <c r="M1180" s="2" t="str">
        <f t="shared" si="3"/>
        <v>1391</v>
      </c>
      <c r="N1180" s="5"/>
      <c r="O1180" s="1">
        <v>35.0</v>
      </c>
      <c r="P1180" s="5"/>
      <c r="Q1180" s="5"/>
      <c r="R1180" s="6" t="s">
        <v>3818</v>
      </c>
      <c r="S1180" s="5"/>
      <c r="T1180" s="1" t="str">
        <f>IFERROR(__xludf.DUMMYFUNCTION("INDEX(SPLIT(A1180, ""/""), 2)"),"شورا")</f>
        <v>شورا</v>
      </c>
      <c r="U1180" s="1" t="str">
        <f>IFERROR(__xludf.DUMMYFUNCTION("INDEX(SPLIT(A1180, ""/""), 3)"),"#REF!")</f>
        <v>#REF!</v>
      </c>
      <c r="V1180" s="1" t="str">
        <f>IFERROR(__xludf.DUMMYFUNCTION("INDEX(SPLIT(A1180, ""/""), 4)"),"#REF!")</f>
        <v>#REF!</v>
      </c>
    </row>
    <row r="1181">
      <c r="A1181" s="1" t="s">
        <v>3698</v>
      </c>
      <c r="B1181" s="1" t="s">
        <v>3819</v>
      </c>
      <c r="C1181" s="1" t="s">
        <v>21</v>
      </c>
      <c r="D1181" s="4" t="s">
        <v>3820</v>
      </c>
      <c r="E1181" s="1" t="s">
        <v>3701</v>
      </c>
      <c r="F1181" s="1" t="s">
        <v>3816</v>
      </c>
      <c r="G1181" s="1" t="s">
        <v>3821</v>
      </c>
      <c r="H1181" s="7" t="s">
        <v>3822</v>
      </c>
      <c r="I1181" s="1" t="str">
        <f t="shared" si="1"/>
        <v>2</v>
      </c>
      <c r="J1181" s="5"/>
      <c r="K1181" s="1" t="str">
        <f t="shared" si="2"/>
        <v>2</v>
      </c>
      <c r="L1181" s="5"/>
      <c r="M1181" s="2" t="str">
        <f t="shared" si="3"/>
        <v>1392</v>
      </c>
      <c r="N1181" s="5"/>
      <c r="O1181" s="1">
        <v>36.0</v>
      </c>
      <c r="P1181" s="5"/>
      <c r="Q1181" s="5"/>
      <c r="R1181" s="8" t="s">
        <v>3822</v>
      </c>
      <c r="S1181" s="5"/>
      <c r="T1181" s="1" t="str">
        <f>IFERROR(__xludf.DUMMYFUNCTION("INDEX(SPLIT(A1181, ""/""), 2)"),"شورا")</f>
        <v>شورا</v>
      </c>
      <c r="U1181" s="1" t="str">
        <f>IFERROR(__xludf.DUMMYFUNCTION("INDEX(SPLIT(A1181, ""/""), 3)"),"#REF!")</f>
        <v>#REF!</v>
      </c>
      <c r="V1181" s="1" t="str">
        <f>IFERROR(__xludf.DUMMYFUNCTION("INDEX(SPLIT(A1181, ""/""), 4)"),"#REF!")</f>
        <v>#REF!</v>
      </c>
    </row>
    <row r="1182">
      <c r="A1182" s="1" t="s">
        <v>3698</v>
      </c>
      <c r="B1182" s="1" t="s">
        <v>3823</v>
      </c>
      <c r="C1182" s="1" t="s">
        <v>21</v>
      </c>
      <c r="D1182" s="4" t="s">
        <v>3824</v>
      </c>
      <c r="E1182" s="1" t="s">
        <v>3701</v>
      </c>
      <c r="F1182" s="1" t="s">
        <v>3816</v>
      </c>
      <c r="G1182" s="1" t="s">
        <v>3825</v>
      </c>
      <c r="H1182" s="1" t="s">
        <v>3826</v>
      </c>
      <c r="I1182" s="1" t="str">
        <f t="shared" si="1"/>
        <v>29</v>
      </c>
      <c r="J1182" s="5"/>
      <c r="K1182" s="1" t="str">
        <f t="shared" si="2"/>
        <v>2</v>
      </c>
      <c r="L1182" s="5"/>
      <c r="M1182" s="2" t="str">
        <f t="shared" si="3"/>
        <v>1392</v>
      </c>
      <c r="N1182" s="5"/>
      <c r="O1182" s="1">
        <v>37.0</v>
      </c>
      <c r="P1182" s="5"/>
      <c r="Q1182" s="5"/>
      <c r="R1182" s="6" t="s">
        <v>3826</v>
      </c>
      <c r="S1182" s="5"/>
      <c r="T1182" s="1" t="str">
        <f>IFERROR(__xludf.DUMMYFUNCTION("INDEX(SPLIT(A1182, ""/""), 2)"),"شورا")</f>
        <v>شورا</v>
      </c>
      <c r="U1182" s="1" t="str">
        <f>IFERROR(__xludf.DUMMYFUNCTION("INDEX(SPLIT(A1182, ""/""), 3)"),"#REF!")</f>
        <v>#REF!</v>
      </c>
      <c r="V1182" s="1" t="str">
        <f>IFERROR(__xludf.DUMMYFUNCTION("INDEX(SPLIT(A1182, ""/""), 4)"),"#REF!")</f>
        <v>#REF!</v>
      </c>
    </row>
    <row r="1183">
      <c r="A1183" s="1" t="s">
        <v>3698</v>
      </c>
      <c r="B1183" s="1" t="s">
        <v>3827</v>
      </c>
      <c r="C1183" s="1" t="s">
        <v>21</v>
      </c>
      <c r="D1183" s="4" t="s">
        <v>3828</v>
      </c>
      <c r="E1183" s="1" t="s">
        <v>3701</v>
      </c>
      <c r="F1183" s="1" t="s">
        <v>3816</v>
      </c>
      <c r="G1183" s="1" t="s">
        <v>3825</v>
      </c>
      <c r="H1183" s="1" t="s">
        <v>3829</v>
      </c>
      <c r="I1183" s="1" t="str">
        <f t="shared" si="1"/>
        <v>x</v>
      </c>
      <c r="J1183" s="5"/>
      <c r="K1183" s="1" t="str">
        <f t="shared" si="2"/>
        <v>7</v>
      </c>
      <c r="L1183" s="5"/>
      <c r="M1183" s="2" t="str">
        <f t="shared" si="3"/>
        <v>1392</v>
      </c>
      <c r="N1183" s="5"/>
      <c r="O1183" s="1">
        <v>38.0</v>
      </c>
      <c r="P1183" s="5"/>
      <c r="Q1183" s="5"/>
      <c r="R1183" s="6" t="s">
        <v>3830</v>
      </c>
      <c r="S1183" s="5"/>
      <c r="T1183" s="1" t="str">
        <f>IFERROR(__xludf.DUMMYFUNCTION("INDEX(SPLIT(A1183, ""/""), 2)"),"شورا")</f>
        <v>شورا</v>
      </c>
      <c r="U1183" s="1" t="str">
        <f>IFERROR(__xludf.DUMMYFUNCTION("INDEX(SPLIT(A1183, ""/""), 3)"),"#REF!")</f>
        <v>#REF!</v>
      </c>
      <c r="V1183" s="1" t="str">
        <f>IFERROR(__xludf.DUMMYFUNCTION("INDEX(SPLIT(A1183, ""/""), 4)"),"#REF!")</f>
        <v>#REF!</v>
      </c>
    </row>
    <row r="1184">
      <c r="A1184" s="1" t="s">
        <v>3698</v>
      </c>
      <c r="B1184" s="1" t="s">
        <v>3831</v>
      </c>
      <c r="C1184" s="1" t="s">
        <v>21</v>
      </c>
      <c r="D1184" s="4" t="s">
        <v>3832</v>
      </c>
      <c r="E1184" s="1" t="s">
        <v>3701</v>
      </c>
      <c r="F1184" s="1" t="s">
        <v>3816</v>
      </c>
      <c r="G1184" s="1" t="s">
        <v>752</v>
      </c>
      <c r="H1184" s="1" t="s">
        <v>1862</v>
      </c>
      <c r="I1184" s="1" t="str">
        <f t="shared" si="1"/>
        <v>x</v>
      </c>
      <c r="J1184" s="5"/>
      <c r="K1184" s="1" t="str">
        <f t="shared" si="2"/>
        <v>x</v>
      </c>
      <c r="L1184" s="5"/>
      <c r="M1184" s="2" t="str">
        <f t="shared" si="3"/>
        <v>1392</v>
      </c>
      <c r="N1184" s="5"/>
      <c r="O1184" s="1" t="s">
        <v>3833</v>
      </c>
      <c r="P1184" s="5"/>
      <c r="Q1184" s="5"/>
      <c r="R1184" s="8" t="s">
        <v>1718</v>
      </c>
      <c r="S1184" s="5"/>
      <c r="T1184" s="1" t="str">
        <f>IFERROR(__xludf.DUMMYFUNCTION("INDEX(SPLIT(A1184, ""/""), 2)"),"شورا")</f>
        <v>شورا</v>
      </c>
      <c r="U1184" s="1" t="str">
        <f>IFERROR(__xludf.DUMMYFUNCTION("INDEX(SPLIT(A1184, ""/""), 3)"),"#REF!")</f>
        <v>#REF!</v>
      </c>
      <c r="V1184" s="1" t="str">
        <f>IFERROR(__xludf.DUMMYFUNCTION("INDEX(SPLIT(A1184, ""/""), 4)"),"#REF!")</f>
        <v>#REF!</v>
      </c>
    </row>
    <row r="1185">
      <c r="A1185" s="1" t="s">
        <v>3698</v>
      </c>
      <c r="B1185" s="1" t="s">
        <v>3834</v>
      </c>
      <c r="C1185" s="1" t="s">
        <v>21</v>
      </c>
      <c r="D1185" s="4" t="s">
        <v>3835</v>
      </c>
      <c r="E1185" s="1" t="s">
        <v>3701</v>
      </c>
      <c r="F1185" s="1" t="s">
        <v>3816</v>
      </c>
      <c r="G1185" s="1" t="s">
        <v>3821</v>
      </c>
      <c r="H1185" s="1" t="s">
        <v>3836</v>
      </c>
      <c r="I1185" s="1" t="str">
        <f t="shared" si="1"/>
        <v>22</v>
      </c>
      <c r="J1185" s="5"/>
      <c r="K1185" s="1" t="str">
        <f t="shared" si="2"/>
        <v>7</v>
      </c>
      <c r="L1185" s="5"/>
      <c r="M1185" s="2" t="str">
        <f t="shared" si="3"/>
        <v>1392</v>
      </c>
      <c r="N1185" s="5"/>
      <c r="O1185" s="1">
        <v>39.0</v>
      </c>
      <c r="P1185" s="5"/>
      <c r="Q1185" s="5"/>
      <c r="R1185" s="6" t="s">
        <v>3836</v>
      </c>
      <c r="S1185" s="5"/>
      <c r="T1185" s="1" t="str">
        <f>IFERROR(__xludf.DUMMYFUNCTION("INDEX(SPLIT(A1185, ""/""), 2)"),"شورا")</f>
        <v>شورا</v>
      </c>
      <c r="U1185" s="1" t="str">
        <f>IFERROR(__xludf.DUMMYFUNCTION("INDEX(SPLIT(A1185, ""/""), 3)"),"#REF!")</f>
        <v>#REF!</v>
      </c>
      <c r="V1185" s="1" t="str">
        <f>IFERROR(__xludf.DUMMYFUNCTION("INDEX(SPLIT(A1185, ""/""), 4)"),"#REF!")</f>
        <v>#REF!</v>
      </c>
    </row>
    <row r="1186">
      <c r="A1186" s="1" t="s">
        <v>3698</v>
      </c>
      <c r="B1186" s="1" t="s">
        <v>3837</v>
      </c>
      <c r="C1186" s="1" t="s">
        <v>21</v>
      </c>
      <c r="D1186" s="4" t="s">
        <v>3838</v>
      </c>
      <c r="E1186" s="1" t="s">
        <v>3701</v>
      </c>
      <c r="F1186" s="1" t="s">
        <v>3816</v>
      </c>
      <c r="G1186" s="1" t="s">
        <v>3821</v>
      </c>
      <c r="H1186" s="1" t="s">
        <v>3073</v>
      </c>
      <c r="I1186" s="1" t="str">
        <f t="shared" si="1"/>
        <v>13</v>
      </c>
      <c r="J1186" s="5"/>
      <c r="K1186" s="1" t="str">
        <f t="shared" si="2"/>
        <v>8</v>
      </c>
      <c r="L1186" s="5"/>
      <c r="M1186" s="2" t="str">
        <f t="shared" si="3"/>
        <v>1392</v>
      </c>
      <c r="N1186" s="5"/>
      <c r="O1186" s="1">
        <v>40.0</v>
      </c>
      <c r="P1186" s="5"/>
      <c r="Q1186" s="5"/>
      <c r="R1186" s="6" t="s">
        <v>3073</v>
      </c>
      <c r="S1186" s="5"/>
      <c r="T1186" s="1" t="str">
        <f>IFERROR(__xludf.DUMMYFUNCTION("INDEX(SPLIT(A1186, ""/""), 2)"),"شورا")</f>
        <v>شورا</v>
      </c>
      <c r="U1186" s="1" t="str">
        <f>IFERROR(__xludf.DUMMYFUNCTION("INDEX(SPLIT(A1186, ""/""), 3)"),"#REF!")</f>
        <v>#REF!</v>
      </c>
      <c r="V1186" s="1" t="str">
        <f>IFERROR(__xludf.DUMMYFUNCTION("INDEX(SPLIT(A1186, ""/""), 4)"),"#REF!")</f>
        <v>#REF!</v>
      </c>
    </row>
    <row r="1187">
      <c r="A1187" s="1" t="s">
        <v>3698</v>
      </c>
      <c r="B1187" s="1" t="s">
        <v>3839</v>
      </c>
      <c r="C1187" s="1" t="s">
        <v>21</v>
      </c>
      <c r="D1187" s="4" t="s">
        <v>3840</v>
      </c>
      <c r="E1187" s="1" t="s">
        <v>3701</v>
      </c>
      <c r="F1187" s="1" t="s">
        <v>3816</v>
      </c>
      <c r="G1187" s="1" t="s">
        <v>3821</v>
      </c>
      <c r="H1187" s="1" t="s">
        <v>3841</v>
      </c>
      <c r="I1187" s="1" t="str">
        <f t="shared" si="1"/>
        <v>x</v>
      </c>
      <c r="J1187" s="5"/>
      <c r="K1187" s="1" t="str">
        <f t="shared" si="2"/>
        <v>9</v>
      </c>
      <c r="L1187" s="5"/>
      <c r="M1187" s="2" t="str">
        <f t="shared" si="3"/>
        <v>1392</v>
      </c>
      <c r="N1187" s="5"/>
      <c r="O1187" s="1">
        <v>41.0</v>
      </c>
      <c r="P1187" s="5"/>
      <c r="Q1187" s="5"/>
      <c r="R1187" s="6" t="s">
        <v>3842</v>
      </c>
      <c r="S1187" s="5"/>
      <c r="T1187" s="1" t="str">
        <f>IFERROR(__xludf.DUMMYFUNCTION("INDEX(SPLIT(A1187, ""/""), 2)"),"شورا")</f>
        <v>شورا</v>
      </c>
      <c r="U1187" s="1" t="str">
        <f>IFERROR(__xludf.DUMMYFUNCTION("INDEX(SPLIT(A1187, ""/""), 3)"),"#REF!")</f>
        <v>#REF!</v>
      </c>
      <c r="V1187" s="1" t="str">
        <f>IFERROR(__xludf.DUMMYFUNCTION("INDEX(SPLIT(A1187, ""/""), 4)"),"#REF!")</f>
        <v>#REF!</v>
      </c>
    </row>
    <row r="1188">
      <c r="A1188" s="1" t="s">
        <v>3698</v>
      </c>
      <c r="B1188" s="1" t="s">
        <v>3843</v>
      </c>
      <c r="C1188" s="1" t="s">
        <v>21</v>
      </c>
      <c r="D1188" s="4" t="s">
        <v>3844</v>
      </c>
      <c r="E1188" s="1" t="s">
        <v>3701</v>
      </c>
      <c r="F1188" s="1" t="s">
        <v>3816</v>
      </c>
      <c r="G1188" s="1" t="s">
        <v>3821</v>
      </c>
      <c r="H1188" s="1" t="s">
        <v>3845</v>
      </c>
      <c r="I1188" s="1" t="str">
        <f t="shared" si="1"/>
        <v>26</v>
      </c>
      <c r="J1188" s="5"/>
      <c r="K1188" s="1" t="str">
        <f t="shared" si="2"/>
        <v>9</v>
      </c>
      <c r="L1188" s="5"/>
      <c r="M1188" s="2" t="str">
        <f t="shared" si="3"/>
        <v>1392</v>
      </c>
      <c r="N1188" s="5"/>
      <c r="O1188" s="1">
        <v>42.0</v>
      </c>
      <c r="P1188" s="5"/>
      <c r="Q1188" s="5"/>
      <c r="R1188" s="6" t="s">
        <v>3845</v>
      </c>
      <c r="S1188" s="5"/>
      <c r="T1188" s="1" t="str">
        <f>IFERROR(__xludf.DUMMYFUNCTION("INDEX(SPLIT(A1188, ""/""), 2)"),"شورا")</f>
        <v>شورا</v>
      </c>
      <c r="U1188" s="1" t="str">
        <f>IFERROR(__xludf.DUMMYFUNCTION("INDEX(SPLIT(A1188, ""/""), 3)"),"#REF!")</f>
        <v>#REF!</v>
      </c>
      <c r="V1188" s="1" t="str">
        <f>IFERROR(__xludf.DUMMYFUNCTION("INDEX(SPLIT(A1188, ""/""), 4)"),"#REF!")</f>
        <v>#REF!</v>
      </c>
    </row>
    <row r="1189">
      <c r="A1189" s="1" t="s">
        <v>3698</v>
      </c>
      <c r="B1189" s="1" t="s">
        <v>3846</v>
      </c>
      <c r="C1189" s="1" t="s">
        <v>21</v>
      </c>
      <c r="D1189" s="4" t="s">
        <v>3847</v>
      </c>
      <c r="E1189" s="1" t="s">
        <v>3701</v>
      </c>
      <c r="F1189" s="1" t="s">
        <v>1397</v>
      </c>
      <c r="G1189" s="1" t="s">
        <v>3848</v>
      </c>
      <c r="H1189" s="7" t="s">
        <v>3849</v>
      </c>
      <c r="I1189" s="1" t="str">
        <f t="shared" si="1"/>
        <v>5</v>
      </c>
      <c r="J1189" s="5"/>
      <c r="K1189" s="1" t="str">
        <f t="shared" si="2"/>
        <v>12</v>
      </c>
      <c r="L1189" s="5"/>
      <c r="M1189" s="2" t="str">
        <f t="shared" si="3"/>
        <v>1392</v>
      </c>
      <c r="N1189" s="5"/>
      <c r="O1189" s="1">
        <v>43.0</v>
      </c>
      <c r="P1189" s="5"/>
      <c r="Q1189" s="5"/>
      <c r="R1189" s="8" t="s">
        <v>3849</v>
      </c>
      <c r="S1189" s="5"/>
      <c r="T1189" s="1" t="str">
        <f>IFERROR(__xludf.DUMMYFUNCTION("INDEX(SPLIT(A1189, ""/""), 2)"),"شورا")</f>
        <v>شورا</v>
      </c>
      <c r="U1189" s="1" t="str">
        <f>IFERROR(__xludf.DUMMYFUNCTION("INDEX(SPLIT(A1189, ""/""), 3)"),"#REF!")</f>
        <v>#REF!</v>
      </c>
      <c r="V1189" s="1" t="str">
        <f>IFERROR(__xludf.DUMMYFUNCTION("INDEX(SPLIT(A1189, ""/""), 4)"),"#REF!")</f>
        <v>#REF!</v>
      </c>
    </row>
    <row r="1190">
      <c r="A1190" s="1" t="s">
        <v>3698</v>
      </c>
      <c r="B1190" s="1" t="s">
        <v>3850</v>
      </c>
      <c r="C1190" s="1" t="s">
        <v>21</v>
      </c>
      <c r="D1190" s="4" t="s">
        <v>3851</v>
      </c>
      <c r="E1190" s="1" t="s">
        <v>3701</v>
      </c>
      <c r="F1190" s="1" t="s">
        <v>1397</v>
      </c>
      <c r="G1190" s="1" t="s">
        <v>3848</v>
      </c>
      <c r="H1190" s="1" t="s">
        <v>3852</v>
      </c>
      <c r="I1190" s="1" t="str">
        <f t="shared" si="1"/>
        <v>19</v>
      </c>
      <c r="J1190" s="5"/>
      <c r="K1190" s="1" t="str">
        <f t="shared" si="2"/>
        <v>12</v>
      </c>
      <c r="L1190" s="5"/>
      <c r="M1190" s="2" t="str">
        <f t="shared" si="3"/>
        <v>1392</v>
      </c>
      <c r="N1190" s="5"/>
      <c r="O1190" s="1">
        <v>44.0</v>
      </c>
      <c r="P1190" s="5"/>
      <c r="Q1190" s="5"/>
      <c r="R1190" s="6" t="s">
        <v>3852</v>
      </c>
      <c r="S1190" s="5"/>
      <c r="T1190" s="1" t="str">
        <f>IFERROR(__xludf.DUMMYFUNCTION("INDEX(SPLIT(A1190, ""/""), 2)"),"شورا")</f>
        <v>شورا</v>
      </c>
      <c r="U1190" s="1" t="str">
        <f>IFERROR(__xludf.DUMMYFUNCTION("INDEX(SPLIT(A1190, ""/""), 3)"),"#REF!")</f>
        <v>#REF!</v>
      </c>
      <c r="V1190" s="1" t="str">
        <f>IFERROR(__xludf.DUMMYFUNCTION("INDEX(SPLIT(A1190, ""/""), 4)"),"#REF!")</f>
        <v>#REF!</v>
      </c>
    </row>
    <row r="1191">
      <c r="A1191" s="1" t="s">
        <v>3698</v>
      </c>
      <c r="B1191" s="1" t="s">
        <v>3853</v>
      </c>
      <c r="C1191" s="1" t="s">
        <v>21</v>
      </c>
      <c r="D1191" s="4" t="s">
        <v>3854</v>
      </c>
      <c r="E1191" s="1" t="s">
        <v>3701</v>
      </c>
      <c r="F1191" s="1" t="s">
        <v>1397</v>
      </c>
      <c r="G1191" s="1" t="s">
        <v>3848</v>
      </c>
      <c r="H1191" s="1" t="s">
        <v>3855</v>
      </c>
      <c r="I1191" s="1" t="str">
        <f t="shared" si="1"/>
        <v>28</v>
      </c>
      <c r="J1191" s="5"/>
      <c r="K1191" s="1" t="str">
        <f t="shared" si="2"/>
        <v>2</v>
      </c>
      <c r="L1191" s="5"/>
      <c r="M1191" s="2" t="str">
        <f t="shared" si="3"/>
        <v>1393</v>
      </c>
      <c r="N1191" s="5"/>
      <c r="O1191" s="1">
        <v>45.0</v>
      </c>
      <c r="P1191" s="5"/>
      <c r="Q1191" s="5"/>
      <c r="R1191" s="6" t="s">
        <v>3855</v>
      </c>
      <c r="S1191" s="5"/>
      <c r="T1191" s="1" t="str">
        <f>IFERROR(__xludf.DUMMYFUNCTION("INDEX(SPLIT(A1191, ""/""), 2)"),"شورا")</f>
        <v>شورا</v>
      </c>
      <c r="U1191" s="1" t="str">
        <f>IFERROR(__xludf.DUMMYFUNCTION("INDEX(SPLIT(A1191, ""/""), 3)"),"#REF!")</f>
        <v>#REF!</v>
      </c>
      <c r="V1191" s="1" t="str">
        <f>IFERROR(__xludf.DUMMYFUNCTION("INDEX(SPLIT(A1191, ""/""), 4)"),"#REF!")</f>
        <v>#REF!</v>
      </c>
    </row>
    <row r="1192">
      <c r="A1192" s="1" t="s">
        <v>3698</v>
      </c>
      <c r="B1192" s="1" t="s">
        <v>3856</v>
      </c>
      <c r="C1192" s="1" t="s">
        <v>21</v>
      </c>
      <c r="D1192" s="4" t="s">
        <v>3857</v>
      </c>
      <c r="E1192" s="1" t="s">
        <v>3701</v>
      </c>
      <c r="F1192" s="1" t="s">
        <v>1397</v>
      </c>
      <c r="G1192" s="1" t="s">
        <v>3848</v>
      </c>
      <c r="H1192" s="7" t="s">
        <v>3858</v>
      </c>
      <c r="I1192" s="1" t="str">
        <f t="shared" si="1"/>
        <v>5</v>
      </c>
      <c r="J1192" s="5"/>
      <c r="K1192" s="1" t="str">
        <f t="shared" si="2"/>
        <v>8</v>
      </c>
      <c r="L1192" s="5"/>
      <c r="M1192" s="2" t="str">
        <f t="shared" si="3"/>
        <v>1393</v>
      </c>
      <c r="N1192" s="5"/>
      <c r="O1192" s="1">
        <v>46.0</v>
      </c>
      <c r="P1192" s="5"/>
      <c r="Q1192" s="5"/>
      <c r="R1192" s="8" t="s">
        <v>3858</v>
      </c>
      <c r="S1192" s="5"/>
      <c r="T1192" s="1" t="str">
        <f>IFERROR(__xludf.DUMMYFUNCTION("INDEX(SPLIT(A1192, ""/""), 2)"),"شورا")</f>
        <v>شورا</v>
      </c>
      <c r="U1192" s="1" t="str">
        <f>IFERROR(__xludf.DUMMYFUNCTION("INDEX(SPLIT(A1192, ""/""), 3)"),"#REF!")</f>
        <v>#REF!</v>
      </c>
      <c r="V1192" s="1" t="str">
        <f>IFERROR(__xludf.DUMMYFUNCTION("INDEX(SPLIT(A1192, ""/""), 4)"),"#REF!")</f>
        <v>#REF!</v>
      </c>
    </row>
    <row r="1193">
      <c r="A1193" s="1" t="s">
        <v>3698</v>
      </c>
      <c r="B1193" s="1" t="s">
        <v>3859</v>
      </c>
      <c r="C1193" s="1" t="s">
        <v>21</v>
      </c>
      <c r="D1193" s="4" t="s">
        <v>3860</v>
      </c>
      <c r="E1193" s="1" t="s">
        <v>3701</v>
      </c>
      <c r="F1193" s="1" t="s">
        <v>1397</v>
      </c>
      <c r="G1193" s="1" t="s">
        <v>3848</v>
      </c>
      <c r="H1193" s="1" t="s">
        <v>3394</v>
      </c>
      <c r="I1193" s="1" t="str">
        <f t="shared" si="1"/>
        <v>15</v>
      </c>
      <c r="J1193" s="5"/>
      <c r="K1193" s="1" t="str">
        <f t="shared" si="2"/>
        <v>9</v>
      </c>
      <c r="L1193" s="5"/>
      <c r="M1193" s="2" t="str">
        <f t="shared" si="3"/>
        <v>1393</v>
      </c>
      <c r="N1193" s="5"/>
      <c r="O1193" s="1">
        <v>48.0</v>
      </c>
      <c r="P1193" s="5"/>
      <c r="Q1193" s="5"/>
      <c r="R1193" s="6" t="s">
        <v>3394</v>
      </c>
      <c r="S1193" s="5"/>
      <c r="T1193" s="1" t="str">
        <f>IFERROR(__xludf.DUMMYFUNCTION("INDEX(SPLIT(A1193, ""/""), 2)"),"شورا")</f>
        <v>شورا</v>
      </c>
      <c r="U1193" s="1" t="str">
        <f>IFERROR(__xludf.DUMMYFUNCTION("INDEX(SPLIT(A1193, ""/""), 3)"),"#REF!")</f>
        <v>#REF!</v>
      </c>
      <c r="V1193" s="1" t="str">
        <f>IFERROR(__xludf.DUMMYFUNCTION("INDEX(SPLIT(A1193, ""/""), 4)"),"#REF!")</f>
        <v>#REF!</v>
      </c>
    </row>
    <row r="1194">
      <c r="A1194" s="1" t="s">
        <v>3698</v>
      </c>
      <c r="B1194" s="1" t="s">
        <v>3861</v>
      </c>
      <c r="C1194" s="1" t="s">
        <v>21</v>
      </c>
      <c r="D1194" s="4" t="s">
        <v>3862</v>
      </c>
      <c r="E1194" s="1" t="s">
        <v>3701</v>
      </c>
      <c r="F1194" s="1" t="s">
        <v>3863</v>
      </c>
      <c r="G1194" s="1" t="s">
        <v>3864</v>
      </c>
      <c r="H1194" s="7" t="s">
        <v>3124</v>
      </c>
      <c r="I1194" s="1" t="str">
        <f t="shared" si="1"/>
        <v>8</v>
      </c>
      <c r="J1194" s="5"/>
      <c r="K1194" s="1" t="str">
        <f t="shared" si="2"/>
        <v>10</v>
      </c>
      <c r="L1194" s="5"/>
      <c r="M1194" s="2" t="str">
        <f t="shared" si="3"/>
        <v>1393</v>
      </c>
      <c r="N1194" s="5"/>
      <c r="O1194" s="1">
        <v>49.0</v>
      </c>
      <c r="P1194" s="5"/>
      <c r="Q1194" s="5"/>
      <c r="R1194" s="8" t="s">
        <v>3124</v>
      </c>
      <c r="S1194" s="5"/>
      <c r="T1194" s="1" t="str">
        <f>IFERROR(__xludf.DUMMYFUNCTION("INDEX(SPLIT(A1194, ""/""), 2)"),"شورا")</f>
        <v>شورا</v>
      </c>
      <c r="U1194" s="1" t="str">
        <f>IFERROR(__xludf.DUMMYFUNCTION("INDEX(SPLIT(A1194, ""/""), 3)"),"#REF!")</f>
        <v>#REF!</v>
      </c>
      <c r="V1194" s="1" t="str">
        <f>IFERROR(__xludf.DUMMYFUNCTION("INDEX(SPLIT(A1194, ""/""), 4)"),"#REF!")</f>
        <v>#REF!</v>
      </c>
    </row>
    <row r="1195">
      <c r="A1195" s="1" t="s">
        <v>3698</v>
      </c>
      <c r="B1195" s="1" t="s">
        <v>3865</v>
      </c>
      <c r="C1195" s="1" t="s">
        <v>21</v>
      </c>
      <c r="D1195" s="4" t="s">
        <v>3866</v>
      </c>
      <c r="E1195" s="1" t="s">
        <v>3701</v>
      </c>
      <c r="F1195" s="1" t="s">
        <v>3863</v>
      </c>
      <c r="G1195" s="1" t="s">
        <v>3864</v>
      </c>
      <c r="H1195" s="7" t="s">
        <v>3867</v>
      </c>
      <c r="I1195" s="1" t="str">
        <f t="shared" si="1"/>
        <v>3</v>
      </c>
      <c r="J1195" s="5"/>
      <c r="K1195" s="1" t="str">
        <f t="shared" si="2"/>
        <v>12</v>
      </c>
      <c r="L1195" s="5"/>
      <c r="M1195" s="2" t="str">
        <f t="shared" si="3"/>
        <v>1393</v>
      </c>
      <c r="N1195" s="5"/>
      <c r="O1195" s="1">
        <v>50.0</v>
      </c>
      <c r="P1195" s="5"/>
      <c r="Q1195" s="5"/>
      <c r="R1195" s="8" t="s">
        <v>3867</v>
      </c>
      <c r="S1195" s="5"/>
      <c r="T1195" s="1" t="str">
        <f>IFERROR(__xludf.DUMMYFUNCTION("INDEX(SPLIT(A1195, ""/""), 2)"),"شورا")</f>
        <v>شورا</v>
      </c>
      <c r="U1195" s="1" t="str">
        <f>IFERROR(__xludf.DUMMYFUNCTION("INDEX(SPLIT(A1195, ""/""), 3)"),"#REF!")</f>
        <v>#REF!</v>
      </c>
      <c r="V1195" s="1" t="str">
        <f>IFERROR(__xludf.DUMMYFUNCTION("INDEX(SPLIT(A1195, ""/""), 4)"),"#REF!")</f>
        <v>#REF!</v>
      </c>
    </row>
    <row r="1196">
      <c r="A1196" s="1" t="s">
        <v>3698</v>
      </c>
      <c r="B1196" s="1" t="s">
        <v>3868</v>
      </c>
      <c r="C1196" s="1" t="s">
        <v>21</v>
      </c>
      <c r="D1196" s="4" t="s">
        <v>3869</v>
      </c>
      <c r="E1196" s="1" t="s">
        <v>3701</v>
      </c>
      <c r="F1196" s="1" t="s">
        <v>3863</v>
      </c>
      <c r="G1196" s="1" t="s">
        <v>3864</v>
      </c>
      <c r="H1196" s="7" t="s">
        <v>3870</v>
      </c>
      <c r="I1196" s="1" t="str">
        <f t="shared" si="1"/>
        <v>3</v>
      </c>
      <c r="J1196" s="5"/>
      <c r="K1196" s="1" t="str">
        <f t="shared" si="2"/>
        <v>3</v>
      </c>
      <c r="L1196" s="5"/>
      <c r="M1196" s="2" t="str">
        <f t="shared" si="3"/>
        <v>1394</v>
      </c>
      <c r="N1196" s="5"/>
      <c r="O1196" s="1">
        <v>51.0</v>
      </c>
      <c r="P1196" s="5"/>
      <c r="Q1196" s="5"/>
      <c r="R1196" s="8" t="s">
        <v>3870</v>
      </c>
      <c r="S1196" s="5"/>
      <c r="T1196" s="1" t="str">
        <f>IFERROR(__xludf.DUMMYFUNCTION("INDEX(SPLIT(A1196, ""/""), 2)"),"شورا")</f>
        <v>شورا</v>
      </c>
      <c r="U1196" s="1" t="str">
        <f>IFERROR(__xludf.DUMMYFUNCTION("INDEX(SPLIT(A1196, ""/""), 3)"),"#REF!")</f>
        <v>#REF!</v>
      </c>
      <c r="V1196" s="1" t="str">
        <f>IFERROR(__xludf.DUMMYFUNCTION("INDEX(SPLIT(A1196, ""/""), 4)"),"#REF!")</f>
        <v>#REF!</v>
      </c>
    </row>
    <row r="1197">
      <c r="A1197" s="1" t="s">
        <v>3698</v>
      </c>
      <c r="B1197" s="1" t="s">
        <v>3871</v>
      </c>
      <c r="C1197" s="1" t="s">
        <v>21</v>
      </c>
      <c r="D1197" s="4" t="s">
        <v>3872</v>
      </c>
      <c r="E1197" s="1" t="s">
        <v>3701</v>
      </c>
      <c r="F1197" s="1" t="s">
        <v>3863</v>
      </c>
      <c r="G1197" s="1" t="s">
        <v>71</v>
      </c>
      <c r="H1197" s="1" t="s">
        <v>3873</v>
      </c>
      <c r="I1197" s="1" t="str">
        <f t="shared" si="1"/>
        <v>27</v>
      </c>
      <c r="J1197" s="5"/>
      <c r="K1197" s="1" t="str">
        <f t="shared" si="2"/>
        <v>7</v>
      </c>
      <c r="L1197" s="5"/>
      <c r="M1197" s="2" t="str">
        <f t="shared" si="3"/>
        <v>1394</v>
      </c>
      <c r="N1197" s="5"/>
      <c r="O1197" s="1">
        <v>52.0</v>
      </c>
      <c r="P1197" s="5"/>
      <c r="Q1197" s="5"/>
      <c r="R1197" s="6" t="s">
        <v>3873</v>
      </c>
      <c r="S1197" s="5"/>
      <c r="T1197" s="1" t="str">
        <f>IFERROR(__xludf.DUMMYFUNCTION("INDEX(SPLIT(A1197, ""/""), 2)"),"شورا")</f>
        <v>شورا</v>
      </c>
      <c r="U1197" s="1" t="str">
        <f>IFERROR(__xludf.DUMMYFUNCTION("INDEX(SPLIT(A1197, ""/""), 3)"),"#REF!")</f>
        <v>#REF!</v>
      </c>
      <c r="V1197" s="1" t="str">
        <f>IFERROR(__xludf.DUMMYFUNCTION("INDEX(SPLIT(A1197, ""/""), 4)"),"#REF!")</f>
        <v>#REF!</v>
      </c>
    </row>
    <row r="1198">
      <c r="A1198" s="1" t="s">
        <v>3698</v>
      </c>
      <c r="B1198" s="1" t="s">
        <v>3874</v>
      </c>
      <c r="C1198" s="1" t="s">
        <v>21</v>
      </c>
      <c r="D1198" s="4" t="s">
        <v>3875</v>
      </c>
      <c r="E1198" s="1" t="s">
        <v>3701</v>
      </c>
      <c r="F1198" s="1" t="s">
        <v>3876</v>
      </c>
      <c r="G1198" s="1" t="s">
        <v>3877</v>
      </c>
      <c r="H1198" s="1" t="s">
        <v>3878</v>
      </c>
      <c r="I1198" s="1" t="str">
        <f t="shared" si="1"/>
        <v>x</v>
      </c>
      <c r="J1198" s="5"/>
      <c r="K1198" s="1" t="str">
        <f t="shared" si="2"/>
        <v>1</v>
      </c>
      <c r="L1198" s="5"/>
      <c r="M1198" s="2" t="str">
        <f t="shared" si="3"/>
        <v>1395</v>
      </c>
      <c r="N1198" s="5"/>
      <c r="O1198" s="1">
        <v>53.0</v>
      </c>
      <c r="P1198" s="5"/>
      <c r="Q1198" s="5"/>
      <c r="R1198" s="6" t="s">
        <v>3879</v>
      </c>
      <c r="S1198" s="5"/>
      <c r="T1198" s="1" t="str">
        <f>IFERROR(__xludf.DUMMYFUNCTION("INDEX(SPLIT(A1198, ""/""), 2)"),"شورا")</f>
        <v>شورا</v>
      </c>
      <c r="U1198" s="1" t="str">
        <f>IFERROR(__xludf.DUMMYFUNCTION("INDEX(SPLIT(A1198, ""/""), 3)"),"#REF!")</f>
        <v>#REF!</v>
      </c>
      <c r="V1198" s="1" t="str">
        <f>IFERROR(__xludf.DUMMYFUNCTION("INDEX(SPLIT(A1198, ""/""), 4)"),"#REF!")</f>
        <v>#REF!</v>
      </c>
    </row>
    <row r="1199">
      <c r="A1199" s="1" t="s">
        <v>3698</v>
      </c>
      <c r="B1199" s="1" t="s">
        <v>3880</v>
      </c>
      <c r="C1199" s="1" t="s">
        <v>21</v>
      </c>
      <c r="D1199" s="4" t="s">
        <v>3881</v>
      </c>
      <c r="E1199" s="1" t="s">
        <v>3701</v>
      </c>
      <c r="F1199" s="1" t="s">
        <v>3876</v>
      </c>
      <c r="G1199" s="1" t="s">
        <v>3877</v>
      </c>
      <c r="H1199" s="7" t="s">
        <v>3882</v>
      </c>
      <c r="I1199" s="1" t="str">
        <f t="shared" si="1"/>
        <v>6</v>
      </c>
      <c r="J1199" s="5"/>
      <c r="K1199" s="1" t="str">
        <f t="shared" si="2"/>
        <v>7</v>
      </c>
      <c r="L1199" s="5"/>
      <c r="M1199" s="2" t="str">
        <f t="shared" si="3"/>
        <v>1395</v>
      </c>
      <c r="N1199" s="5"/>
      <c r="O1199" s="1" t="s">
        <v>3883</v>
      </c>
      <c r="P1199" s="5"/>
      <c r="Q1199" s="5"/>
      <c r="R1199" s="8" t="s">
        <v>3882</v>
      </c>
      <c r="S1199" s="5"/>
      <c r="T1199" s="1" t="str">
        <f>IFERROR(__xludf.DUMMYFUNCTION("INDEX(SPLIT(A1199, ""/""), 2)"),"شورا")</f>
        <v>شورا</v>
      </c>
      <c r="U1199" s="1" t="str">
        <f>IFERROR(__xludf.DUMMYFUNCTION("INDEX(SPLIT(A1199, ""/""), 3)"),"#REF!")</f>
        <v>#REF!</v>
      </c>
      <c r="V1199" s="1" t="str">
        <f>IFERROR(__xludf.DUMMYFUNCTION("INDEX(SPLIT(A1199, ""/""), 4)"),"#REF!")</f>
        <v>#REF!</v>
      </c>
    </row>
    <row r="1200">
      <c r="A1200" s="1" t="s">
        <v>3698</v>
      </c>
      <c r="B1200" s="1" t="s">
        <v>3884</v>
      </c>
      <c r="C1200" s="1" t="s">
        <v>21</v>
      </c>
      <c r="D1200" s="4" t="s">
        <v>3885</v>
      </c>
      <c r="E1200" s="1" t="s">
        <v>3701</v>
      </c>
      <c r="F1200" s="1" t="s">
        <v>3886</v>
      </c>
      <c r="G1200" s="1" t="s">
        <v>3886</v>
      </c>
      <c r="H1200" s="7" t="s">
        <v>3887</v>
      </c>
      <c r="I1200" s="1" t="str">
        <f t="shared" si="1"/>
        <v>2</v>
      </c>
      <c r="J1200" s="5"/>
      <c r="K1200" s="1" t="str">
        <f t="shared" si="2"/>
        <v>7</v>
      </c>
      <c r="L1200" s="5"/>
      <c r="M1200" s="2" t="str">
        <f t="shared" si="3"/>
        <v>1397</v>
      </c>
      <c r="N1200" s="5"/>
      <c r="O1200" s="1">
        <v>56.0</v>
      </c>
      <c r="P1200" s="5"/>
      <c r="Q1200" s="5"/>
      <c r="R1200" s="8" t="s">
        <v>3887</v>
      </c>
      <c r="S1200" s="5"/>
      <c r="T1200" s="1" t="str">
        <f>IFERROR(__xludf.DUMMYFUNCTION("INDEX(SPLIT(A1200, ""/""), 2)"),"شورا")</f>
        <v>شورا</v>
      </c>
      <c r="U1200" s="1" t="str">
        <f>IFERROR(__xludf.DUMMYFUNCTION("INDEX(SPLIT(A1200, ""/""), 3)"),"#REF!")</f>
        <v>#REF!</v>
      </c>
      <c r="V1200" s="1" t="str">
        <f>IFERROR(__xludf.DUMMYFUNCTION("INDEX(SPLIT(A1200, ""/""), 4)"),"#REF!")</f>
        <v>#REF!</v>
      </c>
    </row>
    <row r="1201">
      <c r="A1201" s="1" t="s">
        <v>3698</v>
      </c>
      <c r="B1201" s="1" t="s">
        <v>3888</v>
      </c>
      <c r="C1201" s="1" t="s">
        <v>21</v>
      </c>
      <c r="D1201" s="4" t="s">
        <v>3889</v>
      </c>
      <c r="E1201" s="1" t="s">
        <v>3701</v>
      </c>
      <c r="F1201" s="1" t="s">
        <v>3886</v>
      </c>
      <c r="G1201" s="1" t="s">
        <v>3886</v>
      </c>
      <c r="H1201" s="7" t="s">
        <v>701</v>
      </c>
      <c r="I1201" s="1" t="str">
        <f t="shared" si="1"/>
        <v>5</v>
      </c>
      <c r="J1201" s="5"/>
      <c r="K1201" s="1" t="str">
        <f t="shared" si="2"/>
        <v>8</v>
      </c>
      <c r="L1201" s="5"/>
      <c r="M1201" s="2" t="str">
        <f t="shared" si="3"/>
        <v>1397</v>
      </c>
      <c r="N1201" s="5"/>
      <c r="O1201" s="1">
        <v>57.0</v>
      </c>
      <c r="P1201" s="5"/>
      <c r="Q1201" s="5"/>
      <c r="R1201" s="8" t="s">
        <v>701</v>
      </c>
      <c r="S1201" s="5"/>
      <c r="T1201" s="1" t="str">
        <f>IFERROR(__xludf.DUMMYFUNCTION("INDEX(SPLIT(A1201, ""/""), 2)"),"شورا")</f>
        <v>شورا</v>
      </c>
      <c r="U1201" s="1" t="str">
        <f>IFERROR(__xludf.DUMMYFUNCTION("INDEX(SPLIT(A1201, ""/""), 3)"),"#REF!")</f>
        <v>#REF!</v>
      </c>
      <c r="V1201" s="1" t="str">
        <f>IFERROR(__xludf.DUMMYFUNCTION("INDEX(SPLIT(A1201, ""/""), 4)"),"#REF!")</f>
        <v>#REF!</v>
      </c>
    </row>
    <row r="1202">
      <c r="A1202" s="1" t="s">
        <v>3698</v>
      </c>
      <c r="B1202" s="1" t="s">
        <v>3890</v>
      </c>
      <c r="C1202" s="1" t="s">
        <v>21</v>
      </c>
      <c r="D1202" s="4" t="s">
        <v>3891</v>
      </c>
      <c r="E1202" s="1" t="s">
        <v>3701</v>
      </c>
      <c r="F1202" s="1" t="s">
        <v>3886</v>
      </c>
      <c r="G1202" s="1" t="s">
        <v>3886</v>
      </c>
      <c r="H1202" s="7" t="s">
        <v>704</v>
      </c>
      <c r="I1202" s="1" t="str">
        <f t="shared" si="1"/>
        <v>6</v>
      </c>
      <c r="J1202" s="5"/>
      <c r="K1202" s="1" t="str">
        <f t="shared" si="2"/>
        <v>9</v>
      </c>
      <c r="L1202" s="5"/>
      <c r="M1202" s="2" t="str">
        <f t="shared" si="3"/>
        <v>1397</v>
      </c>
      <c r="N1202" s="5"/>
      <c r="O1202" s="1">
        <v>58.0</v>
      </c>
      <c r="P1202" s="5"/>
      <c r="Q1202" s="5"/>
      <c r="R1202" s="8" t="s">
        <v>704</v>
      </c>
      <c r="S1202" s="5"/>
      <c r="T1202" s="1" t="str">
        <f>IFERROR(__xludf.DUMMYFUNCTION("INDEX(SPLIT(A1202, ""/""), 2)"),"شورا")</f>
        <v>شورا</v>
      </c>
      <c r="U1202" s="1" t="str">
        <f>IFERROR(__xludf.DUMMYFUNCTION("INDEX(SPLIT(A1202, ""/""), 3)"),"#REF!")</f>
        <v>#REF!</v>
      </c>
      <c r="V1202" s="1" t="str">
        <f>IFERROR(__xludf.DUMMYFUNCTION("INDEX(SPLIT(A1202, ""/""), 4)"),"#REF!")</f>
        <v>#REF!</v>
      </c>
    </row>
    <row r="1203">
      <c r="A1203" s="1" t="s">
        <v>3698</v>
      </c>
      <c r="B1203" s="1" t="s">
        <v>3892</v>
      </c>
      <c r="C1203" s="1" t="s">
        <v>21</v>
      </c>
      <c r="D1203" s="4" t="s">
        <v>3893</v>
      </c>
      <c r="E1203" s="1" t="s">
        <v>3701</v>
      </c>
      <c r="F1203" s="1" t="s">
        <v>3886</v>
      </c>
      <c r="G1203" s="1" t="s">
        <v>3886</v>
      </c>
      <c r="H1203" s="7" t="s">
        <v>3894</v>
      </c>
      <c r="I1203" s="1" t="str">
        <f t="shared" si="1"/>
        <v>4</v>
      </c>
      <c r="J1203" s="5"/>
      <c r="K1203" s="1" t="str">
        <f t="shared" si="2"/>
        <v>7</v>
      </c>
      <c r="L1203" s="5"/>
      <c r="M1203" s="2" t="str">
        <f t="shared" si="3"/>
        <v>1397</v>
      </c>
      <c r="N1203" s="5"/>
      <c r="O1203" s="1">
        <v>59.0</v>
      </c>
      <c r="P1203" s="5"/>
      <c r="Q1203" s="5"/>
      <c r="R1203" s="8" t="s">
        <v>3894</v>
      </c>
      <c r="S1203" s="5"/>
      <c r="T1203" s="1" t="str">
        <f>IFERROR(__xludf.DUMMYFUNCTION("INDEX(SPLIT(A1203, ""/""), 2)"),"شورا")</f>
        <v>شورا</v>
      </c>
      <c r="U1203" s="1" t="str">
        <f>IFERROR(__xludf.DUMMYFUNCTION("INDEX(SPLIT(A1203, ""/""), 3)"),"#REF!")</f>
        <v>#REF!</v>
      </c>
      <c r="V1203" s="1" t="str">
        <f>IFERROR(__xludf.DUMMYFUNCTION("INDEX(SPLIT(A1203, ""/""), 4)"),"#REF!")</f>
        <v>#REF!</v>
      </c>
    </row>
    <row r="1204">
      <c r="A1204" s="1" t="s">
        <v>3698</v>
      </c>
      <c r="B1204" s="1" t="s">
        <v>3895</v>
      </c>
      <c r="C1204" s="1" t="s">
        <v>21</v>
      </c>
      <c r="D1204" s="4" t="s">
        <v>3896</v>
      </c>
      <c r="E1204" s="1" t="s">
        <v>3701</v>
      </c>
      <c r="F1204" s="1" t="s">
        <v>3886</v>
      </c>
      <c r="G1204" s="1" t="s">
        <v>3886</v>
      </c>
      <c r="H1204" s="1" t="s">
        <v>3897</v>
      </c>
      <c r="I1204" s="1" t="str">
        <f t="shared" si="1"/>
        <v>30</v>
      </c>
      <c r="J1204" s="5"/>
      <c r="K1204" s="1" t="str">
        <f t="shared" si="2"/>
        <v>8</v>
      </c>
      <c r="L1204" s="5"/>
      <c r="M1204" s="2" t="str">
        <f t="shared" si="3"/>
        <v>1397</v>
      </c>
      <c r="N1204" s="5"/>
      <c r="O1204" s="1">
        <v>60.0</v>
      </c>
      <c r="P1204" s="5"/>
      <c r="Q1204" s="5"/>
      <c r="R1204" s="6" t="s">
        <v>3897</v>
      </c>
      <c r="S1204" s="5"/>
      <c r="T1204" s="1" t="str">
        <f>IFERROR(__xludf.DUMMYFUNCTION("INDEX(SPLIT(A1204, ""/""), 2)"),"شورا")</f>
        <v>شورا</v>
      </c>
      <c r="U1204" s="1" t="str">
        <f>IFERROR(__xludf.DUMMYFUNCTION("INDEX(SPLIT(A1204, ""/""), 3)"),"#REF!")</f>
        <v>#REF!</v>
      </c>
      <c r="V1204" s="1" t="str">
        <f>IFERROR(__xludf.DUMMYFUNCTION("INDEX(SPLIT(A1204, ""/""), 4)"),"#REF!")</f>
        <v>#REF!</v>
      </c>
    </row>
    <row r="1205">
      <c r="A1205" s="1" t="s">
        <v>3698</v>
      </c>
      <c r="B1205" s="1" t="s">
        <v>3898</v>
      </c>
      <c r="C1205" s="1" t="s">
        <v>21</v>
      </c>
      <c r="D1205" s="4" t="s">
        <v>3899</v>
      </c>
      <c r="E1205" s="1" t="s">
        <v>3701</v>
      </c>
      <c r="F1205" s="1" t="s">
        <v>3886</v>
      </c>
      <c r="G1205" s="1" t="s">
        <v>3886</v>
      </c>
      <c r="H1205" s="1" t="s">
        <v>3900</v>
      </c>
      <c r="I1205" s="1" t="str">
        <f t="shared" si="1"/>
        <v>27</v>
      </c>
      <c r="J1205" s="5"/>
      <c r="K1205" s="1" t="str">
        <f t="shared" si="2"/>
        <v>12</v>
      </c>
      <c r="L1205" s="5"/>
      <c r="M1205" s="2" t="str">
        <f t="shared" si="3"/>
        <v>1397</v>
      </c>
      <c r="N1205" s="5"/>
      <c r="O1205" s="1">
        <v>61.0</v>
      </c>
      <c r="P1205" s="5"/>
      <c r="Q1205" s="5"/>
      <c r="R1205" s="6" t="s">
        <v>3900</v>
      </c>
      <c r="S1205" s="5"/>
      <c r="T1205" s="1" t="str">
        <f>IFERROR(__xludf.DUMMYFUNCTION("INDEX(SPLIT(A1205, ""/""), 2)"),"شورا")</f>
        <v>شورا</v>
      </c>
      <c r="U1205" s="1" t="str">
        <f>IFERROR(__xludf.DUMMYFUNCTION("INDEX(SPLIT(A1205, ""/""), 3)"),"#REF!")</f>
        <v>#REF!</v>
      </c>
      <c r="V1205" s="1" t="str">
        <f>IFERROR(__xludf.DUMMYFUNCTION("INDEX(SPLIT(A1205, ""/""), 4)"),"#REF!")</f>
        <v>#REF!</v>
      </c>
    </row>
    <row r="1206">
      <c r="A1206" s="1" t="s">
        <v>3698</v>
      </c>
      <c r="B1206" s="1" t="s">
        <v>3901</v>
      </c>
      <c r="C1206" s="1" t="s">
        <v>21</v>
      </c>
      <c r="D1206" s="4" t="s">
        <v>3902</v>
      </c>
      <c r="E1206" s="1" t="s">
        <v>3701</v>
      </c>
      <c r="F1206" s="1" t="s">
        <v>3886</v>
      </c>
      <c r="G1206" s="1" t="s">
        <v>3886</v>
      </c>
      <c r="H1206" s="7" t="s">
        <v>2060</v>
      </c>
      <c r="I1206" s="1" t="str">
        <f t="shared" si="1"/>
        <v>10</v>
      </c>
      <c r="J1206" s="5"/>
      <c r="K1206" s="1" t="str">
        <f t="shared" si="2"/>
        <v>2</v>
      </c>
      <c r="L1206" s="5"/>
      <c r="M1206" s="2" t="str">
        <f t="shared" si="3"/>
        <v>1398</v>
      </c>
      <c r="N1206" s="5"/>
      <c r="O1206" s="1">
        <v>62.0</v>
      </c>
      <c r="P1206" s="5"/>
      <c r="Q1206" s="5"/>
      <c r="R1206" s="8" t="s">
        <v>2060</v>
      </c>
      <c r="S1206" s="5"/>
      <c r="T1206" s="1" t="str">
        <f>IFERROR(__xludf.DUMMYFUNCTION("INDEX(SPLIT(A1206, ""/""), 2)"),"شورا")</f>
        <v>شورا</v>
      </c>
      <c r="U1206" s="1" t="str">
        <f>IFERROR(__xludf.DUMMYFUNCTION("INDEX(SPLIT(A1206, ""/""), 3)"),"#REF!")</f>
        <v>#REF!</v>
      </c>
      <c r="V1206" s="1" t="str">
        <f>IFERROR(__xludf.DUMMYFUNCTION("INDEX(SPLIT(A1206, ""/""), 4)"),"#REF!")</f>
        <v>#REF!</v>
      </c>
    </row>
    <row r="1207">
      <c r="A1207" s="1" t="s">
        <v>3698</v>
      </c>
      <c r="B1207" s="1" t="s">
        <v>3903</v>
      </c>
      <c r="C1207" s="1" t="s">
        <v>21</v>
      </c>
      <c r="D1207" s="4" t="s">
        <v>3904</v>
      </c>
      <c r="E1207" s="1" t="s">
        <v>3701</v>
      </c>
      <c r="F1207" s="1" t="s">
        <v>3886</v>
      </c>
      <c r="G1207" s="1" t="s">
        <v>3886</v>
      </c>
      <c r="H1207" s="1" t="s">
        <v>351</v>
      </c>
      <c r="I1207" s="1" t="str">
        <f t="shared" si="1"/>
        <v>x</v>
      </c>
      <c r="J1207" s="5"/>
      <c r="K1207" s="1" t="str">
        <f t="shared" si="2"/>
        <v>8</v>
      </c>
      <c r="L1207" s="5"/>
      <c r="M1207" s="2" t="str">
        <f t="shared" si="3"/>
        <v>1398</v>
      </c>
      <c r="N1207" s="5"/>
      <c r="O1207" s="1">
        <v>63.0</v>
      </c>
      <c r="P1207" s="5"/>
      <c r="Q1207" s="5"/>
      <c r="R1207" s="6" t="s">
        <v>352</v>
      </c>
      <c r="S1207" s="5"/>
      <c r="T1207" s="1" t="str">
        <f>IFERROR(__xludf.DUMMYFUNCTION("INDEX(SPLIT(A1207, ""/""), 2)"),"شورا")</f>
        <v>شورا</v>
      </c>
      <c r="U1207" s="1" t="str">
        <f>IFERROR(__xludf.DUMMYFUNCTION("INDEX(SPLIT(A1207, ""/""), 3)"),"#REF!")</f>
        <v>#REF!</v>
      </c>
      <c r="V1207" s="1" t="str">
        <f>IFERROR(__xludf.DUMMYFUNCTION("INDEX(SPLIT(A1207, ""/""), 4)"),"#REF!")</f>
        <v>#REF!</v>
      </c>
    </row>
    <row r="1208">
      <c r="A1208" s="1" t="s">
        <v>3698</v>
      </c>
      <c r="B1208" s="1" t="s">
        <v>3905</v>
      </c>
      <c r="C1208" s="1" t="s">
        <v>21</v>
      </c>
      <c r="D1208" s="4" t="s">
        <v>3906</v>
      </c>
      <c r="E1208" s="1" t="s">
        <v>3701</v>
      </c>
      <c r="F1208" s="1" t="s">
        <v>3886</v>
      </c>
      <c r="G1208" s="1" t="s">
        <v>3886</v>
      </c>
      <c r="H1208" s="1" t="s">
        <v>195</v>
      </c>
      <c r="I1208" s="1" t="str">
        <f t="shared" si="1"/>
        <v>x</v>
      </c>
      <c r="J1208" s="5"/>
      <c r="K1208" s="1" t="str">
        <f t="shared" si="2"/>
        <v>9</v>
      </c>
      <c r="L1208" s="5"/>
      <c r="M1208" s="2" t="str">
        <f t="shared" si="3"/>
        <v>1398</v>
      </c>
      <c r="N1208" s="5"/>
      <c r="O1208" s="1">
        <v>64.0</v>
      </c>
      <c r="P1208" s="5"/>
      <c r="Q1208" s="5"/>
      <c r="R1208" s="6" t="s">
        <v>196</v>
      </c>
      <c r="S1208" s="5"/>
      <c r="T1208" s="1" t="str">
        <f>IFERROR(__xludf.DUMMYFUNCTION("INDEX(SPLIT(A1208, ""/""), 2)"),"شورا")</f>
        <v>شورا</v>
      </c>
      <c r="U1208" s="1" t="str">
        <f>IFERROR(__xludf.DUMMYFUNCTION("INDEX(SPLIT(A1208, ""/""), 3)"),"#REF!")</f>
        <v>#REF!</v>
      </c>
      <c r="V1208" s="1" t="str">
        <f>IFERROR(__xludf.DUMMYFUNCTION("INDEX(SPLIT(A1208, ""/""), 4)"),"#REF!")</f>
        <v>#REF!</v>
      </c>
    </row>
    <row r="1209">
      <c r="A1209" s="1" t="s">
        <v>3698</v>
      </c>
      <c r="B1209" s="1" t="s">
        <v>3907</v>
      </c>
      <c r="C1209" s="1" t="s">
        <v>21</v>
      </c>
      <c r="D1209" s="4" t="s">
        <v>3908</v>
      </c>
      <c r="E1209" s="1" t="s">
        <v>3701</v>
      </c>
      <c r="F1209" s="1" t="s">
        <v>3886</v>
      </c>
      <c r="G1209" s="1" t="s">
        <v>3886</v>
      </c>
      <c r="H1209" s="1" t="s">
        <v>371</v>
      </c>
      <c r="I1209" s="1" t="str">
        <f t="shared" si="1"/>
        <v>x</v>
      </c>
      <c r="J1209" s="5"/>
      <c r="K1209" s="1" t="str">
        <f t="shared" si="2"/>
        <v>2</v>
      </c>
      <c r="L1209" s="5"/>
      <c r="M1209" s="2" t="str">
        <f t="shared" si="3"/>
        <v>1399</v>
      </c>
      <c r="N1209" s="5"/>
      <c r="O1209" s="1">
        <v>65.0</v>
      </c>
      <c r="P1209" s="5"/>
      <c r="Q1209" s="5"/>
      <c r="R1209" s="6" t="s">
        <v>372</v>
      </c>
      <c r="S1209" s="5"/>
      <c r="T1209" s="1" t="str">
        <f>IFERROR(__xludf.DUMMYFUNCTION("INDEX(SPLIT(A1209, ""/""), 2)"),"شورا")</f>
        <v>شورا</v>
      </c>
      <c r="U1209" s="1" t="str">
        <f>IFERROR(__xludf.DUMMYFUNCTION("INDEX(SPLIT(A1209, ""/""), 3)"),"#REF!")</f>
        <v>#REF!</v>
      </c>
      <c r="V1209" s="1" t="str">
        <f>IFERROR(__xludf.DUMMYFUNCTION("INDEX(SPLIT(A1209, ""/""), 4)"),"#REF!")</f>
        <v>#REF!</v>
      </c>
    </row>
    <row r="1210">
      <c r="A1210" s="1" t="s">
        <v>3698</v>
      </c>
      <c r="B1210" s="1" t="s">
        <v>3909</v>
      </c>
      <c r="C1210" s="1" t="s">
        <v>21</v>
      </c>
      <c r="D1210" s="4" t="s">
        <v>3910</v>
      </c>
      <c r="E1210" s="1" t="s">
        <v>3701</v>
      </c>
      <c r="F1210" s="1" t="s">
        <v>3886</v>
      </c>
      <c r="G1210" s="1" t="s">
        <v>3886</v>
      </c>
      <c r="H1210" s="1" t="s">
        <v>32</v>
      </c>
      <c r="I1210" s="1" t="str">
        <f t="shared" si="1"/>
        <v>x</v>
      </c>
      <c r="J1210" s="5"/>
      <c r="K1210" s="1" t="str">
        <f t="shared" si="2"/>
        <v>8</v>
      </c>
      <c r="L1210" s="5"/>
      <c r="M1210" s="2" t="str">
        <f t="shared" si="3"/>
        <v>1399</v>
      </c>
      <c r="N1210" s="5"/>
      <c r="O1210" s="1">
        <v>66.0</v>
      </c>
      <c r="P1210" s="5"/>
      <c r="Q1210" s="5"/>
      <c r="R1210" s="6" t="s">
        <v>33</v>
      </c>
      <c r="S1210" s="5"/>
      <c r="T1210" s="1" t="str">
        <f>IFERROR(__xludf.DUMMYFUNCTION("INDEX(SPLIT(A1210, ""/""), 2)"),"شورا")</f>
        <v>شورا</v>
      </c>
      <c r="U1210" s="1" t="str">
        <f>IFERROR(__xludf.DUMMYFUNCTION("INDEX(SPLIT(A1210, ""/""), 3)"),"#REF!")</f>
        <v>#REF!</v>
      </c>
      <c r="V1210" s="1" t="str">
        <f>IFERROR(__xludf.DUMMYFUNCTION("INDEX(SPLIT(A1210, ""/""), 4)"),"#REF!")</f>
        <v>#REF!</v>
      </c>
    </row>
    <row r="1211">
      <c r="A1211" s="1" t="s">
        <v>3698</v>
      </c>
      <c r="B1211" s="1" t="s">
        <v>3911</v>
      </c>
      <c r="C1211" s="1" t="s">
        <v>21</v>
      </c>
      <c r="D1211" s="4" t="s">
        <v>3912</v>
      </c>
      <c r="E1211" s="1" t="s">
        <v>3701</v>
      </c>
      <c r="F1211" s="1" t="s">
        <v>3913</v>
      </c>
      <c r="G1211" s="1" t="s">
        <v>3914</v>
      </c>
      <c r="H1211" s="1" t="s">
        <v>462</v>
      </c>
      <c r="I1211" s="1" t="str">
        <f t="shared" si="1"/>
        <v>x</v>
      </c>
      <c r="J1211" s="5"/>
      <c r="K1211" s="1" t="str">
        <f t="shared" si="2"/>
        <v>8</v>
      </c>
      <c r="L1211" s="5"/>
      <c r="M1211" s="2" t="str">
        <f t="shared" si="3"/>
        <v>1402</v>
      </c>
      <c r="N1211" s="5"/>
      <c r="O1211" s="1">
        <v>67.0</v>
      </c>
      <c r="P1211" s="5"/>
      <c r="Q1211" s="5"/>
      <c r="R1211" s="6" t="s">
        <v>463</v>
      </c>
      <c r="S1211" s="5"/>
      <c r="T1211" s="1" t="str">
        <f>IFERROR(__xludf.DUMMYFUNCTION("INDEX(SPLIT(A1211, ""/""), 2)"),"شورا")</f>
        <v>شورا</v>
      </c>
      <c r="U1211" s="1" t="str">
        <f>IFERROR(__xludf.DUMMYFUNCTION("INDEX(SPLIT(A1211, ""/""), 3)"),"#REF!")</f>
        <v>#REF!</v>
      </c>
      <c r="V1211" s="1" t="str">
        <f>IFERROR(__xludf.DUMMYFUNCTION("INDEX(SPLIT(A1211, ""/""), 4)"),"#REF!")</f>
        <v>#REF!</v>
      </c>
    </row>
    <row r="1212">
      <c r="A1212" s="1" t="s">
        <v>3698</v>
      </c>
      <c r="B1212" s="1" t="s">
        <v>3915</v>
      </c>
      <c r="C1212" s="1" t="s">
        <v>21</v>
      </c>
      <c r="D1212" s="4" t="s">
        <v>3916</v>
      </c>
      <c r="E1212" s="1" t="s">
        <v>3701</v>
      </c>
      <c r="F1212" s="1" t="s">
        <v>3913</v>
      </c>
      <c r="G1212" s="1" t="s">
        <v>3914</v>
      </c>
      <c r="H1212" s="1" t="s">
        <v>663</v>
      </c>
      <c r="I1212" s="1" t="str">
        <f t="shared" si="1"/>
        <v>x</v>
      </c>
      <c r="J1212" s="5"/>
      <c r="K1212" s="1" t="str">
        <f t="shared" si="2"/>
        <v>10</v>
      </c>
      <c r="L1212" s="5"/>
      <c r="M1212" s="2" t="str">
        <f t="shared" si="3"/>
        <v>1402</v>
      </c>
      <c r="N1212" s="5"/>
      <c r="O1212" s="1">
        <v>68.0</v>
      </c>
      <c r="P1212" s="5"/>
      <c r="Q1212" s="5"/>
      <c r="R1212" s="6" t="s">
        <v>664</v>
      </c>
      <c r="S1212" s="5"/>
      <c r="T1212" s="1" t="str">
        <f>IFERROR(__xludf.DUMMYFUNCTION("INDEX(SPLIT(A1212, ""/""), 2)"),"شورا")</f>
        <v>شورا</v>
      </c>
      <c r="U1212" s="1" t="str">
        <f>IFERROR(__xludf.DUMMYFUNCTION("INDEX(SPLIT(A1212, ""/""), 3)"),"#REF!")</f>
        <v>#REF!</v>
      </c>
      <c r="V1212" s="1" t="str">
        <f>IFERROR(__xludf.DUMMYFUNCTION("INDEX(SPLIT(A1212, ""/""), 4)"),"#REF!")</f>
        <v>#REF!</v>
      </c>
    </row>
    <row r="1213">
      <c r="A1213" s="1" t="s">
        <v>3698</v>
      </c>
      <c r="B1213" s="1" t="s">
        <v>3917</v>
      </c>
      <c r="C1213" s="1" t="s">
        <v>21</v>
      </c>
      <c r="D1213" s="4" t="s">
        <v>3918</v>
      </c>
      <c r="E1213" s="1" t="s">
        <v>3701</v>
      </c>
      <c r="F1213" s="1" t="s">
        <v>3913</v>
      </c>
      <c r="G1213" s="1" t="s">
        <v>3914</v>
      </c>
      <c r="H1213" s="7" t="s">
        <v>3919</v>
      </c>
      <c r="I1213" s="1" t="str">
        <f t="shared" si="1"/>
        <v>11</v>
      </c>
      <c r="J1213" s="5"/>
      <c r="K1213" s="1" t="str">
        <f t="shared" si="2"/>
        <v>5</v>
      </c>
      <c r="L1213" s="5"/>
      <c r="M1213" s="2" t="str">
        <f t="shared" si="3"/>
        <v>1403</v>
      </c>
      <c r="N1213" s="5"/>
      <c r="O1213" s="1">
        <v>69.0</v>
      </c>
      <c r="P1213" s="5"/>
      <c r="Q1213" s="5"/>
      <c r="R1213" s="8" t="s">
        <v>3919</v>
      </c>
      <c r="S1213" s="5"/>
      <c r="T1213" s="1" t="str">
        <f>IFERROR(__xludf.DUMMYFUNCTION("INDEX(SPLIT(A1213, ""/""), 2)"),"شورا")</f>
        <v>شورا</v>
      </c>
      <c r="U1213" s="1" t="str">
        <f>IFERROR(__xludf.DUMMYFUNCTION("INDEX(SPLIT(A1213, ""/""), 3)"),"#REF!")</f>
        <v>#REF!</v>
      </c>
      <c r="V1213" s="1" t="str">
        <f>IFERROR(__xludf.DUMMYFUNCTION("INDEX(SPLIT(A1213, ""/""), 4)"),"#REF!")</f>
        <v>#REF!</v>
      </c>
    </row>
    <row r="1214">
      <c r="A1214" s="1" t="s">
        <v>3698</v>
      </c>
      <c r="B1214" s="1" t="s">
        <v>3920</v>
      </c>
      <c r="C1214" s="1" t="s">
        <v>21</v>
      </c>
      <c r="D1214" s="4" t="s">
        <v>3921</v>
      </c>
      <c r="E1214" s="1" t="s">
        <v>3701</v>
      </c>
      <c r="F1214" s="1" t="s">
        <v>3913</v>
      </c>
      <c r="G1214" s="1" t="s">
        <v>3922</v>
      </c>
      <c r="H1214" s="1" t="s">
        <v>3923</v>
      </c>
      <c r="I1214" s="1" t="str">
        <f t="shared" si="1"/>
        <v>16</v>
      </c>
      <c r="J1214" s="5"/>
      <c r="K1214" s="1" t="str">
        <f t="shared" si="2"/>
        <v>9</v>
      </c>
      <c r="L1214" s="5"/>
      <c r="M1214" s="2" t="str">
        <f t="shared" si="3"/>
        <v>1403</v>
      </c>
      <c r="N1214" s="5"/>
      <c r="O1214" s="1">
        <v>70.0</v>
      </c>
      <c r="P1214" s="5"/>
      <c r="Q1214" s="5"/>
      <c r="R1214" s="6" t="s">
        <v>3923</v>
      </c>
      <c r="S1214" s="5"/>
      <c r="T1214" s="1" t="str">
        <f>IFERROR(__xludf.DUMMYFUNCTION("INDEX(SPLIT(A1214, ""/""), 2)"),"شورا")</f>
        <v>شورا</v>
      </c>
      <c r="U1214" s="1" t="str">
        <f>IFERROR(__xludf.DUMMYFUNCTION("INDEX(SPLIT(A1214, ""/""), 3)"),"#REF!")</f>
        <v>#REF!</v>
      </c>
      <c r="V1214" s="1" t="str">
        <f>IFERROR(__xludf.DUMMYFUNCTION("INDEX(SPLIT(A1214, ""/""), 4)"),"#REF!")</f>
        <v>#REF!</v>
      </c>
    </row>
    <row r="1215">
      <c r="A1215" s="1" t="s">
        <v>3698</v>
      </c>
      <c r="B1215" s="1" t="s">
        <v>3924</v>
      </c>
      <c r="C1215" s="1" t="s">
        <v>21</v>
      </c>
      <c r="D1215" s="4" t="s">
        <v>3925</v>
      </c>
      <c r="E1215" s="1" t="s">
        <v>3701</v>
      </c>
      <c r="F1215" s="1" t="s">
        <v>3913</v>
      </c>
      <c r="G1215" s="1" t="s">
        <v>3922</v>
      </c>
      <c r="H1215" s="1" t="s">
        <v>3926</v>
      </c>
      <c r="I1215" s="1" t="str">
        <f t="shared" si="1"/>
        <v>30</v>
      </c>
      <c r="J1215" s="5"/>
      <c r="K1215" s="1" t="str">
        <f t="shared" si="2"/>
        <v>12</v>
      </c>
      <c r="L1215" s="5"/>
      <c r="M1215" s="2" t="str">
        <f t="shared" si="3"/>
        <v>1403</v>
      </c>
      <c r="N1215" s="5"/>
      <c r="O1215" s="1">
        <v>71.0</v>
      </c>
      <c r="P1215" s="5"/>
      <c r="Q1215" s="5"/>
      <c r="R1215" s="6" t="s">
        <v>3926</v>
      </c>
      <c r="S1215" s="5"/>
      <c r="T1215" s="1" t="str">
        <f>IFERROR(__xludf.DUMMYFUNCTION("INDEX(SPLIT(A1215, ""/""), 2)"),"شورا")</f>
        <v>شورا</v>
      </c>
      <c r="U1215" s="1" t="str">
        <f>IFERROR(__xludf.DUMMYFUNCTION("INDEX(SPLIT(A1215, ""/""), 3)"),"#REF!")</f>
        <v>#REF!</v>
      </c>
      <c r="V1215" s="1" t="str">
        <f>IFERROR(__xludf.DUMMYFUNCTION("INDEX(SPLIT(A1215, ""/""), 4)"),"#REF!")</f>
        <v>#REF!</v>
      </c>
    </row>
    <row r="1216">
      <c r="A1216" s="1" t="s">
        <v>3698</v>
      </c>
      <c r="B1216" s="1" t="s">
        <v>3927</v>
      </c>
      <c r="C1216" s="1" t="s">
        <v>21</v>
      </c>
      <c r="D1216" s="4" t="s">
        <v>3928</v>
      </c>
      <c r="E1216" s="1" t="s">
        <v>3701</v>
      </c>
      <c r="F1216" s="1" t="s">
        <v>3913</v>
      </c>
      <c r="G1216" s="1" t="s">
        <v>2448</v>
      </c>
      <c r="H1216" s="7" t="s">
        <v>3929</v>
      </c>
      <c r="I1216" s="1" t="str">
        <f t="shared" si="1"/>
        <v>3</v>
      </c>
      <c r="J1216" s="5"/>
      <c r="K1216" s="1" t="str">
        <f t="shared" si="2"/>
        <v>12</v>
      </c>
      <c r="L1216" s="5"/>
      <c r="M1216" s="2" t="str">
        <f t="shared" si="3"/>
        <v>1403</v>
      </c>
      <c r="N1216" s="5"/>
      <c r="O1216" s="1" t="s">
        <v>3930</v>
      </c>
      <c r="P1216" s="5"/>
      <c r="Q1216" s="5"/>
      <c r="R1216" s="8" t="s">
        <v>3929</v>
      </c>
      <c r="S1216" s="5"/>
      <c r="T1216" s="1" t="str">
        <f>IFERROR(__xludf.DUMMYFUNCTION("INDEX(SPLIT(A1216, ""/""), 2)"),"شورا")</f>
        <v>شورا</v>
      </c>
      <c r="U1216" s="1" t="str">
        <f>IFERROR(__xludf.DUMMYFUNCTION("INDEX(SPLIT(A1216, ""/""), 3)"),"#REF!")</f>
        <v>#REF!</v>
      </c>
      <c r="V1216" s="1" t="str">
        <f>IFERROR(__xludf.DUMMYFUNCTION("INDEX(SPLIT(A1216, ""/""), 4)"),"#REF!")</f>
        <v>#REF!</v>
      </c>
    </row>
    <row r="1217">
      <c r="A1217" s="1" t="s">
        <v>3698</v>
      </c>
      <c r="B1217" s="1" t="s">
        <v>3931</v>
      </c>
      <c r="C1217" s="1" t="s">
        <v>21</v>
      </c>
      <c r="D1217" s="4" t="s">
        <v>3932</v>
      </c>
      <c r="E1217" s="1" t="s">
        <v>3701</v>
      </c>
      <c r="F1217" s="1" t="s">
        <v>3913</v>
      </c>
      <c r="G1217" s="1" t="s">
        <v>2448</v>
      </c>
      <c r="H1217" s="7" t="s">
        <v>3929</v>
      </c>
      <c r="I1217" s="1" t="str">
        <f t="shared" si="1"/>
        <v>3</v>
      </c>
      <c r="J1217" s="5"/>
      <c r="K1217" s="1" t="str">
        <f t="shared" si="2"/>
        <v>12</v>
      </c>
      <c r="L1217" s="5"/>
      <c r="M1217" s="2" t="str">
        <f t="shared" si="3"/>
        <v>1403</v>
      </c>
      <c r="N1217" s="5"/>
      <c r="O1217" s="1" t="s">
        <v>3933</v>
      </c>
      <c r="P1217" s="5"/>
      <c r="Q1217" s="5"/>
      <c r="R1217" s="8" t="s">
        <v>3929</v>
      </c>
      <c r="S1217" s="5"/>
      <c r="T1217" s="1" t="str">
        <f>IFERROR(__xludf.DUMMYFUNCTION("INDEX(SPLIT(A1217, ""/""), 2)"),"شورا")</f>
        <v>شورا</v>
      </c>
      <c r="U1217" s="1" t="str">
        <f>IFERROR(__xludf.DUMMYFUNCTION("INDEX(SPLIT(A1217, ""/""), 3)"),"#REF!")</f>
        <v>#REF!</v>
      </c>
      <c r="V1217" s="1" t="str">
        <f>IFERROR(__xludf.DUMMYFUNCTION("INDEX(SPLIT(A1217, ""/""), 4)"),"#REF!")</f>
        <v>#REF!</v>
      </c>
    </row>
    <row r="1218">
      <c r="A1218" s="1" t="s">
        <v>3698</v>
      </c>
      <c r="B1218" s="1" t="s">
        <v>3934</v>
      </c>
      <c r="C1218" s="1" t="s">
        <v>21</v>
      </c>
      <c r="D1218" s="4" t="s">
        <v>3935</v>
      </c>
      <c r="E1218" s="1" t="s">
        <v>3701</v>
      </c>
      <c r="F1218" s="1" t="s">
        <v>3913</v>
      </c>
      <c r="G1218" s="1" t="s">
        <v>2448</v>
      </c>
      <c r="H1218" s="1" t="s">
        <v>3936</v>
      </c>
      <c r="I1218" s="1" t="str">
        <f t="shared" si="1"/>
        <v>18</v>
      </c>
      <c r="J1218" s="5"/>
      <c r="K1218" s="1" t="str">
        <f t="shared" si="2"/>
        <v>5</v>
      </c>
      <c r="L1218" s="5"/>
      <c r="M1218" s="2" t="str">
        <f t="shared" si="3"/>
        <v>1404</v>
      </c>
      <c r="N1218" s="5"/>
      <c r="O1218" s="1" t="s">
        <v>3937</v>
      </c>
      <c r="P1218" s="5"/>
      <c r="Q1218" s="5"/>
      <c r="R1218" s="6" t="s">
        <v>3936</v>
      </c>
      <c r="S1218" s="5"/>
      <c r="T1218" s="1" t="str">
        <f>IFERROR(__xludf.DUMMYFUNCTION("INDEX(SPLIT(A1218, ""/""), 2)"),"شورا")</f>
        <v>شورا</v>
      </c>
      <c r="U1218" s="1" t="str">
        <f>IFERROR(__xludf.DUMMYFUNCTION("INDEX(SPLIT(A1218, ""/""), 3)"),"#REF!")</f>
        <v>#REF!</v>
      </c>
      <c r="V1218" s="1" t="str">
        <f>IFERROR(__xludf.DUMMYFUNCTION("INDEX(SPLIT(A1218, ""/""), 4)"),"#REF!")</f>
        <v>#REF!</v>
      </c>
    </row>
    <row r="1219">
      <c r="A1219" s="1" t="s">
        <v>3698</v>
      </c>
      <c r="B1219" s="1" t="s">
        <v>3938</v>
      </c>
      <c r="C1219" s="1" t="s">
        <v>21</v>
      </c>
      <c r="D1219" s="4" t="s">
        <v>3939</v>
      </c>
      <c r="E1219" s="1" t="s">
        <v>3701</v>
      </c>
      <c r="F1219" s="1" t="s">
        <v>3913</v>
      </c>
      <c r="G1219" s="1" t="s">
        <v>2448</v>
      </c>
      <c r="H1219" s="1" t="s">
        <v>3936</v>
      </c>
      <c r="I1219" s="1" t="str">
        <f t="shared" si="1"/>
        <v>18</v>
      </c>
      <c r="J1219" s="5"/>
      <c r="K1219" s="1" t="str">
        <f t="shared" si="2"/>
        <v>5</v>
      </c>
      <c r="L1219" s="5"/>
      <c r="M1219" s="2" t="str">
        <f t="shared" si="3"/>
        <v>1404</v>
      </c>
      <c r="N1219" s="5"/>
      <c r="O1219" s="1" t="s">
        <v>3940</v>
      </c>
      <c r="P1219" s="5"/>
      <c r="Q1219" s="5"/>
      <c r="R1219" s="6" t="s">
        <v>3936</v>
      </c>
      <c r="S1219" s="5"/>
      <c r="T1219" s="1" t="str">
        <f>IFERROR(__xludf.DUMMYFUNCTION("INDEX(SPLIT(A1219, ""/""), 2)"),"شورا")</f>
        <v>شورا</v>
      </c>
      <c r="U1219" s="1" t="str">
        <f>IFERROR(__xludf.DUMMYFUNCTION("INDEX(SPLIT(A1219, ""/""), 3)"),"#REF!")</f>
        <v>#REF!</v>
      </c>
      <c r="V1219" s="1" t="str">
        <f>IFERROR(__xludf.DUMMYFUNCTION("INDEX(SPLIT(A1219, ""/""), 4)"),"#REF!")</f>
        <v>#REF!</v>
      </c>
    </row>
    <row r="1220">
      <c r="A1220" s="1" t="s">
        <v>3698</v>
      </c>
      <c r="B1220" s="1" t="s">
        <v>3941</v>
      </c>
      <c r="C1220" s="1" t="s">
        <v>21</v>
      </c>
      <c r="D1220" s="4" t="s">
        <v>3942</v>
      </c>
      <c r="E1220" s="1" t="s">
        <v>3701</v>
      </c>
      <c r="F1220" s="1" t="s">
        <v>3710</v>
      </c>
      <c r="G1220" s="1" t="s">
        <v>752</v>
      </c>
      <c r="H1220" s="1" t="s">
        <v>2680</v>
      </c>
      <c r="I1220" s="1" t="str">
        <f t="shared" si="1"/>
        <v>x</v>
      </c>
      <c r="J1220" s="5"/>
      <c r="K1220" s="1" t="str">
        <f t="shared" si="2"/>
        <v>x</v>
      </c>
      <c r="L1220" s="5"/>
      <c r="M1220" s="2" t="str">
        <f t="shared" si="3"/>
        <v>1389</v>
      </c>
      <c r="N1220" s="5"/>
      <c r="O1220" s="1" t="s">
        <v>3943</v>
      </c>
      <c r="P1220" s="5"/>
      <c r="Q1220" s="5"/>
      <c r="R1220" s="8" t="s">
        <v>2681</v>
      </c>
      <c r="S1220" s="5"/>
      <c r="T1220" s="1" t="str">
        <f>IFERROR(__xludf.DUMMYFUNCTION("INDEX(SPLIT(A1220, ""/""), 2)"),"شورا")</f>
        <v>شورا</v>
      </c>
      <c r="U1220" s="1" t="str">
        <f>IFERROR(__xludf.DUMMYFUNCTION("INDEX(SPLIT(A1220, ""/""), 3)"),"#REF!")</f>
        <v>#REF!</v>
      </c>
      <c r="V1220" s="1" t="str">
        <f>IFERROR(__xludf.DUMMYFUNCTION("INDEX(SPLIT(A1220, ""/""), 4)"),"#REF!")</f>
        <v>#REF!</v>
      </c>
    </row>
    <row r="1221">
      <c r="A1221" s="1" t="s">
        <v>3698</v>
      </c>
      <c r="B1221" s="1" t="s">
        <v>3944</v>
      </c>
      <c r="C1221" s="1" t="s">
        <v>21</v>
      </c>
      <c r="D1221" s="4" t="s">
        <v>3945</v>
      </c>
      <c r="E1221" s="1" t="s">
        <v>3701</v>
      </c>
      <c r="F1221" s="1" t="s">
        <v>3710</v>
      </c>
      <c r="G1221" s="1" t="s">
        <v>752</v>
      </c>
      <c r="H1221" s="1" t="s">
        <v>2684</v>
      </c>
      <c r="I1221" s="1" t="str">
        <f t="shared" si="1"/>
        <v>x</v>
      </c>
      <c r="J1221" s="5"/>
      <c r="K1221" s="1" t="str">
        <f t="shared" si="2"/>
        <v>x</v>
      </c>
      <c r="L1221" s="5"/>
      <c r="M1221" s="2" t="str">
        <f t="shared" si="3"/>
        <v>1390</v>
      </c>
      <c r="N1221" s="5"/>
      <c r="O1221" s="1" t="s">
        <v>3946</v>
      </c>
      <c r="P1221" s="5"/>
      <c r="Q1221" s="5"/>
      <c r="R1221" s="8" t="s">
        <v>2685</v>
      </c>
      <c r="S1221" s="5"/>
      <c r="T1221" s="1" t="str">
        <f>IFERROR(__xludf.DUMMYFUNCTION("INDEX(SPLIT(A1221, ""/""), 2)"),"شورا")</f>
        <v>شورا</v>
      </c>
      <c r="U1221" s="1" t="str">
        <f>IFERROR(__xludf.DUMMYFUNCTION("INDEX(SPLIT(A1221, ""/""), 3)"),"#REF!")</f>
        <v>#REF!</v>
      </c>
      <c r="V1221" s="1" t="str">
        <f>IFERROR(__xludf.DUMMYFUNCTION("INDEX(SPLIT(A1221, ""/""), 4)"),"#REF!")</f>
        <v>#REF!</v>
      </c>
    </row>
    <row r="1222">
      <c r="A1222" s="1" t="s">
        <v>3947</v>
      </c>
      <c r="B1222" s="1" t="s">
        <v>3948</v>
      </c>
      <c r="C1222" s="1" t="s">
        <v>21</v>
      </c>
      <c r="D1222" s="4" t="s">
        <v>3949</v>
      </c>
      <c r="E1222" s="1" t="s">
        <v>71</v>
      </c>
      <c r="F1222" s="1" t="s">
        <v>71</v>
      </c>
      <c r="G1222" s="1" t="s">
        <v>3950</v>
      </c>
      <c r="H1222" s="1" t="s">
        <v>2672</v>
      </c>
      <c r="I1222" s="1" t="str">
        <f t="shared" si="1"/>
        <v>x</v>
      </c>
      <c r="J1222" s="5"/>
      <c r="K1222" s="1" t="str">
        <f t="shared" si="2"/>
        <v>x</v>
      </c>
      <c r="L1222" s="1">
        <v>4.0</v>
      </c>
      <c r="M1222" s="2" t="str">
        <f t="shared" si="3"/>
        <v>1388</v>
      </c>
      <c r="N1222" s="5"/>
      <c r="O1222" s="2">
        <v>0.0</v>
      </c>
      <c r="P1222" s="5"/>
      <c r="Q1222" s="5"/>
      <c r="R1222" s="8" t="s">
        <v>2673</v>
      </c>
      <c r="S1222" s="5"/>
      <c r="T1222" s="1" t="str">
        <f>IFERROR(__xludf.DUMMYFUNCTION("INDEX(SPLIT(A1222, ""/""), 2)"),"انجمن‌های علمی و نشریات وابسته به دانشکده‌ها")</f>
        <v>انجمن‌های علمی و نشریات وابسته به دانشکده‌ها</v>
      </c>
      <c r="U1222" s="1" t="str">
        <f>IFERROR(__xludf.DUMMYFUNCTION("INDEX(SPLIT(A1222, ""/""), 3)"),"دانشکده مهندسی برق")</f>
        <v>دانشکده مهندسی برق</v>
      </c>
      <c r="V1222" s="1" t="str">
        <f>IFERROR(__xludf.DUMMYFUNCTION("INDEX(SPLIT(A1222, ""/""), 4)"),"صفر")</f>
        <v>صفر</v>
      </c>
    </row>
    <row r="1223">
      <c r="A1223" s="1" t="s">
        <v>3947</v>
      </c>
      <c r="B1223" s="1" t="s">
        <v>3951</v>
      </c>
      <c r="C1223" s="1" t="s">
        <v>21</v>
      </c>
      <c r="D1223" s="4" t="s">
        <v>3952</v>
      </c>
      <c r="E1223" s="1" t="s">
        <v>71</v>
      </c>
      <c r="F1223" s="1" t="s">
        <v>71</v>
      </c>
      <c r="G1223" s="1" t="s">
        <v>3950</v>
      </c>
      <c r="H1223" s="1" t="s">
        <v>291</v>
      </c>
      <c r="I1223" s="1" t="str">
        <f t="shared" si="1"/>
        <v>x</v>
      </c>
      <c r="J1223" s="5"/>
      <c r="K1223" s="1" t="str">
        <f t="shared" si="2"/>
        <v>x</v>
      </c>
      <c r="L1223" s="5"/>
      <c r="M1223" s="2" t="str">
        <f t="shared" si="3"/>
        <v>x</v>
      </c>
      <c r="N1223" s="5"/>
      <c r="O1223" s="2">
        <v>1.0</v>
      </c>
      <c r="P1223" s="1" t="s">
        <v>3953</v>
      </c>
      <c r="Q1223" s="1" t="s">
        <v>3954</v>
      </c>
      <c r="R1223" s="8" t="s">
        <v>3955</v>
      </c>
      <c r="S1223" s="5"/>
      <c r="T1223" s="1" t="str">
        <f>IFERROR(__xludf.DUMMYFUNCTION("INDEX(SPLIT(A1223, ""/""), 2)"),"انجمن‌های علمی و نشریات وابسته به دانشکده‌ها")</f>
        <v>انجمن‌های علمی و نشریات وابسته به دانشکده‌ها</v>
      </c>
      <c r="U1223" s="1" t="str">
        <f>IFERROR(__xludf.DUMMYFUNCTION("INDEX(SPLIT(A1223, ""/""), 3)"),"دانشکده مهندسی برق")</f>
        <v>دانشکده مهندسی برق</v>
      </c>
      <c r="V1223" s="1" t="str">
        <f>IFERROR(__xludf.DUMMYFUNCTION("INDEX(SPLIT(A1223, ""/""), 4)"),"صفر")</f>
        <v>صفر</v>
      </c>
    </row>
    <row r="1224">
      <c r="A1224" s="1" t="s">
        <v>3947</v>
      </c>
      <c r="B1224" s="1" t="s">
        <v>3956</v>
      </c>
      <c r="C1224" s="1" t="s">
        <v>21</v>
      </c>
      <c r="D1224" s="4" t="s">
        <v>3957</v>
      </c>
      <c r="E1224" s="1" t="s">
        <v>71</v>
      </c>
      <c r="F1224" s="1" t="s">
        <v>71</v>
      </c>
      <c r="G1224" s="1" t="s">
        <v>3950</v>
      </c>
      <c r="H1224" s="1" t="s">
        <v>291</v>
      </c>
      <c r="I1224" s="1" t="str">
        <f t="shared" si="1"/>
        <v>x</v>
      </c>
      <c r="J1224" s="5"/>
      <c r="K1224" s="1" t="str">
        <f t="shared" si="2"/>
        <v>x</v>
      </c>
      <c r="L1224" s="5"/>
      <c r="M1224" s="2" t="str">
        <f t="shared" si="3"/>
        <v>x</v>
      </c>
      <c r="N1224" s="5"/>
      <c r="O1224" s="2">
        <v>2.0</v>
      </c>
      <c r="P1224" s="1" t="s">
        <v>3953</v>
      </c>
      <c r="Q1224" s="1" t="s">
        <v>3954</v>
      </c>
      <c r="R1224" s="8" t="s">
        <v>3955</v>
      </c>
      <c r="S1224" s="5"/>
      <c r="T1224" s="1" t="str">
        <f>IFERROR(__xludf.DUMMYFUNCTION("INDEX(SPLIT(A1224, ""/""), 2)"),"انجمن‌های علمی و نشریات وابسته به دانشکده‌ها")</f>
        <v>انجمن‌های علمی و نشریات وابسته به دانشکده‌ها</v>
      </c>
      <c r="U1224" s="1" t="str">
        <f>IFERROR(__xludf.DUMMYFUNCTION("INDEX(SPLIT(A1224, ""/""), 3)"),"دانشکده مهندسی برق")</f>
        <v>دانشکده مهندسی برق</v>
      </c>
      <c r="V1224" s="1" t="str">
        <f>IFERROR(__xludf.DUMMYFUNCTION("INDEX(SPLIT(A1224, ""/""), 4)"),"صفر")</f>
        <v>صفر</v>
      </c>
    </row>
    <row r="1225">
      <c r="A1225" s="1" t="s">
        <v>3947</v>
      </c>
      <c r="B1225" s="1" t="s">
        <v>3958</v>
      </c>
      <c r="C1225" s="1" t="s">
        <v>21</v>
      </c>
      <c r="D1225" s="4" t="s">
        <v>3959</v>
      </c>
      <c r="E1225" s="1" t="s">
        <v>71</v>
      </c>
      <c r="F1225" s="1" t="s">
        <v>71</v>
      </c>
      <c r="G1225" s="1" t="s">
        <v>3950</v>
      </c>
      <c r="H1225" s="1" t="s">
        <v>97</v>
      </c>
      <c r="I1225" s="1" t="str">
        <f t="shared" si="1"/>
        <v>x</v>
      </c>
      <c r="J1225" s="5"/>
      <c r="K1225" s="1" t="str">
        <f t="shared" si="2"/>
        <v>3</v>
      </c>
      <c r="L1225" s="5"/>
      <c r="M1225" s="2" t="str">
        <f t="shared" si="3"/>
        <v>1389</v>
      </c>
      <c r="N1225" s="5"/>
      <c r="O1225" s="2">
        <v>3.0</v>
      </c>
      <c r="P1225" s="5"/>
      <c r="Q1225" s="5"/>
      <c r="R1225" s="6" t="s">
        <v>2988</v>
      </c>
      <c r="S1225" s="5"/>
      <c r="T1225" s="1" t="str">
        <f>IFERROR(__xludf.DUMMYFUNCTION("INDEX(SPLIT(A1225, ""/""), 2)"),"انجمن‌های علمی و نشریات وابسته به دانشکده‌ها")</f>
        <v>انجمن‌های علمی و نشریات وابسته به دانشکده‌ها</v>
      </c>
      <c r="U1225" s="1" t="str">
        <f>IFERROR(__xludf.DUMMYFUNCTION("INDEX(SPLIT(A1225, ""/""), 3)"),"دانشکده مهندسی برق")</f>
        <v>دانشکده مهندسی برق</v>
      </c>
      <c r="V1225" s="1" t="str">
        <f>IFERROR(__xludf.DUMMYFUNCTION("INDEX(SPLIT(A1225, ""/""), 4)"),"صفر")</f>
        <v>صفر</v>
      </c>
    </row>
    <row r="1226">
      <c r="A1226" s="1" t="s">
        <v>3960</v>
      </c>
      <c r="B1226" s="1" t="s">
        <v>3961</v>
      </c>
      <c r="C1226" s="1" t="s">
        <v>21</v>
      </c>
      <c r="D1226" s="4" t="s">
        <v>3962</v>
      </c>
      <c r="E1226" s="1" t="s">
        <v>71</v>
      </c>
      <c r="F1226" s="1" t="s">
        <v>71</v>
      </c>
      <c r="G1226" s="1" t="s">
        <v>71</v>
      </c>
      <c r="H1226" s="1" t="s">
        <v>3963</v>
      </c>
      <c r="I1226" s="1" t="str">
        <f t="shared" si="1"/>
        <v>x</v>
      </c>
      <c r="J1226" s="5"/>
      <c r="K1226" s="1" t="str">
        <f t="shared" si="2"/>
        <v>11</v>
      </c>
      <c r="L1226" s="5"/>
      <c r="M1226" s="2" t="str">
        <f t="shared" si="3"/>
        <v>1378</v>
      </c>
      <c r="N1226" s="5"/>
      <c r="O1226" s="2">
        <v>2.0</v>
      </c>
      <c r="P1226" s="5"/>
      <c r="Q1226" s="5"/>
      <c r="R1226" s="6" t="s">
        <v>3964</v>
      </c>
      <c r="S1226" s="5"/>
      <c r="T1226" s="1" t="str">
        <f>IFERROR(__xludf.DUMMYFUNCTION("INDEX(SPLIT(A1226, ""/""), 2)"),"انجمن‌های علمی و نشریات وابسته به دانشکده‌ها")</f>
        <v>انجمن‌های علمی و نشریات وابسته به دانشکده‌ها</v>
      </c>
      <c r="U1226" s="1" t="str">
        <f>IFERROR(__xludf.DUMMYFUNCTION("INDEX(SPLIT(A1226, ""/""), 3)"),"دانشکده شیمی")</f>
        <v>دانشکده شیمی</v>
      </c>
      <c r="V1226" s="1" t="str">
        <f>IFERROR(__xludf.DUMMYFUNCTION("INDEX(SPLIT(A1226, ""/""), 4)"),"کاتالیزور")</f>
        <v>کاتالیزور</v>
      </c>
    </row>
    <row r="1227">
      <c r="A1227" s="1" t="s">
        <v>3960</v>
      </c>
      <c r="B1227" s="1" t="s">
        <v>3965</v>
      </c>
      <c r="C1227" s="1" t="s">
        <v>21</v>
      </c>
      <c r="D1227" s="4" t="s">
        <v>3966</v>
      </c>
      <c r="E1227" s="1" t="s">
        <v>71</v>
      </c>
      <c r="F1227" s="1" t="s">
        <v>71</v>
      </c>
      <c r="G1227" s="1" t="s">
        <v>71</v>
      </c>
      <c r="H1227" s="1" t="s">
        <v>3538</v>
      </c>
      <c r="I1227" s="1" t="str">
        <f t="shared" si="1"/>
        <v>x</v>
      </c>
      <c r="J1227" s="5"/>
      <c r="K1227" s="1" t="str">
        <f t="shared" si="2"/>
        <v>x</v>
      </c>
      <c r="L1227" s="1">
        <v>3.0</v>
      </c>
      <c r="M1227" s="2" t="str">
        <f t="shared" si="3"/>
        <v>1379</v>
      </c>
      <c r="N1227" s="5"/>
      <c r="O1227" s="2">
        <v>3.0</v>
      </c>
      <c r="P1227" s="5"/>
      <c r="Q1227" s="5"/>
      <c r="R1227" s="8" t="s">
        <v>3539</v>
      </c>
      <c r="S1227" s="5"/>
      <c r="T1227" s="1" t="str">
        <f>IFERROR(__xludf.DUMMYFUNCTION("INDEX(SPLIT(A1227, ""/""), 2)"),"انجمن‌های علمی و نشریات وابسته به دانشکده‌ها")</f>
        <v>انجمن‌های علمی و نشریات وابسته به دانشکده‌ها</v>
      </c>
      <c r="U1227" s="1" t="str">
        <f>IFERROR(__xludf.DUMMYFUNCTION("INDEX(SPLIT(A1227, ""/""), 3)"),"دانشکده شیمی")</f>
        <v>دانشکده شیمی</v>
      </c>
      <c r="V1227" s="1" t="str">
        <f>IFERROR(__xludf.DUMMYFUNCTION("INDEX(SPLIT(A1227, ""/""), 4)"),"کاتالیزور")</f>
        <v>کاتالیزور</v>
      </c>
    </row>
    <row r="1228">
      <c r="A1228" s="1" t="s">
        <v>3960</v>
      </c>
      <c r="B1228" s="1" t="s">
        <v>3967</v>
      </c>
      <c r="C1228" s="1" t="s">
        <v>21</v>
      </c>
      <c r="D1228" s="4" t="s">
        <v>3968</v>
      </c>
      <c r="E1228" s="1" t="s">
        <v>71</v>
      </c>
      <c r="F1228" s="1" t="s">
        <v>71</v>
      </c>
      <c r="G1228" s="1" t="s">
        <v>71</v>
      </c>
      <c r="H1228" s="1" t="s">
        <v>3969</v>
      </c>
      <c r="I1228" s="1" t="str">
        <f t="shared" si="1"/>
        <v>x</v>
      </c>
      <c r="J1228" s="5"/>
      <c r="K1228" s="1" t="str">
        <f t="shared" si="2"/>
        <v>12</v>
      </c>
      <c r="L1228" s="5"/>
      <c r="M1228" s="2" t="str">
        <f t="shared" si="3"/>
        <v>1378</v>
      </c>
      <c r="N1228" s="5"/>
      <c r="O1228" s="2" t="s">
        <v>3970</v>
      </c>
      <c r="P1228" s="5"/>
      <c r="Q1228" s="5"/>
      <c r="R1228" s="6" t="s">
        <v>3971</v>
      </c>
      <c r="S1228" s="5"/>
      <c r="T1228" s="1" t="str">
        <f>IFERROR(__xludf.DUMMYFUNCTION("INDEX(SPLIT(A1228, ""/""), 2)"),"انجمن‌های علمی و نشریات وابسته به دانشکده‌ها")</f>
        <v>انجمن‌های علمی و نشریات وابسته به دانشکده‌ها</v>
      </c>
      <c r="U1228" s="1" t="str">
        <f>IFERROR(__xludf.DUMMYFUNCTION("INDEX(SPLIT(A1228, ""/""), 3)"),"دانشکده شیمی")</f>
        <v>دانشکده شیمی</v>
      </c>
      <c r="V1228" s="1" t="str">
        <f>IFERROR(__xludf.DUMMYFUNCTION("INDEX(SPLIT(A1228, ""/""), 4)"),"کاتالیزور")</f>
        <v>کاتالیزور</v>
      </c>
    </row>
    <row r="1229">
      <c r="A1229" s="1" t="s">
        <v>3972</v>
      </c>
      <c r="B1229" s="1" t="s">
        <v>3973</v>
      </c>
      <c r="C1229" s="1" t="s">
        <v>21</v>
      </c>
      <c r="D1229" s="4" t="s">
        <v>3974</v>
      </c>
      <c r="E1229" s="1" t="s">
        <v>3975</v>
      </c>
      <c r="F1229" s="1" t="s">
        <v>3976</v>
      </c>
      <c r="G1229" s="1" t="s">
        <v>71</v>
      </c>
      <c r="H1229" s="1" t="s">
        <v>2662</v>
      </c>
      <c r="I1229" s="1" t="str">
        <f t="shared" si="1"/>
        <v>x</v>
      </c>
      <c r="J1229" s="5"/>
      <c r="K1229" s="1" t="str">
        <f t="shared" si="2"/>
        <v>x</v>
      </c>
      <c r="L1229" s="1">
        <v>4.0</v>
      </c>
      <c r="M1229" s="2" t="str">
        <f t="shared" si="3"/>
        <v>1385</v>
      </c>
      <c r="N1229" s="5"/>
      <c r="O1229" s="2">
        <v>1.0</v>
      </c>
      <c r="P1229" s="5"/>
      <c r="Q1229" s="5"/>
      <c r="R1229" s="8" t="s">
        <v>2663</v>
      </c>
      <c r="S1229" s="5"/>
      <c r="T1229" s="1" t="str">
        <f>IFERROR(__xludf.DUMMYFUNCTION("INDEX(SPLIT(A1229, ""/""), 2)"),"کانون‌های فرهنگی هنری")</f>
        <v>کانون‌های فرهنگی هنری</v>
      </c>
      <c r="U1229" s="1" t="str">
        <f>IFERROR(__xludf.DUMMYFUNCTION("INDEX(SPLIT(A1229, ""/""), 3)"),"دفتر مطالعات فرهنگی")</f>
        <v>دفتر مطالعات فرهنگی</v>
      </c>
      <c r="V1229" s="1" t="str">
        <f>IFERROR(__xludf.DUMMYFUNCTION("INDEX(SPLIT(A1229, ""/""), 4)"),"از وادی فرهنگ")</f>
        <v>از وادی فرهنگ</v>
      </c>
    </row>
    <row r="1230">
      <c r="A1230" s="1" t="s">
        <v>3972</v>
      </c>
      <c r="B1230" s="1" t="s">
        <v>3977</v>
      </c>
      <c r="C1230" s="1" t="s">
        <v>21</v>
      </c>
      <c r="D1230" s="4" t="s">
        <v>3978</v>
      </c>
      <c r="E1230" s="1" t="s">
        <v>3975</v>
      </c>
      <c r="F1230" s="1" t="s">
        <v>3976</v>
      </c>
      <c r="G1230" s="1" t="s">
        <v>71</v>
      </c>
      <c r="H1230" s="1" t="s">
        <v>2956</v>
      </c>
      <c r="I1230" s="1" t="str">
        <f t="shared" si="1"/>
        <v>x</v>
      </c>
      <c r="J1230" s="5"/>
      <c r="K1230" s="1" t="str">
        <f t="shared" si="2"/>
        <v>7</v>
      </c>
      <c r="L1230" s="5"/>
      <c r="M1230" s="2" t="str">
        <f t="shared" si="3"/>
        <v>1386</v>
      </c>
      <c r="N1230" s="5"/>
      <c r="O1230" s="2">
        <v>2.0</v>
      </c>
      <c r="P1230" s="5"/>
      <c r="Q1230" s="5"/>
      <c r="R1230" s="6" t="s">
        <v>2957</v>
      </c>
      <c r="S1230" s="5"/>
      <c r="T1230" s="1" t="str">
        <f>IFERROR(__xludf.DUMMYFUNCTION("INDEX(SPLIT(A1230, ""/""), 2)"),"کانون‌های فرهنگی هنری")</f>
        <v>کانون‌های فرهنگی هنری</v>
      </c>
      <c r="U1230" s="1" t="str">
        <f>IFERROR(__xludf.DUMMYFUNCTION("INDEX(SPLIT(A1230, ""/""), 3)"),"دفتر مطالعات فرهنگی")</f>
        <v>دفتر مطالعات فرهنگی</v>
      </c>
      <c r="V1230" s="1" t="str">
        <f>IFERROR(__xludf.DUMMYFUNCTION("INDEX(SPLIT(A1230, ""/""), 4)"),"از وادی فرهنگ")</f>
        <v>از وادی فرهنگ</v>
      </c>
    </row>
    <row r="1231">
      <c r="A1231" s="1" t="s">
        <v>3979</v>
      </c>
      <c r="B1231" s="1" t="s">
        <v>3980</v>
      </c>
      <c r="C1231" s="1" t="s">
        <v>21</v>
      </c>
      <c r="D1231" s="4" t="s">
        <v>3981</v>
      </c>
      <c r="E1231" s="1" t="s">
        <v>3975</v>
      </c>
      <c r="F1231" s="1" t="s">
        <v>71</v>
      </c>
      <c r="G1231" s="1" t="s">
        <v>71</v>
      </c>
      <c r="H1231" s="1" t="s">
        <v>3530</v>
      </c>
      <c r="I1231" s="1" t="str">
        <f t="shared" si="1"/>
        <v>x</v>
      </c>
      <c r="J1231" s="5"/>
      <c r="K1231" s="1" t="str">
        <f t="shared" si="2"/>
        <v>x</v>
      </c>
      <c r="L1231" s="1">
        <v>3.0</v>
      </c>
      <c r="M1231" s="2" t="str">
        <f t="shared" si="3"/>
        <v>1378</v>
      </c>
      <c r="N1231" s="5"/>
      <c r="O1231" s="2">
        <v>1.0</v>
      </c>
      <c r="P1231" s="5"/>
      <c r="Q1231" s="5"/>
      <c r="R1231" s="8" t="s">
        <v>3531</v>
      </c>
      <c r="S1231" s="5"/>
      <c r="T1231" s="1" t="str">
        <f>IFERROR(__xludf.DUMMYFUNCTION("INDEX(SPLIT(A1231, ""/""), 2)"),"کانون‌های فرهنگی هنری")</f>
        <v>کانون‌های فرهنگی هنری</v>
      </c>
      <c r="U1231" s="1" t="str">
        <f>IFERROR(__xludf.DUMMYFUNCTION("INDEX(SPLIT(A1231, ""/""), 3)"),"دفتر مطالعات فرهنگی")</f>
        <v>دفتر مطالعات فرهنگی</v>
      </c>
      <c r="V1231" s="1" t="str">
        <f>IFERROR(__xludf.DUMMYFUNCTION("INDEX(SPLIT(A1231, ""/""), 4)"),"بولتن پژوهشی")</f>
        <v>بولتن پژوهشی</v>
      </c>
    </row>
    <row r="1232">
      <c r="A1232" s="1" t="s">
        <v>3979</v>
      </c>
      <c r="B1232" s="1" t="s">
        <v>3982</v>
      </c>
      <c r="C1232" s="1" t="s">
        <v>21</v>
      </c>
      <c r="D1232" s="4" t="s">
        <v>3983</v>
      </c>
      <c r="E1232" s="1" t="s">
        <v>3975</v>
      </c>
      <c r="F1232" s="1" t="s">
        <v>71</v>
      </c>
      <c r="G1232" s="1" t="s">
        <v>71</v>
      </c>
      <c r="H1232" s="1" t="s">
        <v>3530</v>
      </c>
      <c r="I1232" s="1" t="str">
        <f t="shared" si="1"/>
        <v>x</v>
      </c>
      <c r="J1232" s="5"/>
      <c r="K1232" s="1" t="str">
        <f t="shared" si="2"/>
        <v>x</v>
      </c>
      <c r="L1232" s="1">
        <v>4.0</v>
      </c>
      <c r="M1232" s="2" t="str">
        <f t="shared" si="3"/>
        <v>1378</v>
      </c>
      <c r="N1232" s="5"/>
      <c r="O1232" s="2">
        <v>2.0</v>
      </c>
      <c r="P1232" s="5"/>
      <c r="Q1232" s="5"/>
      <c r="R1232" s="8" t="s">
        <v>3531</v>
      </c>
      <c r="S1232" s="5"/>
      <c r="T1232" s="1" t="str">
        <f>IFERROR(__xludf.DUMMYFUNCTION("INDEX(SPLIT(A1232, ""/""), 2)"),"کانون‌های فرهنگی هنری")</f>
        <v>کانون‌های فرهنگی هنری</v>
      </c>
      <c r="U1232" s="1" t="str">
        <f>IFERROR(__xludf.DUMMYFUNCTION("INDEX(SPLIT(A1232, ""/""), 3)"),"دفتر مطالعات فرهنگی")</f>
        <v>دفتر مطالعات فرهنگی</v>
      </c>
      <c r="V1232" s="1" t="str">
        <f>IFERROR(__xludf.DUMMYFUNCTION("INDEX(SPLIT(A1232, ""/""), 4)"),"بولتن پژوهشی")</f>
        <v>بولتن پژوهشی</v>
      </c>
    </row>
    <row r="1233">
      <c r="A1233" s="1" t="s">
        <v>3979</v>
      </c>
      <c r="B1233" s="1" t="s">
        <v>3984</v>
      </c>
      <c r="C1233" s="1" t="s">
        <v>21</v>
      </c>
      <c r="D1233" s="4" t="s">
        <v>3985</v>
      </c>
      <c r="E1233" s="1" t="s">
        <v>3975</v>
      </c>
      <c r="F1233" s="1" t="s">
        <v>3986</v>
      </c>
      <c r="G1233" s="1" t="s">
        <v>3987</v>
      </c>
      <c r="H1233" s="1" t="s">
        <v>3538</v>
      </c>
      <c r="I1233" s="1" t="str">
        <f t="shared" si="1"/>
        <v>x</v>
      </c>
      <c r="J1233" s="5"/>
      <c r="K1233" s="1" t="str">
        <f t="shared" si="2"/>
        <v>x</v>
      </c>
      <c r="L1233" s="1">
        <v>4.0</v>
      </c>
      <c r="M1233" s="2" t="str">
        <f t="shared" si="3"/>
        <v>1379</v>
      </c>
      <c r="N1233" s="5"/>
      <c r="O1233" s="2">
        <v>3.0</v>
      </c>
      <c r="P1233" s="5"/>
      <c r="Q1233" s="5"/>
      <c r="R1233" s="8" t="s">
        <v>3539</v>
      </c>
      <c r="S1233" s="5"/>
      <c r="T1233" s="1" t="str">
        <f>IFERROR(__xludf.DUMMYFUNCTION("INDEX(SPLIT(A1233, ""/""), 2)"),"کانون‌های فرهنگی هنری")</f>
        <v>کانون‌های فرهنگی هنری</v>
      </c>
      <c r="U1233" s="1" t="str">
        <f>IFERROR(__xludf.DUMMYFUNCTION("INDEX(SPLIT(A1233, ""/""), 3)"),"دفتر مطالعات فرهنگی")</f>
        <v>دفتر مطالعات فرهنگی</v>
      </c>
      <c r="V1233" s="1" t="str">
        <f>IFERROR(__xludf.DUMMYFUNCTION("INDEX(SPLIT(A1233, ""/""), 4)"),"بولتن پژوهشی")</f>
        <v>بولتن پژوهشی</v>
      </c>
    </row>
    <row r="1234">
      <c r="A1234" s="1" t="s">
        <v>3979</v>
      </c>
      <c r="B1234" s="1" t="s">
        <v>3988</v>
      </c>
      <c r="C1234" s="1" t="s">
        <v>21</v>
      </c>
      <c r="D1234" s="4" t="s">
        <v>3989</v>
      </c>
      <c r="E1234" s="1" t="s">
        <v>3975</v>
      </c>
      <c r="F1234" s="1" t="s">
        <v>3986</v>
      </c>
      <c r="G1234" s="1" t="s">
        <v>3990</v>
      </c>
      <c r="H1234" s="1" t="s">
        <v>3613</v>
      </c>
      <c r="I1234" s="1" t="str">
        <f t="shared" si="1"/>
        <v>x</v>
      </c>
      <c r="J1234" s="5"/>
      <c r="K1234" s="1" t="str">
        <f t="shared" si="2"/>
        <v>x</v>
      </c>
      <c r="L1234" s="1">
        <v>4.0</v>
      </c>
      <c r="M1234" s="2" t="str">
        <f t="shared" si="3"/>
        <v>1381</v>
      </c>
      <c r="N1234" s="5"/>
      <c r="O1234" s="2">
        <v>4.0</v>
      </c>
      <c r="P1234" s="5"/>
      <c r="Q1234" s="5"/>
      <c r="R1234" s="8" t="s">
        <v>3615</v>
      </c>
      <c r="S1234" s="5"/>
      <c r="T1234" s="1" t="str">
        <f>IFERROR(__xludf.DUMMYFUNCTION("INDEX(SPLIT(A1234, ""/""), 2)"),"کانون‌های فرهنگی هنری")</f>
        <v>کانون‌های فرهنگی هنری</v>
      </c>
      <c r="U1234" s="1" t="str">
        <f>IFERROR(__xludf.DUMMYFUNCTION("INDEX(SPLIT(A1234, ""/""), 3)"),"دفتر مطالعات فرهنگی")</f>
        <v>دفتر مطالعات فرهنگی</v>
      </c>
      <c r="V1234" s="1" t="str">
        <f>IFERROR(__xludf.DUMMYFUNCTION("INDEX(SPLIT(A1234, ""/""), 4)"),"بولتن پژوهشی")</f>
        <v>بولتن پژوهشی</v>
      </c>
    </row>
    <row r="1235">
      <c r="A1235" s="1" t="s">
        <v>3991</v>
      </c>
      <c r="B1235" s="1" t="s">
        <v>3992</v>
      </c>
      <c r="C1235" s="1" t="s">
        <v>21</v>
      </c>
      <c r="D1235" s="4" t="s">
        <v>3993</v>
      </c>
      <c r="E1235" s="1" t="s">
        <v>3975</v>
      </c>
      <c r="F1235" s="1" t="s">
        <v>3994</v>
      </c>
      <c r="G1235" s="1" t="s">
        <v>3994</v>
      </c>
      <c r="H1235" s="1" t="s">
        <v>498</v>
      </c>
      <c r="I1235" s="1" t="str">
        <f t="shared" si="1"/>
        <v>x</v>
      </c>
      <c r="J1235" s="5"/>
      <c r="K1235" s="1" t="str">
        <f t="shared" si="2"/>
        <v>9,10</v>
      </c>
      <c r="L1235" s="1"/>
      <c r="M1235" s="2" t="str">
        <f t="shared" si="3"/>
        <v>1398</v>
      </c>
      <c r="N1235" s="5"/>
      <c r="O1235" s="2">
        <v>1.0</v>
      </c>
      <c r="P1235" s="5"/>
      <c r="Q1235" s="5"/>
      <c r="R1235" s="8" t="s">
        <v>108</v>
      </c>
      <c r="S1235" s="5"/>
      <c r="T1235" s="1" t="str">
        <f>IFERROR(__xludf.DUMMYFUNCTION("INDEX(SPLIT(A1235, ""/""), 2)"),"کانون‌های فرهنگی هنری")</f>
        <v>کانون‌های فرهنگی هنری</v>
      </c>
      <c r="U1235" s="1" t="str">
        <f>IFERROR(__xludf.DUMMYFUNCTION("INDEX(SPLIT(A1235, ""/""), 3)"),"دفتر مطالعات فرهنگی")</f>
        <v>دفتر مطالعات فرهنگی</v>
      </c>
      <c r="V1235" s="1" t="str">
        <f>IFERROR(__xludf.DUMMYFUNCTION("INDEX(SPLIT(A1235, ""/""), 4)"),"راوی")</f>
        <v>راوی</v>
      </c>
    </row>
    <row r="1236">
      <c r="A1236" s="1" t="s">
        <v>3991</v>
      </c>
      <c r="B1236" s="1" t="s">
        <v>3995</v>
      </c>
      <c r="C1236" s="1" t="s">
        <v>21</v>
      </c>
      <c r="D1236" s="4" t="s">
        <v>3996</v>
      </c>
      <c r="E1236" s="1" t="s">
        <v>3975</v>
      </c>
      <c r="F1236" s="1" t="s">
        <v>3994</v>
      </c>
      <c r="G1236" s="1" t="s">
        <v>3994</v>
      </c>
      <c r="H1236" s="1" t="s">
        <v>3997</v>
      </c>
      <c r="I1236" s="1" t="str">
        <f t="shared" si="1"/>
        <v>x</v>
      </c>
      <c r="J1236" s="5"/>
      <c r="K1236" s="1" t="str">
        <f t="shared" si="2"/>
        <v>1,2</v>
      </c>
      <c r="L1236" s="1"/>
      <c r="M1236" s="2" t="str">
        <f t="shared" si="3"/>
        <v>1399</v>
      </c>
      <c r="N1236" s="5"/>
      <c r="O1236" s="2">
        <v>2.0</v>
      </c>
      <c r="P1236" s="5"/>
      <c r="Q1236" s="5"/>
      <c r="R1236" s="8" t="s">
        <v>116</v>
      </c>
      <c r="S1236" s="5"/>
      <c r="T1236" s="1" t="str">
        <f>IFERROR(__xludf.DUMMYFUNCTION("INDEX(SPLIT(A1236, ""/""), 2)"),"کانون‌های فرهنگی هنری")</f>
        <v>کانون‌های فرهنگی هنری</v>
      </c>
      <c r="U1236" s="1" t="str">
        <f>IFERROR(__xludf.DUMMYFUNCTION("INDEX(SPLIT(A1236, ""/""), 3)"),"دفتر مطالعات فرهنگی")</f>
        <v>دفتر مطالعات فرهنگی</v>
      </c>
      <c r="V1236" s="1" t="str">
        <f>IFERROR(__xludf.DUMMYFUNCTION("INDEX(SPLIT(A1236, ""/""), 4)"),"راوی")</f>
        <v>راوی</v>
      </c>
    </row>
    <row r="1237">
      <c r="A1237" s="1" t="s">
        <v>3991</v>
      </c>
      <c r="B1237" s="1" t="s">
        <v>3998</v>
      </c>
      <c r="C1237" s="1" t="s">
        <v>21</v>
      </c>
      <c r="D1237" s="4" t="s">
        <v>3999</v>
      </c>
      <c r="E1237" s="1" t="s">
        <v>3975</v>
      </c>
      <c r="F1237" s="1" t="s">
        <v>3994</v>
      </c>
      <c r="G1237" s="1" t="s">
        <v>3994</v>
      </c>
      <c r="H1237" s="1" t="s">
        <v>4000</v>
      </c>
      <c r="I1237" s="1" t="str">
        <f t="shared" si="1"/>
        <v>x</v>
      </c>
      <c r="J1237" s="5"/>
      <c r="K1237" s="1" t="str">
        <f t="shared" si="2"/>
        <v>3,4</v>
      </c>
      <c r="L1237" s="1"/>
      <c r="M1237" s="2" t="str">
        <f t="shared" si="3"/>
        <v>1399</v>
      </c>
      <c r="N1237" s="5"/>
      <c r="O1237" s="2">
        <v>3.0</v>
      </c>
      <c r="P1237" s="5"/>
      <c r="Q1237" s="5"/>
      <c r="R1237" s="8" t="s">
        <v>116</v>
      </c>
      <c r="S1237" s="5"/>
      <c r="T1237" s="1" t="str">
        <f>IFERROR(__xludf.DUMMYFUNCTION("INDEX(SPLIT(A1237, ""/""), 2)"),"کانون‌های فرهنگی هنری")</f>
        <v>کانون‌های فرهنگی هنری</v>
      </c>
      <c r="U1237" s="1" t="str">
        <f>IFERROR(__xludf.DUMMYFUNCTION("INDEX(SPLIT(A1237, ""/""), 3)"),"دفتر مطالعات فرهنگی")</f>
        <v>دفتر مطالعات فرهنگی</v>
      </c>
      <c r="V1237" s="1" t="str">
        <f>IFERROR(__xludf.DUMMYFUNCTION("INDEX(SPLIT(A1237, ""/""), 4)"),"راوی")</f>
        <v>راوی</v>
      </c>
    </row>
    <row r="1238">
      <c r="A1238" s="1" t="s">
        <v>4001</v>
      </c>
      <c r="B1238" s="1" t="s">
        <v>4002</v>
      </c>
      <c r="C1238" s="1" t="s">
        <v>21</v>
      </c>
      <c r="D1238" s="4" t="s">
        <v>4003</v>
      </c>
      <c r="E1238" s="1" t="s">
        <v>3975</v>
      </c>
      <c r="F1238" s="1" t="s">
        <v>3976</v>
      </c>
      <c r="G1238" s="1" t="s">
        <v>4004</v>
      </c>
      <c r="H1238" s="1" t="s">
        <v>3703</v>
      </c>
      <c r="I1238" s="1" t="str">
        <f t="shared" si="1"/>
        <v>x</v>
      </c>
      <c r="J1238" s="5"/>
      <c r="K1238" s="1" t="str">
        <f t="shared" si="2"/>
        <v>3</v>
      </c>
      <c r="L1238" s="5"/>
      <c r="M1238" s="2" t="str">
        <f t="shared" si="3"/>
        <v>1386</v>
      </c>
      <c r="N1238" s="5"/>
      <c r="O1238" s="2">
        <v>3.0</v>
      </c>
      <c r="P1238" s="5"/>
      <c r="Q1238" s="5"/>
      <c r="R1238" s="6" t="s">
        <v>3704</v>
      </c>
      <c r="S1238" s="5"/>
      <c r="T1238" s="1" t="str">
        <f>IFERROR(__xludf.DUMMYFUNCTION("INDEX(SPLIT(A1238, ""/""), 2)"),"کانون‌های فرهنگی هنری")</f>
        <v>کانون‌های فرهنگی هنری</v>
      </c>
      <c r="U1238" s="1" t="str">
        <f>IFERROR(__xludf.DUMMYFUNCTION("INDEX(SPLIT(A1238, ""/""), 3)"),"دفتر مطالعات فرهنگی")</f>
        <v>دفتر مطالعات فرهنگی</v>
      </c>
      <c r="V1238" s="1" t="str">
        <f>IFERROR(__xludf.DUMMYFUNCTION("INDEX(SPLIT(A1238, ""/""), 4)"),"قلم")</f>
        <v>قلم</v>
      </c>
    </row>
    <row r="1239">
      <c r="A1239" s="1" t="s">
        <v>4001</v>
      </c>
      <c r="B1239" s="1" t="s">
        <v>4005</v>
      </c>
      <c r="C1239" s="1" t="s">
        <v>21</v>
      </c>
      <c r="D1239" s="4" t="s">
        <v>4006</v>
      </c>
      <c r="E1239" s="1" t="s">
        <v>3975</v>
      </c>
      <c r="F1239" s="1" t="s">
        <v>4007</v>
      </c>
      <c r="G1239" s="1" t="s">
        <v>4008</v>
      </c>
      <c r="H1239" s="1" t="s">
        <v>4009</v>
      </c>
      <c r="I1239" s="1" t="str">
        <f t="shared" si="1"/>
        <v>x</v>
      </c>
      <c r="J1239" s="5"/>
      <c r="K1239" s="1" t="str">
        <f t="shared" si="2"/>
        <v>7</v>
      </c>
      <c r="L1239" s="5"/>
      <c r="M1239" s="2" t="str">
        <f t="shared" si="3"/>
        <v>1390</v>
      </c>
      <c r="N1239" s="5"/>
      <c r="O1239" s="2" t="s">
        <v>4010</v>
      </c>
      <c r="P1239" s="5"/>
      <c r="Q1239" s="5"/>
      <c r="R1239" s="6" t="s">
        <v>4011</v>
      </c>
      <c r="S1239" s="5"/>
      <c r="T1239" s="1" t="str">
        <f>IFERROR(__xludf.DUMMYFUNCTION("INDEX(SPLIT(A1239, ""/""), 2)"),"کانون‌های فرهنگی هنری")</f>
        <v>کانون‌های فرهنگی هنری</v>
      </c>
      <c r="U1239" s="1" t="str">
        <f>IFERROR(__xludf.DUMMYFUNCTION("INDEX(SPLIT(A1239, ""/""), 3)"),"دفتر مطالعات فرهنگی")</f>
        <v>دفتر مطالعات فرهنگی</v>
      </c>
      <c r="V1239" s="1" t="str">
        <f>IFERROR(__xludf.DUMMYFUNCTION("INDEX(SPLIT(A1239, ""/""), 4)"),"قلم")</f>
        <v>قلم</v>
      </c>
    </row>
    <row r="1240">
      <c r="A1240" s="1" t="s">
        <v>4001</v>
      </c>
      <c r="B1240" s="1" t="s">
        <v>4012</v>
      </c>
      <c r="C1240" s="1" t="s">
        <v>21</v>
      </c>
      <c r="D1240" s="4" t="s">
        <v>4013</v>
      </c>
      <c r="E1240" s="1" t="s">
        <v>3975</v>
      </c>
      <c r="F1240" s="1" t="s">
        <v>4014</v>
      </c>
      <c r="G1240" s="1" t="s">
        <v>4004</v>
      </c>
      <c r="H1240" s="1" t="s">
        <v>4015</v>
      </c>
      <c r="I1240" s="1" t="str">
        <f t="shared" si="1"/>
        <v>x</v>
      </c>
      <c r="J1240" s="5"/>
      <c r="K1240" s="1" t="str">
        <f t="shared" si="2"/>
        <v>9</v>
      </c>
      <c r="L1240" s="5"/>
      <c r="M1240" s="2" t="str">
        <f t="shared" si="3"/>
        <v>1388</v>
      </c>
      <c r="N1240" s="5"/>
      <c r="O1240" s="2">
        <v>4.0</v>
      </c>
      <c r="P1240" s="5"/>
      <c r="Q1240" s="5"/>
      <c r="R1240" s="6" t="s">
        <v>4016</v>
      </c>
      <c r="S1240" s="5"/>
      <c r="T1240" s="1" t="str">
        <f>IFERROR(__xludf.DUMMYFUNCTION("INDEX(SPLIT(A1240, ""/""), 2)"),"کانون‌های فرهنگی هنری")</f>
        <v>کانون‌های فرهنگی هنری</v>
      </c>
      <c r="U1240" s="1" t="str">
        <f>IFERROR(__xludf.DUMMYFUNCTION("INDEX(SPLIT(A1240, ""/""), 3)"),"دفتر مطالعات فرهنگی")</f>
        <v>دفتر مطالعات فرهنگی</v>
      </c>
      <c r="V1240" s="1" t="str">
        <f>IFERROR(__xludf.DUMMYFUNCTION("INDEX(SPLIT(A1240, ""/""), 4)"),"قلم")</f>
        <v>قلم</v>
      </c>
    </row>
    <row r="1241">
      <c r="A1241" s="1" t="s">
        <v>4001</v>
      </c>
      <c r="B1241" s="1" t="s">
        <v>4017</v>
      </c>
      <c r="C1241" s="1" t="s">
        <v>21</v>
      </c>
      <c r="D1241" s="4" t="s">
        <v>4018</v>
      </c>
      <c r="E1241" s="1" t="s">
        <v>3975</v>
      </c>
      <c r="F1241" s="1" t="s">
        <v>4014</v>
      </c>
      <c r="G1241" s="1" t="s">
        <v>4014</v>
      </c>
      <c r="H1241" s="1" t="s">
        <v>4019</v>
      </c>
      <c r="I1241" s="1" t="str">
        <f t="shared" si="1"/>
        <v>x</v>
      </c>
      <c r="J1241" s="5"/>
      <c r="K1241" s="1" t="str">
        <f t="shared" si="2"/>
        <v>2</v>
      </c>
      <c r="L1241" s="5"/>
      <c r="M1241" s="2" t="str">
        <f t="shared" si="3"/>
        <v>1389</v>
      </c>
      <c r="N1241" s="5"/>
      <c r="O1241" s="2">
        <v>5.0</v>
      </c>
      <c r="P1241" s="5"/>
      <c r="Q1241" s="5"/>
      <c r="R1241" s="6" t="s">
        <v>4020</v>
      </c>
      <c r="S1241" s="5"/>
      <c r="T1241" s="1" t="str">
        <f>IFERROR(__xludf.DUMMYFUNCTION("INDEX(SPLIT(A1241, ""/""), 2)"),"کانون‌های فرهنگی هنری")</f>
        <v>کانون‌های فرهنگی هنری</v>
      </c>
      <c r="U1241" s="1" t="str">
        <f>IFERROR(__xludf.DUMMYFUNCTION("INDEX(SPLIT(A1241, ""/""), 3)"),"دفتر مطالعات فرهنگی")</f>
        <v>دفتر مطالعات فرهنگی</v>
      </c>
      <c r="V1241" s="1" t="str">
        <f>IFERROR(__xludf.DUMMYFUNCTION("INDEX(SPLIT(A1241, ""/""), 4)"),"قلم")</f>
        <v>قلم</v>
      </c>
    </row>
    <row r="1242">
      <c r="A1242" s="1" t="s">
        <v>4001</v>
      </c>
      <c r="B1242" s="1" t="s">
        <v>4021</v>
      </c>
      <c r="C1242" s="1" t="s">
        <v>21</v>
      </c>
      <c r="D1242" s="4" t="s">
        <v>4022</v>
      </c>
      <c r="E1242" s="1" t="s">
        <v>3975</v>
      </c>
      <c r="F1242" s="1" t="s">
        <v>4023</v>
      </c>
      <c r="G1242" s="1" t="s">
        <v>4008</v>
      </c>
      <c r="H1242" s="1" t="s">
        <v>4024</v>
      </c>
      <c r="I1242" s="1" t="str">
        <f t="shared" si="1"/>
        <v>x</v>
      </c>
      <c r="J1242" s="5"/>
      <c r="K1242" s="1" t="str">
        <f t="shared" si="2"/>
        <v>3</v>
      </c>
      <c r="L1242" s="5"/>
      <c r="M1242" s="2" t="str">
        <f t="shared" si="3"/>
        <v>1390</v>
      </c>
      <c r="N1242" s="5"/>
      <c r="O1242" s="2">
        <v>6.0</v>
      </c>
      <c r="P1242" s="5"/>
      <c r="Q1242" s="5"/>
      <c r="R1242" s="6" t="s">
        <v>4025</v>
      </c>
      <c r="S1242" s="5"/>
      <c r="T1242" s="1" t="str">
        <f>IFERROR(__xludf.DUMMYFUNCTION("INDEX(SPLIT(A1242, ""/""), 2)"),"کانون‌های فرهنگی هنری")</f>
        <v>کانون‌های فرهنگی هنری</v>
      </c>
      <c r="U1242" s="1" t="str">
        <f>IFERROR(__xludf.DUMMYFUNCTION("INDEX(SPLIT(A1242, ""/""), 3)"),"دفتر مطالعات فرهنگی")</f>
        <v>دفتر مطالعات فرهنگی</v>
      </c>
      <c r="V1242" s="1" t="str">
        <f>IFERROR(__xludf.DUMMYFUNCTION("INDEX(SPLIT(A1242, ""/""), 4)"),"قلم")</f>
        <v>قلم</v>
      </c>
    </row>
    <row r="1243">
      <c r="A1243" s="1" t="s">
        <v>4001</v>
      </c>
      <c r="B1243" s="1" t="s">
        <v>4026</v>
      </c>
      <c r="C1243" s="1" t="s">
        <v>21</v>
      </c>
      <c r="D1243" s="4" t="s">
        <v>4027</v>
      </c>
      <c r="E1243" s="1" t="s">
        <v>3975</v>
      </c>
      <c r="F1243" s="1" t="s">
        <v>4028</v>
      </c>
      <c r="G1243" s="1" t="s">
        <v>4029</v>
      </c>
      <c r="H1243" s="1" t="s">
        <v>4030</v>
      </c>
      <c r="I1243" s="1" t="str">
        <f t="shared" si="1"/>
        <v>x</v>
      </c>
      <c r="J1243" s="5"/>
      <c r="K1243" s="1" t="str">
        <f t="shared" si="2"/>
        <v>12</v>
      </c>
      <c r="L1243" s="5"/>
      <c r="M1243" s="2" t="str">
        <f t="shared" si="3"/>
        <v>1392</v>
      </c>
      <c r="N1243" s="5"/>
      <c r="O1243" s="2">
        <v>10.0</v>
      </c>
      <c r="P1243" s="5"/>
      <c r="Q1243" s="5"/>
      <c r="R1243" s="6" t="s">
        <v>4031</v>
      </c>
      <c r="S1243" s="5"/>
      <c r="T1243" s="1" t="str">
        <f>IFERROR(__xludf.DUMMYFUNCTION("INDEX(SPLIT(A1243, ""/""), 2)"),"کانون‌های فرهنگی هنری")</f>
        <v>کانون‌های فرهنگی هنری</v>
      </c>
      <c r="U1243" s="1" t="str">
        <f>IFERROR(__xludf.DUMMYFUNCTION("INDEX(SPLIT(A1243, ""/""), 3)"),"دفتر مطالعات فرهنگی")</f>
        <v>دفتر مطالعات فرهنگی</v>
      </c>
      <c r="V1243" s="1" t="str">
        <f>IFERROR(__xludf.DUMMYFUNCTION("INDEX(SPLIT(A1243, ""/""), 4)"),"قلم")</f>
        <v>قلم</v>
      </c>
    </row>
    <row r="1244">
      <c r="A1244" s="1" t="s">
        <v>4001</v>
      </c>
      <c r="B1244" s="1" t="s">
        <v>4032</v>
      </c>
      <c r="C1244" s="1" t="s">
        <v>21</v>
      </c>
      <c r="D1244" s="4" t="s">
        <v>4033</v>
      </c>
      <c r="E1244" s="1" t="s">
        <v>3975</v>
      </c>
      <c r="F1244" s="1" t="s">
        <v>4028</v>
      </c>
      <c r="G1244" s="1" t="s">
        <v>4029</v>
      </c>
      <c r="H1244" s="1" t="s">
        <v>4034</v>
      </c>
      <c r="I1244" s="1" t="str">
        <f t="shared" si="1"/>
        <v>x</v>
      </c>
      <c r="J1244" s="5"/>
      <c r="K1244" s="1" t="str">
        <f t="shared" si="2"/>
        <v>3,4</v>
      </c>
      <c r="L1244" s="5"/>
      <c r="M1244" s="2" t="str">
        <f t="shared" si="3"/>
        <v>1393</v>
      </c>
      <c r="N1244" s="5"/>
      <c r="O1244" s="2">
        <v>11.0</v>
      </c>
      <c r="P1244" s="5"/>
      <c r="Q1244" s="5"/>
      <c r="R1244" s="8" t="s">
        <v>1725</v>
      </c>
      <c r="S1244" s="5"/>
      <c r="T1244" s="1" t="str">
        <f>IFERROR(__xludf.DUMMYFUNCTION("INDEX(SPLIT(A1244, ""/""), 2)"),"کانون‌های فرهنگی هنری")</f>
        <v>کانون‌های فرهنگی هنری</v>
      </c>
      <c r="U1244" s="1" t="str">
        <f>IFERROR(__xludf.DUMMYFUNCTION("INDEX(SPLIT(A1244, ""/""), 3)"),"دفتر مطالعات فرهنگی")</f>
        <v>دفتر مطالعات فرهنگی</v>
      </c>
      <c r="V1244" s="1" t="str">
        <f>IFERROR(__xludf.DUMMYFUNCTION("INDEX(SPLIT(A1244, ""/""), 4)"),"قلم")</f>
        <v>قلم</v>
      </c>
    </row>
    <row r="1245">
      <c r="A1245" s="1" t="s">
        <v>4001</v>
      </c>
      <c r="B1245" s="1" t="s">
        <v>4035</v>
      </c>
      <c r="C1245" s="1" t="s">
        <v>21</v>
      </c>
      <c r="D1245" s="4" t="s">
        <v>4036</v>
      </c>
      <c r="E1245" s="1" t="s">
        <v>3975</v>
      </c>
      <c r="F1245" s="1" t="s">
        <v>4037</v>
      </c>
      <c r="G1245" s="1" t="s">
        <v>4038</v>
      </c>
      <c r="H1245" s="1" t="s">
        <v>2712</v>
      </c>
      <c r="I1245" s="1" t="str">
        <f t="shared" si="1"/>
        <v>x</v>
      </c>
      <c r="J1245" s="5"/>
      <c r="K1245" s="1" t="str">
        <f t="shared" si="2"/>
        <v>x</v>
      </c>
      <c r="L1245" s="1">
        <v>1.0</v>
      </c>
      <c r="M1245" s="2" t="str">
        <f t="shared" si="3"/>
        <v>1395</v>
      </c>
      <c r="N1245" s="5"/>
      <c r="O1245" s="2">
        <v>13.0</v>
      </c>
      <c r="P1245" s="5"/>
      <c r="Q1245" s="5"/>
      <c r="R1245" s="8" t="s">
        <v>2713</v>
      </c>
      <c r="S1245" s="5"/>
      <c r="T1245" s="1" t="str">
        <f>IFERROR(__xludf.DUMMYFUNCTION("INDEX(SPLIT(A1245, ""/""), 2)"),"کانون‌های فرهنگی هنری")</f>
        <v>کانون‌های فرهنگی هنری</v>
      </c>
      <c r="U1245" s="1" t="str">
        <f>IFERROR(__xludf.DUMMYFUNCTION("INDEX(SPLIT(A1245, ""/""), 3)"),"دفتر مطالعات فرهنگی")</f>
        <v>دفتر مطالعات فرهنگی</v>
      </c>
      <c r="V1245" s="1" t="str">
        <f>IFERROR(__xludf.DUMMYFUNCTION("INDEX(SPLIT(A1245, ""/""), 4)"),"قلم")</f>
        <v>قلم</v>
      </c>
    </row>
    <row r="1246">
      <c r="A1246" s="1" t="s">
        <v>4001</v>
      </c>
      <c r="B1246" s="1" t="s">
        <v>4039</v>
      </c>
      <c r="C1246" s="1" t="s">
        <v>21</v>
      </c>
      <c r="D1246" s="4" t="s">
        <v>4040</v>
      </c>
      <c r="E1246" s="1" t="s">
        <v>3975</v>
      </c>
      <c r="F1246" s="1" t="s">
        <v>4037</v>
      </c>
      <c r="G1246" s="1" t="s">
        <v>4038</v>
      </c>
      <c r="H1246" s="1" t="s">
        <v>2712</v>
      </c>
      <c r="I1246" s="1" t="str">
        <f t="shared" si="1"/>
        <v>x</v>
      </c>
      <c r="J1246" s="5"/>
      <c r="K1246" s="1" t="str">
        <f t="shared" si="2"/>
        <v>x</v>
      </c>
      <c r="L1246" s="1" t="s">
        <v>4041</v>
      </c>
      <c r="M1246" s="2" t="str">
        <f t="shared" si="3"/>
        <v>1395</v>
      </c>
      <c r="N1246" s="5"/>
      <c r="O1246" s="2">
        <v>14.0</v>
      </c>
      <c r="P1246" s="5"/>
      <c r="Q1246" s="5"/>
      <c r="R1246" s="8" t="s">
        <v>2713</v>
      </c>
      <c r="S1246" s="5"/>
      <c r="T1246" s="1" t="str">
        <f>IFERROR(__xludf.DUMMYFUNCTION("INDEX(SPLIT(A1246, ""/""), 2)"),"کانون‌های فرهنگی هنری")</f>
        <v>کانون‌های فرهنگی هنری</v>
      </c>
      <c r="U1246" s="1" t="str">
        <f>IFERROR(__xludf.DUMMYFUNCTION("INDEX(SPLIT(A1246, ""/""), 3)"),"دفتر مطالعات فرهنگی")</f>
        <v>دفتر مطالعات فرهنگی</v>
      </c>
      <c r="V1246" s="1" t="str">
        <f>IFERROR(__xludf.DUMMYFUNCTION("INDEX(SPLIT(A1246, ""/""), 4)"),"قلم")</f>
        <v>قلم</v>
      </c>
    </row>
    <row r="1247">
      <c r="A1247" s="1" t="s">
        <v>4001</v>
      </c>
      <c r="B1247" s="1" t="s">
        <v>4042</v>
      </c>
      <c r="C1247" s="1" t="s">
        <v>21</v>
      </c>
      <c r="D1247" s="4" t="s">
        <v>4043</v>
      </c>
      <c r="E1247" s="1" t="s">
        <v>3975</v>
      </c>
      <c r="F1247" s="1" t="s">
        <v>4044</v>
      </c>
      <c r="G1247" s="1" t="s">
        <v>4038</v>
      </c>
      <c r="H1247" s="1" t="s">
        <v>3671</v>
      </c>
      <c r="I1247" s="1" t="str">
        <f t="shared" si="1"/>
        <v>x</v>
      </c>
      <c r="J1247" s="5"/>
      <c r="K1247" s="1" t="str">
        <f t="shared" si="2"/>
        <v>x</v>
      </c>
      <c r="L1247" s="1">
        <v>3.0</v>
      </c>
      <c r="M1247" s="2" t="str">
        <f t="shared" si="3"/>
        <v>1396</v>
      </c>
      <c r="N1247" s="5"/>
      <c r="O1247" s="2">
        <v>16.0</v>
      </c>
      <c r="P1247" s="5"/>
      <c r="Q1247" s="5"/>
      <c r="R1247" s="8" t="s">
        <v>2302</v>
      </c>
      <c r="S1247" s="5"/>
      <c r="T1247" s="1" t="str">
        <f>IFERROR(__xludf.DUMMYFUNCTION("INDEX(SPLIT(A1247, ""/""), 2)"),"کانون‌های فرهنگی هنری")</f>
        <v>کانون‌های فرهنگی هنری</v>
      </c>
      <c r="U1247" s="1" t="str">
        <f>IFERROR(__xludf.DUMMYFUNCTION("INDEX(SPLIT(A1247, ""/""), 3)"),"دفتر مطالعات فرهنگی")</f>
        <v>دفتر مطالعات فرهنگی</v>
      </c>
      <c r="V1247" s="1" t="str">
        <f>IFERROR(__xludf.DUMMYFUNCTION("INDEX(SPLIT(A1247, ""/""), 4)"),"قلم")</f>
        <v>قلم</v>
      </c>
    </row>
    <row r="1248">
      <c r="A1248" s="1" t="s">
        <v>4045</v>
      </c>
      <c r="B1248" s="1" t="s">
        <v>4046</v>
      </c>
      <c r="C1248" s="1" t="s">
        <v>21</v>
      </c>
      <c r="D1248" s="4" t="s">
        <v>4047</v>
      </c>
      <c r="E1248" s="1" t="s">
        <v>3975</v>
      </c>
      <c r="F1248" s="1" t="s">
        <v>4048</v>
      </c>
      <c r="G1248" s="1" t="s">
        <v>4049</v>
      </c>
      <c r="H1248" s="1" t="s">
        <v>4050</v>
      </c>
      <c r="I1248" s="1" t="str">
        <f t="shared" si="1"/>
        <v>x</v>
      </c>
      <c r="J1248" s="5"/>
      <c r="K1248" s="1" t="str">
        <f t="shared" si="2"/>
        <v>x</v>
      </c>
      <c r="L1248" s="1">
        <v>4.0</v>
      </c>
      <c r="M1248" s="2" t="str">
        <f t="shared" si="3"/>
        <v>1371</v>
      </c>
      <c r="N1248" s="1">
        <v>1.0</v>
      </c>
      <c r="O1248" s="2">
        <v>0.0</v>
      </c>
      <c r="P1248" s="5"/>
      <c r="Q1248" s="5"/>
      <c r="R1248" s="8" t="s">
        <v>4051</v>
      </c>
      <c r="S1248" s="5"/>
      <c r="T1248" s="1" t="str">
        <f>IFERROR(__xludf.DUMMYFUNCTION("INDEX(SPLIT(A1248, ""/""), 2)"),"کانون‌های فرهنگی هنری")</f>
        <v>کانون‌های فرهنگی هنری</v>
      </c>
      <c r="U1248" s="1" t="str">
        <f>IFERROR(__xludf.DUMMYFUNCTION("INDEX(SPLIT(A1248, ""/""), 3)"),"دفتر مطالعات فرهنگی")</f>
        <v>دفتر مطالعات فرهنگی</v>
      </c>
      <c r="V1248" s="1" t="str">
        <f>IFERROR(__xludf.DUMMYFUNCTION("INDEX(SPLIT(A1248, ""/""), 4)"),"نامه فرهنگی")</f>
        <v>نامه فرهنگی</v>
      </c>
    </row>
    <row r="1249">
      <c r="A1249" s="1" t="s">
        <v>4045</v>
      </c>
      <c r="B1249" s="1" t="s">
        <v>4052</v>
      </c>
      <c r="C1249" s="1" t="s">
        <v>21</v>
      </c>
      <c r="D1249" s="4" t="s">
        <v>4053</v>
      </c>
      <c r="E1249" s="1" t="s">
        <v>3975</v>
      </c>
      <c r="F1249" s="1" t="s">
        <v>4054</v>
      </c>
      <c r="G1249" s="1" t="s">
        <v>4049</v>
      </c>
      <c r="H1249" s="1" t="s">
        <v>4055</v>
      </c>
      <c r="I1249" s="1" t="str">
        <f t="shared" si="1"/>
        <v>x</v>
      </c>
      <c r="J1249" s="5"/>
      <c r="K1249" s="1" t="str">
        <f t="shared" si="2"/>
        <v>10</v>
      </c>
      <c r="L1249" s="5"/>
      <c r="M1249" s="2" t="str">
        <f t="shared" si="3"/>
        <v>1372</v>
      </c>
      <c r="N1249" s="1">
        <v>1.0</v>
      </c>
      <c r="O1249" s="2">
        <v>1.0</v>
      </c>
      <c r="P1249" s="5"/>
      <c r="Q1249" s="5"/>
      <c r="R1249" s="6" t="s">
        <v>4056</v>
      </c>
      <c r="S1249" s="5"/>
      <c r="T1249" s="1" t="str">
        <f>IFERROR(__xludf.DUMMYFUNCTION("INDEX(SPLIT(A1249, ""/""), 2)"),"کانون‌های فرهنگی هنری")</f>
        <v>کانون‌های فرهنگی هنری</v>
      </c>
      <c r="U1249" s="1" t="str">
        <f>IFERROR(__xludf.DUMMYFUNCTION("INDEX(SPLIT(A1249, ""/""), 3)"),"دفتر مطالعات فرهنگی")</f>
        <v>دفتر مطالعات فرهنگی</v>
      </c>
      <c r="V1249" s="1" t="str">
        <f>IFERROR(__xludf.DUMMYFUNCTION("INDEX(SPLIT(A1249, ""/""), 4)"),"نامه فرهنگی")</f>
        <v>نامه فرهنگی</v>
      </c>
    </row>
    <row r="1250">
      <c r="A1250" s="1" t="s">
        <v>4045</v>
      </c>
      <c r="B1250" s="1" t="s">
        <v>4057</v>
      </c>
      <c r="C1250" s="1" t="s">
        <v>21</v>
      </c>
      <c r="D1250" s="4" t="s">
        <v>4058</v>
      </c>
      <c r="E1250" s="1" t="s">
        <v>3975</v>
      </c>
      <c r="F1250" s="1" t="s">
        <v>4059</v>
      </c>
      <c r="G1250" s="1" t="s">
        <v>4049</v>
      </c>
      <c r="H1250" s="1" t="s">
        <v>4060</v>
      </c>
      <c r="I1250" s="1" t="str">
        <f t="shared" si="1"/>
        <v>x</v>
      </c>
      <c r="J1250" s="5"/>
      <c r="K1250" s="1" t="str">
        <f t="shared" si="2"/>
        <v>x</v>
      </c>
      <c r="L1250" s="1">
        <v>2.0</v>
      </c>
      <c r="M1250" s="2" t="str">
        <f t="shared" si="3"/>
        <v>1374</v>
      </c>
      <c r="N1250" s="1">
        <v>1.0</v>
      </c>
      <c r="O1250" s="2">
        <v>4.0</v>
      </c>
      <c r="P1250" s="5"/>
      <c r="Q1250" s="5"/>
      <c r="R1250" s="8" t="s">
        <v>4061</v>
      </c>
      <c r="S1250" s="5"/>
      <c r="T1250" s="1" t="str">
        <f>IFERROR(__xludf.DUMMYFUNCTION("INDEX(SPLIT(A1250, ""/""), 2)"),"کانون‌های فرهنگی هنری")</f>
        <v>کانون‌های فرهنگی هنری</v>
      </c>
      <c r="U1250" s="1" t="str">
        <f>IFERROR(__xludf.DUMMYFUNCTION("INDEX(SPLIT(A1250, ""/""), 3)"),"دفتر مطالعات فرهنگی")</f>
        <v>دفتر مطالعات فرهنگی</v>
      </c>
      <c r="V1250" s="1" t="str">
        <f>IFERROR(__xludf.DUMMYFUNCTION("INDEX(SPLIT(A1250, ""/""), 4)"),"نامه فرهنگی")</f>
        <v>نامه فرهنگی</v>
      </c>
    </row>
    <row r="1251">
      <c r="A1251" s="1" t="s">
        <v>4045</v>
      </c>
      <c r="B1251" s="1" t="s">
        <v>4062</v>
      </c>
      <c r="C1251" s="1" t="s">
        <v>21</v>
      </c>
      <c r="D1251" s="4" t="s">
        <v>4063</v>
      </c>
      <c r="E1251" s="1" t="s">
        <v>3975</v>
      </c>
      <c r="F1251" s="1" t="s">
        <v>4059</v>
      </c>
      <c r="G1251" s="1" t="s">
        <v>4049</v>
      </c>
      <c r="H1251" s="1" t="s">
        <v>4064</v>
      </c>
      <c r="I1251" s="1" t="str">
        <f t="shared" si="1"/>
        <v>x</v>
      </c>
      <c r="J1251" s="5"/>
      <c r="K1251" s="1" t="str">
        <f t="shared" si="2"/>
        <v>7</v>
      </c>
      <c r="L1251" s="5"/>
      <c r="M1251" s="2" t="str">
        <f t="shared" si="3"/>
        <v>1374</v>
      </c>
      <c r="N1251" s="1">
        <v>2.0</v>
      </c>
      <c r="O1251" s="2">
        <v>1.0</v>
      </c>
      <c r="P1251" s="5"/>
      <c r="Q1251" s="5"/>
      <c r="R1251" s="6" t="s">
        <v>4065</v>
      </c>
      <c r="S1251" s="5"/>
      <c r="T1251" s="1" t="str">
        <f>IFERROR(__xludf.DUMMYFUNCTION("INDEX(SPLIT(A1251, ""/""), 2)"),"کانون‌های فرهنگی هنری")</f>
        <v>کانون‌های فرهنگی هنری</v>
      </c>
      <c r="U1251" s="1" t="str">
        <f>IFERROR(__xludf.DUMMYFUNCTION("INDEX(SPLIT(A1251, ""/""), 3)"),"دفتر مطالعات فرهنگی")</f>
        <v>دفتر مطالعات فرهنگی</v>
      </c>
      <c r="V1251" s="1" t="str">
        <f>IFERROR(__xludf.DUMMYFUNCTION("INDEX(SPLIT(A1251, ""/""), 4)"),"نامه فرهنگی")</f>
        <v>نامه فرهنگی</v>
      </c>
    </row>
    <row r="1252">
      <c r="A1252" s="1" t="s">
        <v>4045</v>
      </c>
      <c r="B1252" s="1" t="s">
        <v>4066</v>
      </c>
      <c r="C1252" s="1" t="s">
        <v>21</v>
      </c>
      <c r="D1252" s="4" t="s">
        <v>4067</v>
      </c>
      <c r="E1252" s="1" t="s">
        <v>3975</v>
      </c>
      <c r="F1252" s="1" t="s">
        <v>4059</v>
      </c>
      <c r="G1252" s="1" t="s">
        <v>4049</v>
      </c>
      <c r="H1252" s="1" t="s">
        <v>4068</v>
      </c>
      <c r="I1252" s="1" t="str">
        <f t="shared" si="1"/>
        <v>x</v>
      </c>
      <c r="J1252" s="5"/>
      <c r="K1252" s="1" t="str">
        <f t="shared" si="2"/>
        <v>5</v>
      </c>
      <c r="L1252" s="5"/>
      <c r="M1252" s="2" t="str">
        <f t="shared" si="3"/>
        <v>1375</v>
      </c>
      <c r="N1252" s="1">
        <v>2.0</v>
      </c>
      <c r="O1252" s="2">
        <v>3.0</v>
      </c>
      <c r="P1252" s="5"/>
      <c r="Q1252" s="5"/>
      <c r="R1252" s="6" t="s">
        <v>4069</v>
      </c>
      <c r="S1252" s="5"/>
      <c r="T1252" s="1" t="str">
        <f>IFERROR(__xludf.DUMMYFUNCTION("INDEX(SPLIT(A1252, ""/""), 2)"),"کانون‌های فرهنگی هنری")</f>
        <v>کانون‌های فرهنگی هنری</v>
      </c>
      <c r="U1252" s="1" t="str">
        <f>IFERROR(__xludf.DUMMYFUNCTION("INDEX(SPLIT(A1252, ""/""), 3)"),"دفتر مطالعات فرهنگی")</f>
        <v>دفتر مطالعات فرهنگی</v>
      </c>
      <c r="V1252" s="1" t="str">
        <f>IFERROR(__xludf.DUMMYFUNCTION("INDEX(SPLIT(A1252, ""/""), 4)"),"نامه فرهنگی")</f>
        <v>نامه فرهنگی</v>
      </c>
    </row>
    <row r="1253">
      <c r="A1253" s="1" t="s">
        <v>4070</v>
      </c>
      <c r="B1253" s="1" t="s">
        <v>1533</v>
      </c>
      <c r="C1253" s="1" t="s">
        <v>21</v>
      </c>
      <c r="D1253" s="12" t="s">
        <v>4071</v>
      </c>
      <c r="E1253" s="1" t="s">
        <v>4072</v>
      </c>
      <c r="F1253" s="1" t="s">
        <v>4073</v>
      </c>
      <c r="G1253" s="1" t="s">
        <v>71</v>
      </c>
      <c r="H1253" s="1" t="s">
        <v>4074</v>
      </c>
      <c r="I1253" s="1" t="str">
        <f t="shared" si="1"/>
        <v>25</v>
      </c>
      <c r="J1253" s="5"/>
      <c r="K1253" s="1" t="str">
        <f t="shared" si="2"/>
        <v>11</v>
      </c>
      <c r="L1253" s="5"/>
      <c r="M1253" s="2" t="str">
        <f t="shared" si="3"/>
        <v>1379</v>
      </c>
      <c r="N1253" s="1"/>
      <c r="O1253" s="13">
        <v>1.0</v>
      </c>
      <c r="P1253" s="5"/>
      <c r="Q1253" s="5"/>
      <c r="R1253" s="6" t="s">
        <v>4074</v>
      </c>
      <c r="S1253" s="5"/>
      <c r="T1253" s="1" t="str">
        <f>IFERROR(__xludf.DUMMYFUNCTION("INDEX(SPLIT(A1253, ""/""), 2)"),"کانون‌های فرهنگی هنری")</f>
        <v>کانون‌های فرهنگی هنری</v>
      </c>
      <c r="U1253" s="1" t="str">
        <f>IFERROR(__xludf.DUMMYFUNCTION("INDEX(SPLIT(A1253, ""/""), 3)"),"روزنامه شریف")</f>
        <v>روزنامه شریف</v>
      </c>
      <c r="V1253" s="1" t="str">
        <f>IFERROR(__xludf.DUMMYFUNCTION("INDEX(SPLIT(A1253, ""/""), 4)"),"#REF!")</f>
        <v>#REF!</v>
      </c>
    </row>
    <row r="1254">
      <c r="A1254" s="1" t="s">
        <v>4070</v>
      </c>
      <c r="B1254" s="1" t="s">
        <v>1537</v>
      </c>
      <c r="C1254" s="1" t="s">
        <v>21</v>
      </c>
      <c r="D1254" s="4" t="s">
        <v>4075</v>
      </c>
      <c r="E1254" s="1" t="s">
        <v>4072</v>
      </c>
      <c r="F1254" s="1" t="s">
        <v>4073</v>
      </c>
      <c r="G1254" s="1" t="s">
        <v>71</v>
      </c>
      <c r="H1254" s="7" t="s">
        <v>4076</v>
      </c>
      <c r="I1254" s="1" t="str">
        <f t="shared" si="1"/>
        <v>7</v>
      </c>
      <c r="J1254" s="5"/>
      <c r="K1254" s="1" t="str">
        <f t="shared" si="2"/>
        <v>12</v>
      </c>
      <c r="L1254" s="5"/>
      <c r="M1254" s="2" t="str">
        <f t="shared" si="3"/>
        <v>1379</v>
      </c>
      <c r="N1254" s="1"/>
      <c r="O1254" s="13">
        <v>2.0</v>
      </c>
      <c r="P1254" s="5"/>
      <c r="Q1254" s="5"/>
      <c r="R1254" s="8" t="s">
        <v>4076</v>
      </c>
      <c r="S1254" s="5"/>
      <c r="T1254" s="1" t="str">
        <f>IFERROR(__xludf.DUMMYFUNCTION("INDEX(SPLIT(A1254, ""/""), 2)"),"کانون‌های فرهنگی هنری")</f>
        <v>کانون‌های فرهنگی هنری</v>
      </c>
      <c r="U1254" s="1" t="str">
        <f>IFERROR(__xludf.DUMMYFUNCTION("INDEX(SPLIT(A1254, ""/""), 3)"),"روزنامه شریف")</f>
        <v>روزنامه شریف</v>
      </c>
      <c r="V1254" s="1" t="str">
        <f>IFERROR(__xludf.DUMMYFUNCTION("INDEX(SPLIT(A1254, ""/""), 4)"),"#REF!")</f>
        <v>#REF!</v>
      </c>
    </row>
    <row r="1255">
      <c r="A1255" s="1" t="s">
        <v>4070</v>
      </c>
      <c r="B1255" s="1" t="s">
        <v>1543</v>
      </c>
      <c r="C1255" s="1" t="s">
        <v>21</v>
      </c>
      <c r="D1255" s="4" t="s">
        <v>4077</v>
      </c>
      <c r="E1255" s="1" t="s">
        <v>4072</v>
      </c>
      <c r="F1255" s="1" t="s">
        <v>4073</v>
      </c>
      <c r="G1255" s="1" t="s">
        <v>71</v>
      </c>
      <c r="H1255" s="1" t="s">
        <v>4078</v>
      </c>
      <c r="I1255" s="1" t="str">
        <f t="shared" si="1"/>
        <v>20</v>
      </c>
      <c r="J1255" s="5"/>
      <c r="K1255" s="1" t="str">
        <f t="shared" si="2"/>
        <v>12</v>
      </c>
      <c r="L1255" s="5"/>
      <c r="M1255" s="2" t="str">
        <f t="shared" si="3"/>
        <v>1379</v>
      </c>
      <c r="N1255" s="5"/>
      <c r="O1255" s="13">
        <v>4.0</v>
      </c>
      <c r="P1255" s="5"/>
      <c r="Q1255" s="5"/>
      <c r="R1255" s="6" t="s">
        <v>4078</v>
      </c>
      <c r="S1255" s="5"/>
      <c r="T1255" s="1" t="str">
        <f>IFERROR(__xludf.DUMMYFUNCTION("INDEX(SPLIT(A1255, ""/""), 2)"),"کانون‌های فرهنگی هنری")</f>
        <v>کانون‌های فرهنگی هنری</v>
      </c>
      <c r="U1255" s="1" t="str">
        <f>IFERROR(__xludf.DUMMYFUNCTION("INDEX(SPLIT(A1255, ""/""), 3)"),"روزنامه شریف")</f>
        <v>روزنامه شریف</v>
      </c>
      <c r="V1255" s="1" t="str">
        <f>IFERROR(__xludf.DUMMYFUNCTION("INDEX(SPLIT(A1255, ""/""), 4)"),"#REF!")</f>
        <v>#REF!</v>
      </c>
    </row>
    <row r="1256">
      <c r="A1256" s="1" t="s">
        <v>4070</v>
      </c>
      <c r="B1256" s="1" t="s">
        <v>1549</v>
      </c>
      <c r="C1256" s="1" t="s">
        <v>21</v>
      </c>
      <c r="D1256" s="4" t="s">
        <v>4079</v>
      </c>
      <c r="E1256" s="1" t="s">
        <v>4072</v>
      </c>
      <c r="F1256" s="1" t="s">
        <v>4073</v>
      </c>
      <c r="G1256" s="1" t="s">
        <v>71</v>
      </c>
      <c r="H1256" s="7" t="s">
        <v>4080</v>
      </c>
      <c r="I1256" s="1" t="str">
        <f t="shared" si="1"/>
        <v>5</v>
      </c>
      <c r="J1256" s="5"/>
      <c r="K1256" s="1" t="str">
        <f t="shared" si="2"/>
        <v>2</v>
      </c>
      <c r="L1256" s="5"/>
      <c r="M1256" s="2" t="str">
        <f t="shared" si="3"/>
        <v>1380</v>
      </c>
      <c r="N1256" s="1"/>
      <c r="O1256" s="13">
        <v>6.0</v>
      </c>
      <c r="P1256" s="5"/>
      <c r="Q1256" s="5"/>
      <c r="R1256" s="8" t="s">
        <v>4080</v>
      </c>
      <c r="S1256" s="5"/>
      <c r="T1256" s="1" t="str">
        <f>IFERROR(__xludf.DUMMYFUNCTION("INDEX(SPLIT(A1256, ""/""), 2)"),"کانون‌های فرهنگی هنری")</f>
        <v>کانون‌های فرهنگی هنری</v>
      </c>
      <c r="U1256" s="1" t="str">
        <f>IFERROR(__xludf.DUMMYFUNCTION("INDEX(SPLIT(A1256, ""/""), 3)"),"روزنامه شریف")</f>
        <v>روزنامه شریف</v>
      </c>
      <c r="V1256" s="1" t="str">
        <f>IFERROR(__xludf.DUMMYFUNCTION("INDEX(SPLIT(A1256, ""/""), 4)"),"#REF!")</f>
        <v>#REF!</v>
      </c>
    </row>
    <row r="1257">
      <c r="A1257" s="1" t="s">
        <v>4070</v>
      </c>
      <c r="B1257" s="1" t="s">
        <v>1552</v>
      </c>
      <c r="C1257" s="1" t="s">
        <v>21</v>
      </c>
      <c r="D1257" s="4" t="s">
        <v>4081</v>
      </c>
      <c r="E1257" s="1" t="s">
        <v>4072</v>
      </c>
      <c r="F1257" s="1" t="s">
        <v>4073</v>
      </c>
      <c r="G1257" s="1" t="s">
        <v>71</v>
      </c>
      <c r="H1257" s="7" t="s">
        <v>4082</v>
      </c>
      <c r="I1257" s="1" t="str">
        <f t="shared" si="1"/>
        <v>8</v>
      </c>
      <c r="J1257" s="5"/>
      <c r="K1257" s="1" t="str">
        <f t="shared" si="2"/>
        <v>2</v>
      </c>
      <c r="L1257" s="5"/>
      <c r="M1257" s="2" t="str">
        <f t="shared" si="3"/>
        <v>1380</v>
      </c>
      <c r="N1257" s="1"/>
      <c r="O1257" s="13">
        <v>7.0</v>
      </c>
      <c r="P1257" s="5"/>
      <c r="Q1257" s="5"/>
      <c r="R1257" s="8" t="s">
        <v>4082</v>
      </c>
      <c r="S1257" s="5"/>
      <c r="T1257" s="1" t="str">
        <f>IFERROR(__xludf.DUMMYFUNCTION("INDEX(SPLIT(A1257, ""/""), 2)"),"کانون‌های فرهنگی هنری")</f>
        <v>کانون‌های فرهنگی هنری</v>
      </c>
      <c r="U1257" s="1" t="str">
        <f>IFERROR(__xludf.DUMMYFUNCTION("INDEX(SPLIT(A1257, ""/""), 3)"),"روزنامه شریف")</f>
        <v>روزنامه شریف</v>
      </c>
      <c r="V1257" s="1" t="str">
        <f>IFERROR(__xludf.DUMMYFUNCTION("INDEX(SPLIT(A1257, ""/""), 4)"),"#REF!")</f>
        <v>#REF!</v>
      </c>
    </row>
    <row r="1258">
      <c r="A1258" s="1" t="s">
        <v>4070</v>
      </c>
      <c r="B1258" s="1" t="s">
        <v>4083</v>
      </c>
      <c r="C1258" s="1" t="s">
        <v>21</v>
      </c>
      <c r="D1258" s="4" t="s">
        <v>4084</v>
      </c>
      <c r="E1258" s="1" t="s">
        <v>4072</v>
      </c>
      <c r="F1258" s="1" t="s">
        <v>4073</v>
      </c>
      <c r="G1258" s="1" t="s">
        <v>71</v>
      </c>
      <c r="H1258" s="1" t="s">
        <v>4085</v>
      </c>
      <c r="I1258" s="1" t="str">
        <f t="shared" si="1"/>
        <v>15</v>
      </c>
      <c r="J1258" s="5"/>
      <c r="K1258" s="1" t="str">
        <f t="shared" si="2"/>
        <v>2</v>
      </c>
      <c r="L1258" s="5"/>
      <c r="M1258" s="2" t="str">
        <f t="shared" si="3"/>
        <v>1380</v>
      </c>
      <c r="N1258" s="1"/>
      <c r="O1258" s="13">
        <v>8.0</v>
      </c>
      <c r="P1258" s="5"/>
      <c r="Q1258" s="5"/>
      <c r="R1258" s="6" t="s">
        <v>4085</v>
      </c>
      <c r="S1258" s="5"/>
      <c r="T1258" s="1" t="str">
        <f>IFERROR(__xludf.DUMMYFUNCTION("INDEX(SPLIT(A1258, ""/""), 2)"),"کانون‌های فرهنگی هنری")</f>
        <v>کانون‌های فرهنگی هنری</v>
      </c>
      <c r="U1258" s="1" t="str">
        <f>IFERROR(__xludf.DUMMYFUNCTION("INDEX(SPLIT(A1258, ""/""), 3)"),"روزنامه شریف")</f>
        <v>روزنامه شریف</v>
      </c>
      <c r="V1258" s="1" t="str">
        <f>IFERROR(__xludf.DUMMYFUNCTION("INDEX(SPLIT(A1258, ""/""), 4)"),"#REF!")</f>
        <v>#REF!</v>
      </c>
    </row>
    <row r="1259">
      <c r="A1259" s="1" t="s">
        <v>4070</v>
      </c>
      <c r="B1259" s="1" t="s">
        <v>4086</v>
      </c>
      <c r="C1259" s="1" t="s">
        <v>21</v>
      </c>
      <c r="D1259" s="4" t="s">
        <v>4087</v>
      </c>
      <c r="E1259" s="1" t="s">
        <v>4072</v>
      </c>
      <c r="F1259" s="1" t="s">
        <v>4073</v>
      </c>
      <c r="G1259" s="1" t="s">
        <v>71</v>
      </c>
      <c r="H1259" s="1" t="s">
        <v>4088</v>
      </c>
      <c r="I1259" s="1" t="str">
        <f t="shared" si="1"/>
        <v>18</v>
      </c>
      <c r="J1259" s="5"/>
      <c r="K1259" s="1" t="str">
        <f t="shared" si="2"/>
        <v>2</v>
      </c>
      <c r="L1259" s="5"/>
      <c r="M1259" s="2" t="str">
        <f t="shared" si="3"/>
        <v>1380</v>
      </c>
      <c r="N1259" s="1"/>
      <c r="O1259" s="13">
        <v>9.0</v>
      </c>
      <c r="P1259" s="5"/>
      <c r="Q1259" s="5"/>
      <c r="R1259" s="6" t="s">
        <v>4088</v>
      </c>
      <c r="S1259" s="5"/>
      <c r="T1259" s="1" t="str">
        <f>IFERROR(__xludf.DUMMYFUNCTION("INDEX(SPLIT(A1259, ""/""), 2)"),"کانون‌های فرهنگی هنری")</f>
        <v>کانون‌های فرهنگی هنری</v>
      </c>
      <c r="U1259" s="1" t="str">
        <f>IFERROR(__xludf.DUMMYFUNCTION("INDEX(SPLIT(A1259, ""/""), 3)"),"روزنامه شریف")</f>
        <v>روزنامه شریف</v>
      </c>
      <c r="V1259" s="1" t="str">
        <f>IFERROR(__xludf.DUMMYFUNCTION("INDEX(SPLIT(A1259, ""/""), 4)"),"#REF!")</f>
        <v>#REF!</v>
      </c>
    </row>
    <row r="1260">
      <c r="A1260" s="1" t="s">
        <v>4070</v>
      </c>
      <c r="B1260" s="1" t="s">
        <v>4089</v>
      </c>
      <c r="C1260" s="1" t="s">
        <v>21</v>
      </c>
      <c r="D1260" s="4" t="s">
        <v>4090</v>
      </c>
      <c r="E1260" s="1" t="s">
        <v>4072</v>
      </c>
      <c r="F1260" s="1" t="s">
        <v>4073</v>
      </c>
      <c r="G1260" s="1" t="s">
        <v>71</v>
      </c>
      <c r="H1260" s="7" t="s">
        <v>4091</v>
      </c>
      <c r="I1260" s="1" t="str">
        <f t="shared" si="1"/>
        <v>5</v>
      </c>
      <c r="J1260" s="5"/>
      <c r="K1260" s="1" t="str">
        <f t="shared" si="2"/>
        <v>3</v>
      </c>
      <c r="L1260" s="5"/>
      <c r="M1260" s="2" t="str">
        <f t="shared" si="3"/>
        <v>1380</v>
      </c>
      <c r="N1260" s="1"/>
      <c r="O1260" s="13">
        <v>10.0</v>
      </c>
      <c r="P1260" s="5"/>
      <c r="Q1260" s="5"/>
      <c r="R1260" s="8" t="s">
        <v>4091</v>
      </c>
      <c r="S1260" s="5"/>
      <c r="T1260" s="1" t="str">
        <f>IFERROR(__xludf.DUMMYFUNCTION("INDEX(SPLIT(A1260, ""/""), 2)"),"کانون‌های فرهنگی هنری")</f>
        <v>کانون‌های فرهنگی هنری</v>
      </c>
      <c r="U1260" s="1" t="str">
        <f>IFERROR(__xludf.DUMMYFUNCTION("INDEX(SPLIT(A1260, ""/""), 3)"),"روزنامه شریف")</f>
        <v>روزنامه شریف</v>
      </c>
      <c r="V1260" s="1" t="str">
        <f>IFERROR(__xludf.DUMMYFUNCTION("INDEX(SPLIT(A1260, ""/""), 4)"),"#REF!")</f>
        <v>#REF!</v>
      </c>
    </row>
    <row r="1261">
      <c r="A1261" s="1" t="s">
        <v>4070</v>
      </c>
      <c r="B1261" s="1" t="s">
        <v>4092</v>
      </c>
      <c r="C1261" s="1" t="s">
        <v>21</v>
      </c>
      <c r="D1261" s="4" t="s">
        <v>4093</v>
      </c>
      <c r="E1261" s="1" t="s">
        <v>4072</v>
      </c>
      <c r="F1261" s="1" t="s">
        <v>4073</v>
      </c>
      <c r="G1261" s="1" t="s">
        <v>71</v>
      </c>
      <c r="H1261" s="7" t="s">
        <v>4094</v>
      </c>
      <c r="I1261" s="1" t="str">
        <f t="shared" si="1"/>
        <v>8</v>
      </c>
      <c r="J1261" s="5"/>
      <c r="K1261" s="1" t="str">
        <f t="shared" si="2"/>
        <v>3</v>
      </c>
      <c r="L1261" s="5"/>
      <c r="M1261" s="2" t="str">
        <f t="shared" si="3"/>
        <v>1380</v>
      </c>
      <c r="N1261" s="1"/>
      <c r="O1261" s="13">
        <v>11.0</v>
      </c>
      <c r="P1261" s="5"/>
      <c r="Q1261" s="5"/>
      <c r="R1261" s="8" t="s">
        <v>4094</v>
      </c>
      <c r="S1261" s="5"/>
      <c r="T1261" s="1" t="str">
        <f>IFERROR(__xludf.DUMMYFUNCTION("INDEX(SPLIT(A1261, ""/""), 2)"),"کانون‌های فرهنگی هنری")</f>
        <v>کانون‌های فرهنگی هنری</v>
      </c>
      <c r="U1261" s="1" t="str">
        <f>IFERROR(__xludf.DUMMYFUNCTION("INDEX(SPLIT(A1261, ""/""), 3)"),"روزنامه شریف")</f>
        <v>روزنامه شریف</v>
      </c>
      <c r="V1261" s="1" t="str">
        <f>IFERROR(__xludf.DUMMYFUNCTION("INDEX(SPLIT(A1261, ""/""), 4)"),"#REF!")</f>
        <v>#REF!</v>
      </c>
    </row>
    <row r="1262">
      <c r="A1262" s="1" t="s">
        <v>4070</v>
      </c>
      <c r="B1262" s="1" t="s">
        <v>2309</v>
      </c>
      <c r="C1262" s="1" t="s">
        <v>21</v>
      </c>
      <c r="D1262" s="4" t="s">
        <v>4095</v>
      </c>
      <c r="E1262" s="1" t="s">
        <v>4072</v>
      </c>
      <c r="F1262" s="1" t="s">
        <v>4073</v>
      </c>
      <c r="G1262" s="1" t="s">
        <v>71</v>
      </c>
      <c r="H1262" s="1" t="s">
        <v>4096</v>
      </c>
      <c r="I1262" s="1" t="str">
        <f t="shared" si="1"/>
        <v>19</v>
      </c>
      <c r="J1262" s="5"/>
      <c r="K1262" s="1" t="str">
        <f t="shared" si="2"/>
        <v>3</v>
      </c>
      <c r="L1262" s="5"/>
      <c r="M1262" s="2" t="str">
        <f t="shared" si="3"/>
        <v>1380</v>
      </c>
      <c r="N1262" s="1"/>
      <c r="O1262" s="13">
        <v>12.0</v>
      </c>
      <c r="P1262" s="5"/>
      <c r="Q1262" s="5"/>
      <c r="R1262" s="6" t="s">
        <v>4096</v>
      </c>
      <c r="S1262" s="5"/>
      <c r="T1262" s="1" t="str">
        <f>IFERROR(__xludf.DUMMYFUNCTION("INDEX(SPLIT(A1262, ""/""), 2)"),"کانون‌های فرهنگی هنری")</f>
        <v>کانون‌های فرهنگی هنری</v>
      </c>
      <c r="U1262" s="1" t="str">
        <f>IFERROR(__xludf.DUMMYFUNCTION("INDEX(SPLIT(A1262, ""/""), 3)"),"روزنامه شریف")</f>
        <v>روزنامه شریف</v>
      </c>
      <c r="V1262" s="1" t="str">
        <f>IFERROR(__xludf.DUMMYFUNCTION("INDEX(SPLIT(A1262, ""/""), 4)"),"#REF!")</f>
        <v>#REF!</v>
      </c>
    </row>
    <row r="1263">
      <c r="A1263" s="1" t="s">
        <v>4070</v>
      </c>
      <c r="B1263" s="1" t="s">
        <v>2311</v>
      </c>
      <c r="C1263" s="1" t="s">
        <v>21</v>
      </c>
      <c r="D1263" s="4" t="s">
        <v>4097</v>
      </c>
      <c r="E1263" s="1" t="s">
        <v>4072</v>
      </c>
      <c r="F1263" s="1" t="s">
        <v>4073</v>
      </c>
      <c r="G1263" s="1" t="s">
        <v>71</v>
      </c>
      <c r="H1263" s="1" t="s">
        <v>4098</v>
      </c>
      <c r="I1263" s="1" t="str">
        <f t="shared" si="1"/>
        <v>22</v>
      </c>
      <c r="J1263" s="5"/>
      <c r="K1263" s="1" t="str">
        <f t="shared" si="2"/>
        <v>3</v>
      </c>
      <c r="L1263" s="5"/>
      <c r="M1263" s="2" t="str">
        <f t="shared" si="3"/>
        <v>1380</v>
      </c>
      <c r="N1263" s="1"/>
      <c r="O1263" s="13">
        <v>13.0</v>
      </c>
      <c r="P1263" s="5"/>
      <c r="Q1263" s="5"/>
      <c r="R1263" s="6" t="s">
        <v>4098</v>
      </c>
      <c r="S1263" s="5"/>
      <c r="T1263" s="1" t="str">
        <f>IFERROR(__xludf.DUMMYFUNCTION("INDEX(SPLIT(A1263, ""/""), 2)"),"کانون‌های فرهنگی هنری")</f>
        <v>کانون‌های فرهنگی هنری</v>
      </c>
      <c r="U1263" s="1" t="str">
        <f>IFERROR(__xludf.DUMMYFUNCTION("INDEX(SPLIT(A1263, ""/""), 3)"),"روزنامه شریف")</f>
        <v>روزنامه شریف</v>
      </c>
      <c r="V1263" s="1" t="str">
        <f>IFERROR(__xludf.DUMMYFUNCTION("INDEX(SPLIT(A1263, ""/""), 4)"),"#REF!")</f>
        <v>#REF!</v>
      </c>
    </row>
    <row r="1264">
      <c r="A1264" s="1" t="s">
        <v>4070</v>
      </c>
      <c r="B1264" s="1" t="s">
        <v>2315</v>
      </c>
      <c r="C1264" s="1" t="s">
        <v>21</v>
      </c>
      <c r="D1264" s="4" t="s">
        <v>4099</v>
      </c>
      <c r="E1264" s="1" t="s">
        <v>4072</v>
      </c>
      <c r="F1264" s="1" t="s">
        <v>4073</v>
      </c>
      <c r="G1264" s="1" t="s">
        <v>71</v>
      </c>
      <c r="H1264" s="1" t="s">
        <v>4100</v>
      </c>
      <c r="I1264" s="1" t="str">
        <f t="shared" si="1"/>
        <v>26</v>
      </c>
      <c r="J1264" s="5"/>
      <c r="K1264" s="1" t="str">
        <f t="shared" si="2"/>
        <v>3</v>
      </c>
      <c r="L1264" s="5"/>
      <c r="M1264" s="2" t="str">
        <f t="shared" si="3"/>
        <v>1380</v>
      </c>
      <c r="N1264" s="1"/>
      <c r="O1264" s="13">
        <v>14.0</v>
      </c>
      <c r="P1264" s="5"/>
      <c r="Q1264" s="5"/>
      <c r="R1264" s="6" t="s">
        <v>4100</v>
      </c>
      <c r="S1264" s="5"/>
      <c r="T1264" s="1" t="str">
        <f>IFERROR(__xludf.DUMMYFUNCTION("INDEX(SPLIT(A1264, ""/""), 2)"),"کانون‌های فرهنگی هنری")</f>
        <v>کانون‌های فرهنگی هنری</v>
      </c>
      <c r="U1264" s="1" t="str">
        <f>IFERROR(__xludf.DUMMYFUNCTION("INDEX(SPLIT(A1264, ""/""), 3)"),"روزنامه شریف")</f>
        <v>روزنامه شریف</v>
      </c>
      <c r="V1264" s="1" t="str">
        <f>IFERROR(__xludf.DUMMYFUNCTION("INDEX(SPLIT(A1264, ""/""), 4)"),"#REF!")</f>
        <v>#REF!</v>
      </c>
    </row>
    <row r="1265">
      <c r="A1265" s="1" t="s">
        <v>4070</v>
      </c>
      <c r="B1265" s="1" t="s">
        <v>2319</v>
      </c>
      <c r="C1265" s="1" t="s">
        <v>21</v>
      </c>
      <c r="D1265" s="4" t="s">
        <v>4101</v>
      </c>
      <c r="E1265" s="1" t="s">
        <v>4072</v>
      </c>
      <c r="F1265" s="1" t="s">
        <v>4073</v>
      </c>
      <c r="G1265" s="1" t="s">
        <v>71</v>
      </c>
      <c r="H1265" s="1" t="s">
        <v>4102</v>
      </c>
      <c r="I1265" s="1" t="str">
        <f t="shared" si="1"/>
        <v>15</v>
      </c>
      <c r="J1265" s="5"/>
      <c r="K1265" s="1" t="str">
        <f t="shared" si="2"/>
        <v>5</v>
      </c>
      <c r="L1265" s="5"/>
      <c r="M1265" s="2" t="str">
        <f t="shared" si="3"/>
        <v>1380</v>
      </c>
      <c r="N1265" s="1"/>
      <c r="O1265" s="13">
        <v>15.0</v>
      </c>
      <c r="P1265" s="5"/>
      <c r="Q1265" s="5"/>
      <c r="R1265" s="6" t="s">
        <v>4102</v>
      </c>
      <c r="S1265" s="5"/>
      <c r="T1265" s="1" t="str">
        <f>IFERROR(__xludf.DUMMYFUNCTION("INDEX(SPLIT(A1265, ""/""), 2)"),"کانون‌های فرهنگی هنری")</f>
        <v>کانون‌های فرهنگی هنری</v>
      </c>
      <c r="U1265" s="1" t="str">
        <f>IFERROR(__xludf.DUMMYFUNCTION("INDEX(SPLIT(A1265, ""/""), 3)"),"روزنامه شریف")</f>
        <v>روزنامه شریف</v>
      </c>
      <c r="V1265" s="1" t="str">
        <f>IFERROR(__xludf.DUMMYFUNCTION("INDEX(SPLIT(A1265, ""/""), 4)"),"#REF!")</f>
        <v>#REF!</v>
      </c>
    </row>
    <row r="1266">
      <c r="A1266" s="1" t="s">
        <v>4070</v>
      </c>
      <c r="B1266" s="1" t="s">
        <v>4103</v>
      </c>
      <c r="C1266" s="1" t="s">
        <v>21</v>
      </c>
      <c r="D1266" s="4" t="s">
        <v>4104</v>
      </c>
      <c r="E1266" s="1" t="s">
        <v>4072</v>
      </c>
      <c r="F1266" s="1" t="s">
        <v>4073</v>
      </c>
      <c r="G1266" s="1" t="s">
        <v>71</v>
      </c>
      <c r="H1266" s="1" t="s">
        <v>4105</v>
      </c>
      <c r="I1266" s="1" t="str">
        <f t="shared" si="1"/>
        <v>31</v>
      </c>
      <c r="J1266" s="5"/>
      <c r="K1266" s="1" t="str">
        <f t="shared" si="2"/>
        <v>6</v>
      </c>
      <c r="L1266" s="5"/>
      <c r="M1266" s="2" t="str">
        <f t="shared" si="3"/>
        <v>1380</v>
      </c>
      <c r="N1266" s="1"/>
      <c r="O1266" s="13">
        <v>17.0</v>
      </c>
      <c r="P1266" s="5"/>
      <c r="Q1266" s="5"/>
      <c r="R1266" s="6" t="s">
        <v>4105</v>
      </c>
      <c r="S1266" s="5"/>
      <c r="T1266" s="1" t="str">
        <f>IFERROR(__xludf.DUMMYFUNCTION("INDEX(SPLIT(A1266, ""/""), 2)"),"کانون‌های فرهنگی هنری")</f>
        <v>کانون‌های فرهنگی هنری</v>
      </c>
      <c r="U1266" s="1" t="str">
        <f>IFERROR(__xludf.DUMMYFUNCTION("INDEX(SPLIT(A1266, ""/""), 3)"),"روزنامه شریف")</f>
        <v>روزنامه شریف</v>
      </c>
      <c r="V1266" s="1" t="str">
        <f>IFERROR(__xludf.DUMMYFUNCTION("INDEX(SPLIT(A1266, ""/""), 4)"),"#REF!")</f>
        <v>#REF!</v>
      </c>
    </row>
    <row r="1267">
      <c r="A1267" s="1" t="s">
        <v>4070</v>
      </c>
      <c r="B1267" s="1" t="s">
        <v>4106</v>
      </c>
      <c r="C1267" s="1" t="s">
        <v>21</v>
      </c>
      <c r="D1267" s="4" t="s">
        <v>4107</v>
      </c>
      <c r="E1267" s="1" t="s">
        <v>4072</v>
      </c>
      <c r="F1267" s="1" t="s">
        <v>4073</v>
      </c>
      <c r="G1267" s="1" t="s">
        <v>71</v>
      </c>
      <c r="H1267" s="7" t="s">
        <v>4108</v>
      </c>
      <c r="I1267" s="1" t="str">
        <f t="shared" si="1"/>
        <v>7</v>
      </c>
      <c r="J1267" s="5"/>
      <c r="K1267" s="1" t="str">
        <f t="shared" si="2"/>
        <v>7</v>
      </c>
      <c r="L1267" s="5"/>
      <c r="M1267" s="2" t="str">
        <f t="shared" si="3"/>
        <v>1380</v>
      </c>
      <c r="N1267" s="5"/>
      <c r="O1267" s="13">
        <v>18.0</v>
      </c>
      <c r="P1267" s="5"/>
      <c r="Q1267" s="5"/>
      <c r="R1267" s="8" t="s">
        <v>4108</v>
      </c>
      <c r="S1267" s="5"/>
      <c r="T1267" s="1" t="str">
        <f>IFERROR(__xludf.DUMMYFUNCTION("INDEX(SPLIT(A1267, ""/""), 2)"),"کانون‌های فرهنگی هنری")</f>
        <v>کانون‌های فرهنگی هنری</v>
      </c>
      <c r="U1267" s="1" t="str">
        <f>IFERROR(__xludf.DUMMYFUNCTION("INDEX(SPLIT(A1267, ""/""), 3)"),"روزنامه شریف")</f>
        <v>روزنامه شریف</v>
      </c>
      <c r="V1267" s="1" t="str">
        <f>IFERROR(__xludf.DUMMYFUNCTION("INDEX(SPLIT(A1267, ""/""), 4)"),"#REF!")</f>
        <v>#REF!</v>
      </c>
    </row>
    <row r="1268">
      <c r="A1268" s="1" t="s">
        <v>4070</v>
      </c>
      <c r="B1268" s="1" t="s">
        <v>4109</v>
      </c>
      <c r="C1268" s="1" t="s">
        <v>21</v>
      </c>
      <c r="D1268" s="4" t="s">
        <v>4110</v>
      </c>
      <c r="E1268" s="1" t="s">
        <v>4072</v>
      </c>
      <c r="F1268" s="1" t="s">
        <v>4073</v>
      </c>
      <c r="G1268" s="1" t="s">
        <v>71</v>
      </c>
      <c r="H1268" s="7" t="s">
        <v>4111</v>
      </c>
      <c r="I1268" s="1" t="str">
        <f t="shared" si="1"/>
        <v>10</v>
      </c>
      <c r="J1268" s="5"/>
      <c r="K1268" s="1" t="str">
        <f t="shared" si="2"/>
        <v>7</v>
      </c>
      <c r="L1268" s="5"/>
      <c r="M1268" s="2" t="str">
        <f t="shared" si="3"/>
        <v>1380</v>
      </c>
      <c r="N1268" s="1"/>
      <c r="O1268" s="13">
        <v>19.0</v>
      </c>
      <c r="P1268" s="5"/>
      <c r="Q1268" s="5"/>
      <c r="R1268" s="8" t="s">
        <v>4111</v>
      </c>
      <c r="S1268" s="5"/>
      <c r="T1268" s="1" t="str">
        <f>IFERROR(__xludf.DUMMYFUNCTION("INDEX(SPLIT(A1268, ""/""), 2)"),"کانون‌های فرهنگی هنری")</f>
        <v>کانون‌های فرهنگی هنری</v>
      </c>
      <c r="U1268" s="1" t="str">
        <f>IFERROR(__xludf.DUMMYFUNCTION("INDEX(SPLIT(A1268, ""/""), 3)"),"روزنامه شریف")</f>
        <v>روزنامه شریف</v>
      </c>
      <c r="V1268" s="1" t="str">
        <f>IFERROR(__xludf.DUMMYFUNCTION("INDEX(SPLIT(A1268, ""/""), 4)"),"#REF!")</f>
        <v>#REF!</v>
      </c>
    </row>
    <row r="1269">
      <c r="A1269" s="1" t="s">
        <v>4070</v>
      </c>
      <c r="B1269" s="1" t="s">
        <v>832</v>
      </c>
      <c r="C1269" s="1" t="s">
        <v>21</v>
      </c>
      <c r="D1269" s="4" t="s">
        <v>4112</v>
      </c>
      <c r="E1269" s="1" t="s">
        <v>4072</v>
      </c>
      <c r="F1269" s="1" t="s">
        <v>4073</v>
      </c>
      <c r="G1269" s="1" t="s">
        <v>71</v>
      </c>
      <c r="H1269" s="1" t="s">
        <v>4113</v>
      </c>
      <c r="I1269" s="1" t="str">
        <f t="shared" si="1"/>
        <v>14</v>
      </c>
      <c r="J1269" s="5"/>
      <c r="K1269" s="1" t="str">
        <f t="shared" si="2"/>
        <v>7</v>
      </c>
      <c r="L1269" s="5"/>
      <c r="M1269" s="2" t="str">
        <f t="shared" si="3"/>
        <v>1380</v>
      </c>
      <c r="N1269" s="1"/>
      <c r="O1269" s="13">
        <v>20.0</v>
      </c>
      <c r="P1269" s="5"/>
      <c r="Q1269" s="5"/>
      <c r="R1269" s="6" t="s">
        <v>4113</v>
      </c>
      <c r="S1269" s="5"/>
      <c r="T1269" s="1" t="str">
        <f>IFERROR(__xludf.DUMMYFUNCTION("INDEX(SPLIT(A1269, ""/""), 2)"),"کانون‌های فرهنگی هنری")</f>
        <v>کانون‌های فرهنگی هنری</v>
      </c>
      <c r="U1269" s="1" t="str">
        <f>IFERROR(__xludf.DUMMYFUNCTION("INDEX(SPLIT(A1269, ""/""), 3)"),"روزنامه شریف")</f>
        <v>روزنامه شریف</v>
      </c>
      <c r="V1269" s="1" t="str">
        <f>IFERROR(__xludf.DUMMYFUNCTION("INDEX(SPLIT(A1269, ""/""), 4)"),"#REF!")</f>
        <v>#REF!</v>
      </c>
    </row>
    <row r="1270">
      <c r="A1270" s="1" t="s">
        <v>4070</v>
      </c>
      <c r="B1270" s="1" t="s">
        <v>1592</v>
      </c>
      <c r="C1270" s="1" t="s">
        <v>21</v>
      </c>
      <c r="D1270" s="4" t="s">
        <v>4114</v>
      </c>
      <c r="E1270" s="1" t="s">
        <v>4072</v>
      </c>
      <c r="F1270" s="1" t="s">
        <v>4073</v>
      </c>
      <c r="G1270" s="1" t="s">
        <v>71</v>
      </c>
      <c r="H1270" s="1" t="s">
        <v>4115</v>
      </c>
      <c r="I1270" s="1" t="str">
        <f t="shared" si="1"/>
        <v>17</v>
      </c>
      <c r="J1270" s="5"/>
      <c r="K1270" s="1" t="str">
        <f t="shared" si="2"/>
        <v>7</v>
      </c>
      <c r="L1270" s="5"/>
      <c r="M1270" s="2" t="str">
        <f t="shared" si="3"/>
        <v>1380</v>
      </c>
      <c r="N1270" s="1"/>
      <c r="O1270" s="13">
        <v>21.0</v>
      </c>
      <c r="P1270" s="5"/>
      <c r="Q1270" s="5"/>
      <c r="R1270" s="6" t="s">
        <v>4115</v>
      </c>
      <c r="S1270" s="5"/>
      <c r="T1270" s="1" t="str">
        <f>IFERROR(__xludf.DUMMYFUNCTION("INDEX(SPLIT(A1270, ""/""), 2)"),"کانون‌های فرهنگی هنری")</f>
        <v>کانون‌های فرهنگی هنری</v>
      </c>
      <c r="U1270" s="1" t="str">
        <f>IFERROR(__xludf.DUMMYFUNCTION("INDEX(SPLIT(A1270, ""/""), 3)"),"روزنامه شریف")</f>
        <v>روزنامه شریف</v>
      </c>
      <c r="V1270" s="1" t="str">
        <f>IFERROR(__xludf.DUMMYFUNCTION("INDEX(SPLIT(A1270, ""/""), 4)"),"#REF!")</f>
        <v>#REF!</v>
      </c>
    </row>
    <row r="1271">
      <c r="A1271" s="1" t="s">
        <v>4070</v>
      </c>
      <c r="B1271" s="1" t="s">
        <v>836</v>
      </c>
      <c r="C1271" s="1" t="s">
        <v>21</v>
      </c>
      <c r="D1271" s="4" t="s">
        <v>4116</v>
      </c>
      <c r="E1271" s="1" t="s">
        <v>4072</v>
      </c>
      <c r="F1271" s="1" t="s">
        <v>4073</v>
      </c>
      <c r="G1271" s="1" t="s">
        <v>71</v>
      </c>
      <c r="H1271" s="1" t="s">
        <v>4117</v>
      </c>
      <c r="I1271" s="1" t="str">
        <f t="shared" si="1"/>
        <v>21</v>
      </c>
      <c r="J1271" s="5"/>
      <c r="K1271" s="1" t="str">
        <f t="shared" si="2"/>
        <v>7</v>
      </c>
      <c r="L1271" s="5"/>
      <c r="M1271" s="2" t="str">
        <f t="shared" si="3"/>
        <v>1380</v>
      </c>
      <c r="N1271" s="1"/>
      <c r="O1271" s="13">
        <v>22.0</v>
      </c>
      <c r="P1271" s="5"/>
      <c r="Q1271" s="5"/>
      <c r="R1271" s="6" t="s">
        <v>4117</v>
      </c>
      <c r="S1271" s="5"/>
      <c r="T1271" s="1" t="str">
        <f>IFERROR(__xludf.DUMMYFUNCTION("INDEX(SPLIT(A1271, ""/""), 2)"),"کانون‌های فرهنگی هنری")</f>
        <v>کانون‌های فرهنگی هنری</v>
      </c>
      <c r="U1271" s="1" t="str">
        <f>IFERROR(__xludf.DUMMYFUNCTION("INDEX(SPLIT(A1271, ""/""), 3)"),"روزنامه شریف")</f>
        <v>روزنامه شریف</v>
      </c>
      <c r="V1271" s="1" t="str">
        <f>IFERROR(__xludf.DUMMYFUNCTION("INDEX(SPLIT(A1271, ""/""), 4)"),"#REF!")</f>
        <v>#REF!</v>
      </c>
    </row>
    <row r="1272">
      <c r="A1272" s="1" t="s">
        <v>4070</v>
      </c>
      <c r="B1272" s="1" t="s">
        <v>4118</v>
      </c>
      <c r="C1272" s="1" t="s">
        <v>21</v>
      </c>
      <c r="D1272" s="4" t="s">
        <v>4119</v>
      </c>
      <c r="E1272" s="1" t="s">
        <v>4072</v>
      </c>
      <c r="F1272" s="1" t="s">
        <v>4073</v>
      </c>
      <c r="G1272" s="1" t="s">
        <v>71</v>
      </c>
      <c r="H1272" s="1" t="s">
        <v>4120</v>
      </c>
      <c r="I1272" s="1" t="str">
        <f t="shared" si="1"/>
        <v>24</v>
      </c>
      <c r="J1272" s="5"/>
      <c r="K1272" s="1" t="str">
        <f t="shared" si="2"/>
        <v>7</v>
      </c>
      <c r="L1272" s="5"/>
      <c r="M1272" s="2" t="str">
        <f t="shared" si="3"/>
        <v>1380</v>
      </c>
      <c r="N1272" s="1"/>
      <c r="O1272" s="13">
        <v>23.0</v>
      </c>
      <c r="P1272" s="5"/>
      <c r="Q1272" s="5"/>
      <c r="R1272" s="6" t="s">
        <v>4120</v>
      </c>
      <c r="S1272" s="5"/>
      <c r="T1272" s="1" t="str">
        <f>IFERROR(__xludf.DUMMYFUNCTION("INDEX(SPLIT(A1272, ""/""), 2)"),"کانون‌های فرهنگی هنری")</f>
        <v>کانون‌های فرهنگی هنری</v>
      </c>
      <c r="U1272" s="1" t="str">
        <f>IFERROR(__xludf.DUMMYFUNCTION("INDEX(SPLIT(A1272, ""/""), 3)"),"روزنامه شریف")</f>
        <v>روزنامه شریف</v>
      </c>
      <c r="V1272" s="1" t="str">
        <f>IFERROR(__xludf.DUMMYFUNCTION("INDEX(SPLIT(A1272, ""/""), 4)"),"#REF!")</f>
        <v>#REF!</v>
      </c>
    </row>
    <row r="1273">
      <c r="A1273" s="1" t="s">
        <v>4070</v>
      </c>
      <c r="B1273" s="1" t="s">
        <v>840</v>
      </c>
      <c r="C1273" s="1" t="s">
        <v>21</v>
      </c>
      <c r="D1273" s="4" t="s">
        <v>4121</v>
      </c>
      <c r="E1273" s="1" t="s">
        <v>4072</v>
      </c>
      <c r="F1273" s="1" t="s">
        <v>4073</v>
      </c>
      <c r="G1273" s="1" t="s">
        <v>71</v>
      </c>
      <c r="H1273" s="1" t="s">
        <v>4122</v>
      </c>
      <c r="I1273" s="1" t="str">
        <f t="shared" si="1"/>
        <v>28</v>
      </c>
      <c r="J1273" s="5"/>
      <c r="K1273" s="1" t="str">
        <f t="shared" si="2"/>
        <v>7</v>
      </c>
      <c r="L1273" s="5"/>
      <c r="M1273" s="2" t="str">
        <f t="shared" si="3"/>
        <v>1380</v>
      </c>
      <c r="N1273" s="1"/>
      <c r="O1273" s="13">
        <v>24.0</v>
      </c>
      <c r="P1273" s="5"/>
      <c r="Q1273" s="5"/>
      <c r="R1273" s="6" t="s">
        <v>4122</v>
      </c>
      <c r="S1273" s="5"/>
      <c r="T1273" s="1" t="str">
        <f>IFERROR(__xludf.DUMMYFUNCTION("INDEX(SPLIT(A1273, ""/""), 2)"),"کانون‌های فرهنگی هنری")</f>
        <v>کانون‌های فرهنگی هنری</v>
      </c>
      <c r="U1273" s="1" t="str">
        <f>IFERROR(__xludf.DUMMYFUNCTION("INDEX(SPLIT(A1273, ""/""), 3)"),"روزنامه شریف")</f>
        <v>روزنامه شریف</v>
      </c>
      <c r="V1273" s="1" t="str">
        <f>IFERROR(__xludf.DUMMYFUNCTION("INDEX(SPLIT(A1273, ""/""), 4)"),"#REF!")</f>
        <v>#REF!</v>
      </c>
    </row>
    <row r="1274">
      <c r="A1274" s="1" t="s">
        <v>4070</v>
      </c>
      <c r="B1274" s="1" t="s">
        <v>845</v>
      </c>
      <c r="C1274" s="1" t="s">
        <v>21</v>
      </c>
      <c r="D1274" s="4" t="s">
        <v>4123</v>
      </c>
      <c r="E1274" s="1" t="s">
        <v>4072</v>
      </c>
      <c r="F1274" s="1" t="s">
        <v>4073</v>
      </c>
      <c r="G1274" s="1" t="s">
        <v>71</v>
      </c>
      <c r="H1274" s="7" t="s">
        <v>4124</v>
      </c>
      <c r="I1274" s="1" t="str">
        <f t="shared" si="1"/>
        <v>1</v>
      </c>
      <c r="J1274" s="5"/>
      <c r="K1274" s="1" t="str">
        <f t="shared" si="2"/>
        <v>8</v>
      </c>
      <c r="L1274" s="5"/>
      <c r="M1274" s="2" t="str">
        <f t="shared" si="3"/>
        <v>1380</v>
      </c>
      <c r="N1274" s="1"/>
      <c r="O1274" s="13">
        <v>25.0</v>
      </c>
      <c r="P1274" s="5"/>
      <c r="Q1274" s="5"/>
      <c r="R1274" s="8" t="s">
        <v>4124</v>
      </c>
      <c r="S1274" s="5"/>
      <c r="T1274" s="1" t="str">
        <f>IFERROR(__xludf.DUMMYFUNCTION("INDEX(SPLIT(A1274, ""/""), 2)"),"کانون‌های فرهنگی هنری")</f>
        <v>کانون‌های فرهنگی هنری</v>
      </c>
      <c r="U1274" s="1" t="str">
        <f>IFERROR(__xludf.DUMMYFUNCTION("INDEX(SPLIT(A1274, ""/""), 3)"),"روزنامه شریف")</f>
        <v>روزنامه شریف</v>
      </c>
      <c r="V1274" s="1" t="str">
        <f>IFERROR(__xludf.DUMMYFUNCTION("INDEX(SPLIT(A1274, ""/""), 4)"),"#REF!")</f>
        <v>#REF!</v>
      </c>
    </row>
    <row r="1275">
      <c r="A1275" s="1" t="s">
        <v>4070</v>
      </c>
      <c r="B1275" s="1" t="s">
        <v>850</v>
      </c>
      <c r="C1275" s="1" t="s">
        <v>21</v>
      </c>
      <c r="D1275" s="4" t="s">
        <v>4125</v>
      </c>
      <c r="E1275" s="1" t="s">
        <v>4072</v>
      </c>
      <c r="F1275" s="1" t="s">
        <v>4073</v>
      </c>
      <c r="G1275" s="1" t="s">
        <v>71</v>
      </c>
      <c r="H1275" s="7" t="s">
        <v>4126</v>
      </c>
      <c r="I1275" s="1" t="str">
        <f t="shared" si="1"/>
        <v>5</v>
      </c>
      <c r="J1275" s="5"/>
      <c r="K1275" s="1" t="str">
        <f t="shared" si="2"/>
        <v>8</v>
      </c>
      <c r="L1275" s="5"/>
      <c r="M1275" s="2" t="str">
        <f t="shared" si="3"/>
        <v>1380</v>
      </c>
      <c r="N1275" s="1"/>
      <c r="O1275" s="13">
        <v>26.0</v>
      </c>
      <c r="P1275" s="5"/>
      <c r="Q1275" s="5"/>
      <c r="R1275" s="8" t="s">
        <v>4126</v>
      </c>
      <c r="S1275" s="5"/>
      <c r="T1275" s="1" t="str">
        <f>IFERROR(__xludf.DUMMYFUNCTION("INDEX(SPLIT(A1275, ""/""), 2)"),"کانون‌های فرهنگی هنری")</f>
        <v>کانون‌های فرهنگی هنری</v>
      </c>
      <c r="U1275" s="1" t="str">
        <f>IFERROR(__xludf.DUMMYFUNCTION("INDEX(SPLIT(A1275, ""/""), 3)"),"روزنامه شریف")</f>
        <v>روزنامه شریف</v>
      </c>
      <c r="V1275" s="1" t="str">
        <f>IFERROR(__xludf.DUMMYFUNCTION("INDEX(SPLIT(A1275, ""/""), 4)"),"#REF!")</f>
        <v>#REF!</v>
      </c>
    </row>
    <row r="1276">
      <c r="A1276" s="1" t="s">
        <v>4070</v>
      </c>
      <c r="B1276" s="1" t="s">
        <v>854</v>
      </c>
      <c r="C1276" s="1" t="s">
        <v>21</v>
      </c>
      <c r="D1276" s="4" t="s">
        <v>4127</v>
      </c>
      <c r="E1276" s="1" t="s">
        <v>4072</v>
      </c>
      <c r="F1276" s="1" t="s">
        <v>4073</v>
      </c>
      <c r="G1276" s="1" t="s">
        <v>71</v>
      </c>
      <c r="H1276" s="7" t="s">
        <v>4128</v>
      </c>
      <c r="I1276" s="1" t="str">
        <f t="shared" si="1"/>
        <v>8</v>
      </c>
      <c r="J1276" s="5"/>
      <c r="K1276" s="1" t="str">
        <f t="shared" si="2"/>
        <v>8</v>
      </c>
      <c r="L1276" s="5"/>
      <c r="M1276" s="2" t="str">
        <f t="shared" si="3"/>
        <v>1380</v>
      </c>
      <c r="N1276" s="1"/>
      <c r="O1276" s="13">
        <v>27.0</v>
      </c>
      <c r="P1276" s="5"/>
      <c r="Q1276" s="5"/>
      <c r="R1276" s="8" t="s">
        <v>4128</v>
      </c>
      <c r="S1276" s="5"/>
      <c r="T1276" s="1" t="str">
        <f>IFERROR(__xludf.DUMMYFUNCTION("INDEX(SPLIT(A1276, ""/""), 2)"),"کانون‌های فرهنگی هنری")</f>
        <v>کانون‌های فرهنگی هنری</v>
      </c>
      <c r="U1276" s="1" t="str">
        <f>IFERROR(__xludf.DUMMYFUNCTION("INDEX(SPLIT(A1276, ""/""), 3)"),"روزنامه شریف")</f>
        <v>روزنامه شریف</v>
      </c>
      <c r="V1276" s="1" t="str">
        <f>IFERROR(__xludf.DUMMYFUNCTION("INDEX(SPLIT(A1276, ""/""), 4)"),"#REF!")</f>
        <v>#REF!</v>
      </c>
    </row>
    <row r="1277">
      <c r="A1277" s="1" t="s">
        <v>4070</v>
      </c>
      <c r="B1277" s="1" t="s">
        <v>858</v>
      </c>
      <c r="C1277" s="1" t="s">
        <v>21</v>
      </c>
      <c r="D1277" s="4" t="s">
        <v>4129</v>
      </c>
      <c r="E1277" s="1" t="s">
        <v>4072</v>
      </c>
      <c r="F1277" s="1" t="s">
        <v>4073</v>
      </c>
      <c r="G1277" s="1" t="s">
        <v>71</v>
      </c>
      <c r="H1277" s="7" t="s">
        <v>4130</v>
      </c>
      <c r="I1277" s="1" t="str">
        <f t="shared" si="1"/>
        <v>12</v>
      </c>
      <c r="J1277" s="5"/>
      <c r="K1277" s="1" t="str">
        <f t="shared" si="2"/>
        <v>8</v>
      </c>
      <c r="L1277" s="5"/>
      <c r="M1277" s="2" t="str">
        <f t="shared" si="3"/>
        <v>1380</v>
      </c>
      <c r="N1277" s="1"/>
      <c r="O1277" s="13">
        <v>28.0</v>
      </c>
      <c r="P1277" s="5"/>
      <c r="Q1277" s="5"/>
      <c r="R1277" s="8" t="s">
        <v>4130</v>
      </c>
      <c r="S1277" s="5"/>
      <c r="T1277" s="1" t="str">
        <f>IFERROR(__xludf.DUMMYFUNCTION("INDEX(SPLIT(A1277, ""/""), 2)"),"کانون‌های فرهنگی هنری")</f>
        <v>کانون‌های فرهنگی هنری</v>
      </c>
      <c r="U1277" s="1" t="str">
        <f>IFERROR(__xludf.DUMMYFUNCTION("INDEX(SPLIT(A1277, ""/""), 3)"),"روزنامه شریف")</f>
        <v>روزنامه شریف</v>
      </c>
      <c r="V1277" s="1" t="str">
        <f>IFERROR(__xludf.DUMMYFUNCTION("INDEX(SPLIT(A1277, ""/""), 4)"),"#REF!")</f>
        <v>#REF!</v>
      </c>
    </row>
    <row r="1278">
      <c r="A1278" s="1" t="s">
        <v>4070</v>
      </c>
      <c r="B1278" s="1" t="s">
        <v>4131</v>
      </c>
      <c r="C1278" s="1" t="s">
        <v>21</v>
      </c>
      <c r="D1278" s="4" t="s">
        <v>4132</v>
      </c>
      <c r="E1278" s="1" t="s">
        <v>4072</v>
      </c>
      <c r="F1278" s="1" t="s">
        <v>4073</v>
      </c>
      <c r="G1278" s="1" t="s">
        <v>71</v>
      </c>
      <c r="H1278" s="1" t="s">
        <v>4133</v>
      </c>
      <c r="I1278" s="1" t="str">
        <f t="shared" si="1"/>
        <v>19</v>
      </c>
      <c r="J1278" s="5"/>
      <c r="K1278" s="1" t="str">
        <f t="shared" si="2"/>
        <v>8</v>
      </c>
      <c r="L1278" s="5"/>
      <c r="M1278" s="2" t="str">
        <f t="shared" si="3"/>
        <v>1380</v>
      </c>
      <c r="N1278" s="1"/>
      <c r="O1278" s="13">
        <v>29.0</v>
      </c>
      <c r="P1278" s="5"/>
      <c r="Q1278" s="5"/>
      <c r="R1278" s="6" t="s">
        <v>4133</v>
      </c>
      <c r="S1278" s="5"/>
      <c r="T1278" s="1" t="str">
        <f>IFERROR(__xludf.DUMMYFUNCTION("INDEX(SPLIT(A1278, ""/""), 2)"),"کانون‌های فرهنگی هنری")</f>
        <v>کانون‌های فرهنگی هنری</v>
      </c>
      <c r="U1278" s="1" t="str">
        <f>IFERROR(__xludf.DUMMYFUNCTION("INDEX(SPLIT(A1278, ""/""), 3)"),"روزنامه شریف")</f>
        <v>روزنامه شریف</v>
      </c>
      <c r="V1278" s="1" t="str">
        <f>IFERROR(__xludf.DUMMYFUNCTION("INDEX(SPLIT(A1278, ""/""), 4)"),"#REF!")</f>
        <v>#REF!</v>
      </c>
    </row>
    <row r="1279">
      <c r="A1279" s="1" t="s">
        <v>4070</v>
      </c>
      <c r="B1279" s="1" t="s">
        <v>4134</v>
      </c>
      <c r="C1279" s="1" t="s">
        <v>21</v>
      </c>
      <c r="D1279" s="4" t="s">
        <v>4135</v>
      </c>
      <c r="E1279" s="1" t="s">
        <v>4072</v>
      </c>
      <c r="F1279" s="1" t="s">
        <v>4073</v>
      </c>
      <c r="G1279" s="1" t="s">
        <v>71</v>
      </c>
      <c r="H1279" s="1" t="s">
        <v>4136</v>
      </c>
      <c r="I1279" s="1" t="str">
        <f t="shared" si="1"/>
        <v>22</v>
      </c>
      <c r="J1279" s="5"/>
      <c r="K1279" s="1" t="str">
        <f t="shared" si="2"/>
        <v>8</v>
      </c>
      <c r="L1279" s="5"/>
      <c r="M1279" s="2" t="str">
        <f t="shared" si="3"/>
        <v>1380</v>
      </c>
      <c r="N1279" s="1"/>
      <c r="O1279" s="13">
        <v>30.0</v>
      </c>
      <c r="P1279" s="5"/>
      <c r="Q1279" s="5"/>
      <c r="R1279" s="6" t="s">
        <v>4136</v>
      </c>
      <c r="S1279" s="5"/>
      <c r="T1279" s="1" t="str">
        <f>IFERROR(__xludf.DUMMYFUNCTION("INDEX(SPLIT(A1279, ""/""), 2)"),"کانون‌های فرهنگی هنری")</f>
        <v>کانون‌های فرهنگی هنری</v>
      </c>
      <c r="U1279" s="1" t="str">
        <f>IFERROR(__xludf.DUMMYFUNCTION("INDEX(SPLIT(A1279, ""/""), 3)"),"روزنامه شریف")</f>
        <v>روزنامه شریف</v>
      </c>
      <c r="V1279" s="1" t="str">
        <f>IFERROR(__xludf.DUMMYFUNCTION("INDEX(SPLIT(A1279, ""/""), 4)"),"#REF!")</f>
        <v>#REF!</v>
      </c>
    </row>
    <row r="1280">
      <c r="A1280" s="1" t="s">
        <v>4070</v>
      </c>
      <c r="B1280" s="1" t="s">
        <v>862</v>
      </c>
      <c r="C1280" s="1" t="s">
        <v>21</v>
      </c>
      <c r="D1280" s="4" t="s">
        <v>4137</v>
      </c>
      <c r="E1280" s="1" t="s">
        <v>4072</v>
      </c>
      <c r="F1280" s="1" t="s">
        <v>4073</v>
      </c>
      <c r="G1280" s="1" t="s">
        <v>71</v>
      </c>
      <c r="H1280" s="1" t="s">
        <v>4138</v>
      </c>
      <c r="I1280" s="1" t="str">
        <f t="shared" si="1"/>
        <v>26</v>
      </c>
      <c r="J1280" s="5"/>
      <c r="K1280" s="1" t="str">
        <f t="shared" si="2"/>
        <v>8</v>
      </c>
      <c r="L1280" s="5"/>
      <c r="M1280" s="2" t="str">
        <f t="shared" si="3"/>
        <v>1380</v>
      </c>
      <c r="N1280" s="1"/>
      <c r="O1280" s="13">
        <v>31.0</v>
      </c>
      <c r="P1280" s="5"/>
      <c r="Q1280" s="5"/>
      <c r="R1280" s="6" t="s">
        <v>4138</v>
      </c>
      <c r="S1280" s="5"/>
      <c r="T1280" s="1" t="str">
        <f>IFERROR(__xludf.DUMMYFUNCTION("INDEX(SPLIT(A1280, ""/""), 2)"),"کانون‌های فرهنگی هنری")</f>
        <v>کانون‌های فرهنگی هنری</v>
      </c>
      <c r="U1280" s="1" t="str">
        <f>IFERROR(__xludf.DUMMYFUNCTION("INDEX(SPLIT(A1280, ""/""), 3)"),"روزنامه شریف")</f>
        <v>روزنامه شریف</v>
      </c>
      <c r="V1280" s="1" t="str">
        <f>IFERROR(__xludf.DUMMYFUNCTION("INDEX(SPLIT(A1280, ""/""), 4)"),"#REF!")</f>
        <v>#REF!</v>
      </c>
    </row>
    <row r="1281">
      <c r="A1281" s="1" t="s">
        <v>4070</v>
      </c>
      <c r="B1281" s="1" t="s">
        <v>865</v>
      </c>
      <c r="C1281" s="1" t="s">
        <v>21</v>
      </c>
      <c r="D1281" s="4" t="s">
        <v>4139</v>
      </c>
      <c r="E1281" s="1" t="s">
        <v>4072</v>
      </c>
      <c r="F1281" s="1" t="s">
        <v>4073</v>
      </c>
      <c r="G1281" s="1" t="s">
        <v>71</v>
      </c>
      <c r="H1281" s="1" t="s">
        <v>4140</v>
      </c>
      <c r="I1281" s="1" t="str">
        <f t="shared" si="1"/>
        <v>29</v>
      </c>
      <c r="J1281" s="5"/>
      <c r="K1281" s="1" t="str">
        <f t="shared" si="2"/>
        <v>8</v>
      </c>
      <c r="L1281" s="5"/>
      <c r="M1281" s="2" t="str">
        <f t="shared" si="3"/>
        <v>1380</v>
      </c>
      <c r="N1281" s="5"/>
      <c r="O1281" s="13">
        <v>32.0</v>
      </c>
      <c r="P1281" s="5"/>
      <c r="Q1281" s="5"/>
      <c r="R1281" s="6" t="s">
        <v>4140</v>
      </c>
      <c r="S1281" s="5"/>
      <c r="T1281" s="1" t="str">
        <f>IFERROR(__xludf.DUMMYFUNCTION("INDEX(SPLIT(A1281, ""/""), 2)"),"کانون‌های فرهنگی هنری")</f>
        <v>کانون‌های فرهنگی هنری</v>
      </c>
      <c r="U1281" s="1" t="str">
        <f>IFERROR(__xludf.DUMMYFUNCTION("INDEX(SPLIT(A1281, ""/""), 3)"),"روزنامه شریف")</f>
        <v>روزنامه شریف</v>
      </c>
      <c r="V1281" s="1" t="str">
        <f>IFERROR(__xludf.DUMMYFUNCTION("INDEX(SPLIT(A1281, ""/""), 4)"),"#REF!")</f>
        <v>#REF!</v>
      </c>
    </row>
    <row r="1282">
      <c r="A1282" s="1" t="s">
        <v>4070</v>
      </c>
      <c r="B1282" s="1" t="s">
        <v>867</v>
      </c>
      <c r="C1282" s="1" t="s">
        <v>21</v>
      </c>
      <c r="D1282" s="4" t="s">
        <v>4141</v>
      </c>
      <c r="E1282" s="1" t="s">
        <v>4072</v>
      </c>
      <c r="F1282" s="1" t="s">
        <v>4073</v>
      </c>
      <c r="G1282" s="1" t="s">
        <v>71</v>
      </c>
      <c r="H1282" s="7" t="s">
        <v>4142</v>
      </c>
      <c r="I1282" s="1" t="str">
        <f t="shared" si="1"/>
        <v>3</v>
      </c>
      <c r="J1282" s="5"/>
      <c r="K1282" s="1" t="str">
        <f t="shared" si="2"/>
        <v>9</v>
      </c>
      <c r="L1282" s="5"/>
      <c r="M1282" s="2" t="str">
        <f t="shared" si="3"/>
        <v>1380</v>
      </c>
      <c r="N1282" s="1"/>
      <c r="O1282" s="13">
        <v>33.0</v>
      </c>
      <c r="P1282" s="5"/>
      <c r="Q1282" s="5"/>
      <c r="R1282" s="8" t="s">
        <v>4142</v>
      </c>
      <c r="S1282" s="5"/>
      <c r="T1282" s="1" t="str">
        <f>IFERROR(__xludf.DUMMYFUNCTION("INDEX(SPLIT(A1282, ""/""), 2)"),"کانون‌های فرهنگی هنری")</f>
        <v>کانون‌های فرهنگی هنری</v>
      </c>
      <c r="U1282" s="1" t="str">
        <f>IFERROR(__xludf.DUMMYFUNCTION("INDEX(SPLIT(A1282, ""/""), 3)"),"روزنامه شریف")</f>
        <v>روزنامه شریف</v>
      </c>
      <c r="V1282" s="1" t="str">
        <f>IFERROR(__xludf.DUMMYFUNCTION("INDEX(SPLIT(A1282, ""/""), 4)"),"#REF!")</f>
        <v>#REF!</v>
      </c>
    </row>
    <row r="1283">
      <c r="A1283" s="1" t="s">
        <v>4070</v>
      </c>
      <c r="B1283" s="1" t="s">
        <v>4143</v>
      </c>
      <c r="C1283" s="1" t="s">
        <v>21</v>
      </c>
      <c r="D1283" s="4" t="s">
        <v>4144</v>
      </c>
      <c r="E1283" s="1" t="s">
        <v>4072</v>
      </c>
      <c r="F1283" s="1" t="s">
        <v>4073</v>
      </c>
      <c r="G1283" s="1" t="s">
        <v>71</v>
      </c>
      <c r="H1283" s="7" t="s">
        <v>4145</v>
      </c>
      <c r="I1283" s="1" t="str">
        <f t="shared" si="1"/>
        <v>6</v>
      </c>
      <c r="J1283" s="5"/>
      <c r="K1283" s="1" t="str">
        <f t="shared" si="2"/>
        <v>9</v>
      </c>
      <c r="L1283" s="5"/>
      <c r="M1283" s="2" t="str">
        <f t="shared" si="3"/>
        <v>1380</v>
      </c>
      <c r="N1283" s="1"/>
      <c r="O1283" s="13">
        <v>34.0</v>
      </c>
      <c r="P1283" s="5"/>
      <c r="Q1283" s="5"/>
      <c r="R1283" s="8" t="s">
        <v>4145</v>
      </c>
      <c r="S1283" s="5"/>
      <c r="T1283" s="1" t="str">
        <f>IFERROR(__xludf.DUMMYFUNCTION("INDEX(SPLIT(A1283, ""/""), 2)"),"کانون‌های فرهنگی هنری")</f>
        <v>کانون‌های فرهنگی هنری</v>
      </c>
      <c r="U1283" s="1" t="str">
        <f>IFERROR(__xludf.DUMMYFUNCTION("INDEX(SPLIT(A1283, ""/""), 3)"),"روزنامه شریف")</f>
        <v>روزنامه شریف</v>
      </c>
      <c r="V1283" s="1" t="str">
        <f>IFERROR(__xludf.DUMMYFUNCTION("INDEX(SPLIT(A1283, ""/""), 4)"),"#REF!")</f>
        <v>#REF!</v>
      </c>
    </row>
    <row r="1284">
      <c r="A1284" s="1" t="s">
        <v>4070</v>
      </c>
      <c r="B1284" s="1" t="s">
        <v>877</v>
      </c>
      <c r="C1284" s="1" t="s">
        <v>21</v>
      </c>
      <c r="D1284" s="4" t="s">
        <v>4146</v>
      </c>
      <c r="E1284" s="1" t="s">
        <v>4072</v>
      </c>
      <c r="F1284" s="1" t="s">
        <v>4073</v>
      </c>
      <c r="G1284" s="1" t="s">
        <v>71</v>
      </c>
      <c r="H1284" s="7" t="s">
        <v>4147</v>
      </c>
      <c r="I1284" s="1" t="str">
        <f t="shared" si="1"/>
        <v>10</v>
      </c>
      <c r="J1284" s="5"/>
      <c r="K1284" s="1" t="str">
        <f t="shared" si="2"/>
        <v>9</v>
      </c>
      <c r="L1284" s="5"/>
      <c r="M1284" s="2" t="str">
        <f t="shared" si="3"/>
        <v>1380</v>
      </c>
      <c r="N1284" s="1"/>
      <c r="O1284" s="13">
        <v>35.0</v>
      </c>
      <c r="P1284" s="5"/>
      <c r="Q1284" s="5"/>
      <c r="R1284" s="8" t="s">
        <v>4147</v>
      </c>
      <c r="S1284" s="5"/>
      <c r="T1284" s="1" t="str">
        <f>IFERROR(__xludf.DUMMYFUNCTION("INDEX(SPLIT(A1284, ""/""), 2)"),"کانون‌های فرهنگی هنری")</f>
        <v>کانون‌های فرهنگی هنری</v>
      </c>
      <c r="U1284" s="1" t="str">
        <f>IFERROR(__xludf.DUMMYFUNCTION("INDEX(SPLIT(A1284, ""/""), 3)"),"روزنامه شریف")</f>
        <v>روزنامه شریف</v>
      </c>
      <c r="V1284" s="1" t="str">
        <f>IFERROR(__xludf.DUMMYFUNCTION("INDEX(SPLIT(A1284, ""/""), 4)"),"#REF!")</f>
        <v>#REF!</v>
      </c>
    </row>
    <row r="1285">
      <c r="A1285" s="1" t="s">
        <v>4070</v>
      </c>
      <c r="B1285" s="1" t="s">
        <v>883</v>
      </c>
      <c r="C1285" s="1" t="s">
        <v>21</v>
      </c>
      <c r="D1285" s="4" t="s">
        <v>4148</v>
      </c>
      <c r="E1285" s="1" t="s">
        <v>4072</v>
      </c>
      <c r="F1285" s="1" t="s">
        <v>4073</v>
      </c>
      <c r="G1285" s="1" t="s">
        <v>4149</v>
      </c>
      <c r="H1285" s="1" t="s">
        <v>4150</v>
      </c>
      <c r="I1285" s="1" t="str">
        <f t="shared" si="1"/>
        <v>13</v>
      </c>
      <c r="J1285" s="5"/>
      <c r="K1285" s="1" t="str">
        <f t="shared" si="2"/>
        <v>9</v>
      </c>
      <c r="L1285" s="5"/>
      <c r="M1285" s="2" t="str">
        <f t="shared" si="3"/>
        <v>1380</v>
      </c>
      <c r="N1285" s="1"/>
      <c r="O1285" s="13">
        <v>36.0</v>
      </c>
      <c r="P1285" s="5"/>
      <c r="Q1285" s="5"/>
      <c r="R1285" s="6" t="s">
        <v>4150</v>
      </c>
      <c r="S1285" s="5"/>
      <c r="T1285" s="1" t="str">
        <f>IFERROR(__xludf.DUMMYFUNCTION("INDEX(SPLIT(A1285, ""/""), 2)"),"کانون‌های فرهنگی هنری")</f>
        <v>کانون‌های فرهنگی هنری</v>
      </c>
      <c r="U1285" s="1" t="str">
        <f>IFERROR(__xludf.DUMMYFUNCTION("INDEX(SPLIT(A1285, ""/""), 3)"),"روزنامه شریف")</f>
        <v>روزنامه شریف</v>
      </c>
      <c r="V1285" s="1" t="str">
        <f>IFERROR(__xludf.DUMMYFUNCTION("INDEX(SPLIT(A1285, ""/""), 4)"),"#REF!")</f>
        <v>#REF!</v>
      </c>
    </row>
    <row r="1286">
      <c r="A1286" s="1" t="s">
        <v>4070</v>
      </c>
      <c r="B1286" s="1" t="s">
        <v>886</v>
      </c>
      <c r="C1286" s="1" t="s">
        <v>21</v>
      </c>
      <c r="D1286" s="4" t="s">
        <v>4151</v>
      </c>
      <c r="E1286" s="1" t="s">
        <v>4072</v>
      </c>
      <c r="F1286" s="1" t="s">
        <v>4073</v>
      </c>
      <c r="G1286" s="1" t="s">
        <v>4149</v>
      </c>
      <c r="H1286" s="1" t="s">
        <v>4152</v>
      </c>
      <c r="I1286" s="1" t="str">
        <f t="shared" si="1"/>
        <v>17</v>
      </c>
      <c r="J1286" s="5"/>
      <c r="K1286" s="1" t="str">
        <f t="shared" si="2"/>
        <v>9</v>
      </c>
      <c r="L1286" s="5"/>
      <c r="M1286" s="2" t="str">
        <f t="shared" si="3"/>
        <v>1380</v>
      </c>
      <c r="N1286" s="1"/>
      <c r="O1286" s="13">
        <v>37.0</v>
      </c>
      <c r="P1286" s="5"/>
      <c r="Q1286" s="5"/>
      <c r="R1286" s="6" t="s">
        <v>4152</v>
      </c>
      <c r="S1286" s="5"/>
      <c r="T1286" s="1" t="str">
        <f>IFERROR(__xludf.DUMMYFUNCTION("INDEX(SPLIT(A1286, ""/""), 2)"),"کانون‌های فرهنگی هنری")</f>
        <v>کانون‌های فرهنگی هنری</v>
      </c>
      <c r="U1286" s="1" t="str">
        <f>IFERROR(__xludf.DUMMYFUNCTION("INDEX(SPLIT(A1286, ""/""), 3)"),"روزنامه شریف")</f>
        <v>روزنامه شریف</v>
      </c>
      <c r="V1286" s="1" t="str">
        <f>IFERROR(__xludf.DUMMYFUNCTION("INDEX(SPLIT(A1286, ""/""), 4)"),"#REF!")</f>
        <v>#REF!</v>
      </c>
    </row>
    <row r="1287">
      <c r="A1287" s="1" t="s">
        <v>4070</v>
      </c>
      <c r="B1287" s="1" t="s">
        <v>4153</v>
      </c>
      <c r="C1287" s="1" t="s">
        <v>21</v>
      </c>
      <c r="D1287" s="4" t="s">
        <v>4154</v>
      </c>
      <c r="E1287" s="1" t="s">
        <v>4072</v>
      </c>
      <c r="F1287" s="1" t="s">
        <v>4073</v>
      </c>
      <c r="G1287" s="1" t="s">
        <v>4149</v>
      </c>
      <c r="H1287" s="1" t="s">
        <v>4155</v>
      </c>
      <c r="I1287" s="1" t="str">
        <f t="shared" si="1"/>
        <v>20</v>
      </c>
      <c r="J1287" s="5"/>
      <c r="K1287" s="1" t="str">
        <f t="shared" si="2"/>
        <v>9</v>
      </c>
      <c r="L1287" s="5"/>
      <c r="M1287" s="2" t="str">
        <f t="shared" si="3"/>
        <v>1380</v>
      </c>
      <c r="N1287" s="1"/>
      <c r="O1287" s="13">
        <v>38.0</v>
      </c>
      <c r="P1287" s="5"/>
      <c r="Q1287" s="5"/>
      <c r="R1287" s="6" t="s">
        <v>4155</v>
      </c>
      <c r="S1287" s="5"/>
      <c r="T1287" s="1" t="str">
        <f>IFERROR(__xludf.DUMMYFUNCTION("INDEX(SPLIT(A1287, ""/""), 2)"),"کانون‌های فرهنگی هنری")</f>
        <v>کانون‌های فرهنگی هنری</v>
      </c>
      <c r="U1287" s="1" t="str">
        <f>IFERROR(__xludf.DUMMYFUNCTION("INDEX(SPLIT(A1287, ""/""), 3)"),"روزنامه شریف")</f>
        <v>روزنامه شریف</v>
      </c>
      <c r="V1287" s="1" t="str">
        <f>IFERROR(__xludf.DUMMYFUNCTION("INDEX(SPLIT(A1287, ""/""), 4)"),"#REF!")</f>
        <v>#REF!</v>
      </c>
    </row>
    <row r="1288">
      <c r="A1288" s="1" t="s">
        <v>4070</v>
      </c>
      <c r="B1288" s="1" t="s">
        <v>900</v>
      </c>
      <c r="C1288" s="1" t="s">
        <v>21</v>
      </c>
      <c r="D1288" s="4" t="s">
        <v>4156</v>
      </c>
      <c r="E1288" s="1" t="s">
        <v>4072</v>
      </c>
      <c r="F1288" s="1" t="s">
        <v>4073</v>
      </c>
      <c r="G1288" s="1" t="s">
        <v>4149</v>
      </c>
      <c r="H1288" s="1" t="s">
        <v>4157</v>
      </c>
      <c r="I1288" s="1" t="str">
        <f t="shared" si="1"/>
        <v>24</v>
      </c>
      <c r="J1288" s="5"/>
      <c r="K1288" s="1" t="str">
        <f t="shared" si="2"/>
        <v>9</v>
      </c>
      <c r="L1288" s="5"/>
      <c r="M1288" s="2" t="str">
        <f t="shared" si="3"/>
        <v>1380</v>
      </c>
      <c r="N1288" s="1"/>
      <c r="O1288" s="13">
        <v>39.0</v>
      </c>
      <c r="P1288" s="5"/>
      <c r="Q1288" s="5"/>
      <c r="R1288" s="6" t="s">
        <v>4157</v>
      </c>
      <c r="S1288" s="5"/>
      <c r="T1288" s="1" t="str">
        <f>IFERROR(__xludf.DUMMYFUNCTION("INDEX(SPLIT(A1288, ""/""), 2)"),"کانون‌های فرهنگی هنری")</f>
        <v>کانون‌های فرهنگی هنری</v>
      </c>
      <c r="U1288" s="1" t="str">
        <f>IFERROR(__xludf.DUMMYFUNCTION("INDEX(SPLIT(A1288, ""/""), 3)"),"روزنامه شریف")</f>
        <v>روزنامه شریف</v>
      </c>
      <c r="V1288" s="1" t="str">
        <f>IFERROR(__xludf.DUMMYFUNCTION("INDEX(SPLIT(A1288, ""/""), 4)"),"#REF!")</f>
        <v>#REF!</v>
      </c>
    </row>
    <row r="1289">
      <c r="A1289" s="1" t="s">
        <v>4070</v>
      </c>
      <c r="B1289" s="1" t="s">
        <v>931</v>
      </c>
      <c r="C1289" s="1" t="s">
        <v>21</v>
      </c>
      <c r="D1289" s="4" t="s">
        <v>4158</v>
      </c>
      <c r="E1289" s="1" t="s">
        <v>4072</v>
      </c>
      <c r="F1289" s="1" t="s">
        <v>4073</v>
      </c>
      <c r="G1289" s="1" t="s">
        <v>4149</v>
      </c>
      <c r="H1289" s="1" t="s">
        <v>4159</v>
      </c>
      <c r="I1289" s="1" t="str">
        <f t="shared" si="1"/>
        <v>20</v>
      </c>
      <c r="J1289" s="5"/>
      <c r="K1289" s="1" t="str">
        <f t="shared" si="2"/>
        <v>11</v>
      </c>
      <c r="L1289" s="5"/>
      <c r="M1289" s="2" t="str">
        <f t="shared" si="3"/>
        <v>1380</v>
      </c>
      <c r="N1289" s="1"/>
      <c r="O1289" s="13">
        <v>45.0</v>
      </c>
      <c r="P1289" s="5"/>
      <c r="Q1289" s="5"/>
      <c r="R1289" s="6" t="s">
        <v>4159</v>
      </c>
      <c r="S1289" s="5"/>
      <c r="T1289" s="1" t="str">
        <f>IFERROR(__xludf.DUMMYFUNCTION("INDEX(SPLIT(A1289, ""/""), 2)"),"کانون‌های فرهنگی هنری")</f>
        <v>کانون‌های فرهنگی هنری</v>
      </c>
      <c r="U1289" s="1" t="str">
        <f>IFERROR(__xludf.DUMMYFUNCTION("INDEX(SPLIT(A1289, ""/""), 3)"),"روزنامه شریف")</f>
        <v>روزنامه شریف</v>
      </c>
      <c r="V1289" s="1" t="str">
        <f>IFERROR(__xludf.DUMMYFUNCTION("INDEX(SPLIT(A1289, ""/""), 4)"),"#REF!")</f>
        <v>#REF!</v>
      </c>
    </row>
    <row r="1290">
      <c r="A1290" s="1" t="s">
        <v>4070</v>
      </c>
      <c r="B1290" s="1" t="s">
        <v>934</v>
      </c>
      <c r="C1290" s="1" t="s">
        <v>21</v>
      </c>
      <c r="D1290" s="4" t="s">
        <v>4160</v>
      </c>
      <c r="E1290" s="1" t="s">
        <v>4072</v>
      </c>
      <c r="F1290" s="1" t="s">
        <v>4073</v>
      </c>
      <c r="G1290" s="1" t="s">
        <v>4149</v>
      </c>
      <c r="H1290" s="1" t="s">
        <v>4161</v>
      </c>
      <c r="I1290" s="1" t="str">
        <f t="shared" si="1"/>
        <v>23</v>
      </c>
      <c r="J1290" s="5"/>
      <c r="K1290" s="1" t="str">
        <f t="shared" si="2"/>
        <v>11</v>
      </c>
      <c r="L1290" s="5"/>
      <c r="M1290" s="2" t="str">
        <f t="shared" si="3"/>
        <v>1380</v>
      </c>
      <c r="N1290" s="1"/>
      <c r="O1290" s="13">
        <v>46.0</v>
      </c>
      <c r="P1290" s="5"/>
      <c r="Q1290" s="5"/>
      <c r="R1290" s="6" t="s">
        <v>4161</v>
      </c>
      <c r="S1290" s="5"/>
      <c r="T1290" s="1" t="str">
        <f>IFERROR(__xludf.DUMMYFUNCTION("INDEX(SPLIT(A1290, ""/""), 2)"),"کانون‌های فرهنگی هنری")</f>
        <v>کانون‌های فرهنگی هنری</v>
      </c>
      <c r="U1290" s="1" t="str">
        <f>IFERROR(__xludf.DUMMYFUNCTION("INDEX(SPLIT(A1290, ""/""), 3)"),"روزنامه شریف")</f>
        <v>روزنامه شریف</v>
      </c>
      <c r="V1290" s="1" t="str">
        <f>IFERROR(__xludf.DUMMYFUNCTION("INDEX(SPLIT(A1290, ""/""), 4)"),"#REF!")</f>
        <v>#REF!</v>
      </c>
    </row>
    <row r="1291">
      <c r="A1291" s="1" t="s">
        <v>4070</v>
      </c>
      <c r="B1291" s="1" t="s">
        <v>4162</v>
      </c>
      <c r="C1291" s="1" t="s">
        <v>21</v>
      </c>
      <c r="D1291" s="4" t="s">
        <v>4163</v>
      </c>
      <c r="E1291" s="1" t="s">
        <v>4072</v>
      </c>
      <c r="F1291" s="1" t="s">
        <v>4073</v>
      </c>
      <c r="G1291" s="1" t="s">
        <v>4149</v>
      </c>
      <c r="H1291" s="1" t="s">
        <v>4164</v>
      </c>
      <c r="I1291" s="1" t="str">
        <f t="shared" si="1"/>
        <v>27</v>
      </c>
      <c r="J1291" s="5"/>
      <c r="K1291" s="1" t="str">
        <f t="shared" si="2"/>
        <v>11</v>
      </c>
      <c r="L1291" s="5"/>
      <c r="M1291" s="2" t="str">
        <f t="shared" si="3"/>
        <v>1380</v>
      </c>
      <c r="N1291" s="1"/>
      <c r="O1291" s="13">
        <v>47.0</v>
      </c>
      <c r="P1291" s="5"/>
      <c r="Q1291" s="5"/>
      <c r="R1291" s="6" t="s">
        <v>4164</v>
      </c>
      <c r="S1291" s="5"/>
      <c r="T1291" s="1" t="str">
        <f>IFERROR(__xludf.DUMMYFUNCTION("INDEX(SPLIT(A1291, ""/""), 2)"),"کانون‌های فرهنگی هنری")</f>
        <v>کانون‌های فرهنگی هنری</v>
      </c>
      <c r="U1291" s="1" t="str">
        <f>IFERROR(__xludf.DUMMYFUNCTION("INDEX(SPLIT(A1291, ""/""), 3)"),"روزنامه شریف")</f>
        <v>روزنامه شریف</v>
      </c>
      <c r="V1291" s="1" t="str">
        <f>IFERROR(__xludf.DUMMYFUNCTION("INDEX(SPLIT(A1291, ""/""), 4)"),"#REF!")</f>
        <v>#REF!</v>
      </c>
    </row>
    <row r="1292">
      <c r="A1292" s="1" t="s">
        <v>4070</v>
      </c>
      <c r="B1292" s="1" t="s">
        <v>941</v>
      </c>
      <c r="C1292" s="1" t="s">
        <v>21</v>
      </c>
      <c r="D1292" s="4" t="s">
        <v>4165</v>
      </c>
      <c r="E1292" s="1" t="s">
        <v>4072</v>
      </c>
      <c r="F1292" s="1" t="s">
        <v>4073</v>
      </c>
      <c r="G1292" s="1" t="s">
        <v>4149</v>
      </c>
      <c r="H1292" s="7" t="s">
        <v>4166</v>
      </c>
      <c r="I1292" s="1" t="str">
        <f t="shared" si="1"/>
        <v>7</v>
      </c>
      <c r="J1292" s="5"/>
      <c r="K1292" s="1" t="str">
        <f t="shared" si="2"/>
        <v>12</v>
      </c>
      <c r="L1292" s="5"/>
      <c r="M1292" s="2" t="str">
        <f t="shared" si="3"/>
        <v>1380</v>
      </c>
      <c r="N1292" s="1"/>
      <c r="O1292" s="13">
        <v>48.0</v>
      </c>
      <c r="P1292" s="5"/>
      <c r="Q1292" s="5"/>
      <c r="R1292" s="8" t="s">
        <v>4166</v>
      </c>
      <c r="S1292" s="5"/>
      <c r="T1292" s="1" t="str">
        <f>IFERROR(__xludf.DUMMYFUNCTION("INDEX(SPLIT(A1292, ""/""), 2)"),"کانون‌های فرهنگی هنری")</f>
        <v>کانون‌های فرهنگی هنری</v>
      </c>
      <c r="U1292" s="1" t="str">
        <f>IFERROR(__xludf.DUMMYFUNCTION("INDEX(SPLIT(A1292, ""/""), 3)"),"روزنامه شریف")</f>
        <v>روزنامه شریف</v>
      </c>
      <c r="V1292" s="1" t="str">
        <f>IFERROR(__xludf.DUMMYFUNCTION("INDEX(SPLIT(A1292, ""/""), 4)"),"#REF!")</f>
        <v>#REF!</v>
      </c>
    </row>
    <row r="1293">
      <c r="A1293" s="1" t="s">
        <v>4070</v>
      </c>
      <c r="B1293" s="1" t="s">
        <v>944</v>
      </c>
      <c r="C1293" s="1" t="s">
        <v>21</v>
      </c>
      <c r="D1293" s="4" t="s">
        <v>4167</v>
      </c>
      <c r="E1293" s="1" t="s">
        <v>4072</v>
      </c>
      <c r="F1293" s="1" t="s">
        <v>4073</v>
      </c>
      <c r="G1293" s="1" t="s">
        <v>4149</v>
      </c>
      <c r="H1293" s="7" t="s">
        <v>4168</v>
      </c>
      <c r="I1293" s="1" t="str">
        <f t="shared" si="1"/>
        <v>11</v>
      </c>
      <c r="J1293" s="5"/>
      <c r="K1293" s="1" t="str">
        <f t="shared" si="2"/>
        <v>12</v>
      </c>
      <c r="L1293" s="5"/>
      <c r="M1293" s="2" t="str">
        <f t="shared" si="3"/>
        <v>1380</v>
      </c>
      <c r="N1293" s="1"/>
      <c r="O1293" s="13">
        <v>49.0</v>
      </c>
      <c r="P1293" s="5"/>
      <c r="Q1293" s="5"/>
      <c r="R1293" s="8" t="s">
        <v>4168</v>
      </c>
      <c r="S1293" s="5"/>
      <c r="T1293" s="1" t="str">
        <f>IFERROR(__xludf.DUMMYFUNCTION("INDEX(SPLIT(A1293, ""/""), 2)"),"کانون‌های فرهنگی هنری")</f>
        <v>کانون‌های فرهنگی هنری</v>
      </c>
      <c r="U1293" s="1" t="str">
        <f>IFERROR(__xludf.DUMMYFUNCTION("INDEX(SPLIT(A1293, ""/""), 3)"),"روزنامه شریف")</f>
        <v>روزنامه شریف</v>
      </c>
      <c r="V1293" s="1" t="str">
        <f>IFERROR(__xludf.DUMMYFUNCTION("INDEX(SPLIT(A1293, ""/""), 4)"),"#REF!")</f>
        <v>#REF!</v>
      </c>
    </row>
    <row r="1294">
      <c r="A1294" s="1" t="s">
        <v>4070</v>
      </c>
      <c r="B1294" s="1" t="s">
        <v>947</v>
      </c>
      <c r="C1294" s="1" t="s">
        <v>21</v>
      </c>
      <c r="D1294" s="4" t="s">
        <v>4169</v>
      </c>
      <c r="E1294" s="1" t="s">
        <v>4072</v>
      </c>
      <c r="F1294" s="1" t="s">
        <v>4073</v>
      </c>
      <c r="G1294" s="1" t="s">
        <v>4149</v>
      </c>
      <c r="H1294" s="1" t="s">
        <v>4170</v>
      </c>
      <c r="I1294" s="1" t="str">
        <f t="shared" si="1"/>
        <v>14</v>
      </c>
      <c r="J1294" s="5"/>
      <c r="K1294" s="1" t="str">
        <f t="shared" si="2"/>
        <v>12</v>
      </c>
      <c r="L1294" s="5"/>
      <c r="M1294" s="2" t="str">
        <f t="shared" si="3"/>
        <v>1380</v>
      </c>
      <c r="N1294" s="1"/>
      <c r="O1294" s="13">
        <v>50.0</v>
      </c>
      <c r="P1294" s="5"/>
      <c r="Q1294" s="5"/>
      <c r="R1294" s="6" t="s">
        <v>4170</v>
      </c>
      <c r="S1294" s="5"/>
      <c r="T1294" s="1" t="str">
        <f>IFERROR(__xludf.DUMMYFUNCTION("INDEX(SPLIT(A1294, ""/""), 2)"),"کانون‌های فرهنگی هنری")</f>
        <v>کانون‌های فرهنگی هنری</v>
      </c>
      <c r="U1294" s="1" t="str">
        <f>IFERROR(__xludf.DUMMYFUNCTION("INDEX(SPLIT(A1294, ""/""), 3)"),"روزنامه شریف")</f>
        <v>روزنامه شریف</v>
      </c>
      <c r="V1294" s="1" t="str">
        <f>IFERROR(__xludf.DUMMYFUNCTION("INDEX(SPLIT(A1294, ""/""), 4)"),"#REF!")</f>
        <v>#REF!</v>
      </c>
    </row>
    <row r="1295">
      <c r="A1295" s="1" t="s">
        <v>4070</v>
      </c>
      <c r="B1295" s="1" t="s">
        <v>950</v>
      </c>
      <c r="C1295" s="1" t="s">
        <v>21</v>
      </c>
      <c r="D1295" s="4" t="s">
        <v>4171</v>
      </c>
      <c r="E1295" s="1" t="s">
        <v>4072</v>
      </c>
      <c r="F1295" s="1" t="s">
        <v>4073</v>
      </c>
      <c r="G1295" s="1" t="s">
        <v>4149</v>
      </c>
      <c r="H1295" s="1" t="s">
        <v>4172</v>
      </c>
      <c r="I1295" s="1" t="str">
        <f t="shared" si="1"/>
        <v>18</v>
      </c>
      <c r="J1295" s="5"/>
      <c r="K1295" s="1" t="str">
        <f t="shared" si="2"/>
        <v>12</v>
      </c>
      <c r="L1295" s="5"/>
      <c r="M1295" s="2" t="str">
        <f t="shared" si="3"/>
        <v>1380</v>
      </c>
      <c r="N1295" s="1"/>
      <c r="O1295" s="13">
        <v>51.0</v>
      </c>
      <c r="P1295" s="5"/>
      <c r="Q1295" s="5"/>
      <c r="R1295" s="6" t="s">
        <v>4172</v>
      </c>
      <c r="S1295" s="5"/>
      <c r="T1295" s="1" t="str">
        <f>IFERROR(__xludf.DUMMYFUNCTION("INDEX(SPLIT(A1295, ""/""), 2)"),"کانون‌های فرهنگی هنری")</f>
        <v>کانون‌های فرهنگی هنری</v>
      </c>
      <c r="U1295" s="1" t="str">
        <f>IFERROR(__xludf.DUMMYFUNCTION("INDEX(SPLIT(A1295, ""/""), 3)"),"روزنامه شریف")</f>
        <v>روزنامه شریف</v>
      </c>
      <c r="V1295" s="1" t="str">
        <f>IFERROR(__xludf.DUMMYFUNCTION("INDEX(SPLIT(A1295, ""/""), 4)"),"#REF!")</f>
        <v>#REF!</v>
      </c>
    </row>
    <row r="1296">
      <c r="A1296" s="1" t="s">
        <v>4070</v>
      </c>
      <c r="B1296" s="1" t="s">
        <v>953</v>
      </c>
      <c r="C1296" s="1" t="s">
        <v>21</v>
      </c>
      <c r="D1296" s="4" t="s">
        <v>4173</v>
      </c>
      <c r="E1296" s="1" t="s">
        <v>4072</v>
      </c>
      <c r="F1296" s="1" t="s">
        <v>4073</v>
      </c>
      <c r="G1296" s="1" t="s">
        <v>4149</v>
      </c>
      <c r="H1296" s="1" t="s">
        <v>4174</v>
      </c>
      <c r="I1296" s="1" t="str">
        <f t="shared" si="1"/>
        <v>21</v>
      </c>
      <c r="J1296" s="5"/>
      <c r="K1296" s="1" t="str">
        <f t="shared" si="2"/>
        <v>12</v>
      </c>
      <c r="L1296" s="5"/>
      <c r="M1296" s="2" t="str">
        <f t="shared" si="3"/>
        <v>1380</v>
      </c>
      <c r="N1296" s="1"/>
      <c r="O1296" s="13">
        <v>52.0</v>
      </c>
      <c r="P1296" s="5"/>
      <c r="Q1296" s="5"/>
      <c r="R1296" s="6" t="s">
        <v>4174</v>
      </c>
      <c r="S1296" s="5"/>
      <c r="T1296" s="1" t="str">
        <f>IFERROR(__xludf.DUMMYFUNCTION("INDEX(SPLIT(A1296, ""/""), 2)"),"کانون‌های فرهنگی هنری")</f>
        <v>کانون‌های فرهنگی هنری</v>
      </c>
      <c r="U1296" s="1" t="str">
        <f>IFERROR(__xludf.DUMMYFUNCTION("INDEX(SPLIT(A1296, ""/""), 3)"),"روزنامه شریف")</f>
        <v>روزنامه شریف</v>
      </c>
      <c r="V1296" s="1" t="str">
        <f>IFERROR(__xludf.DUMMYFUNCTION("INDEX(SPLIT(A1296, ""/""), 4)"),"#REF!")</f>
        <v>#REF!</v>
      </c>
    </row>
    <row r="1297">
      <c r="A1297" s="1" t="s">
        <v>4070</v>
      </c>
      <c r="B1297" s="1" t="s">
        <v>956</v>
      </c>
      <c r="C1297" s="1" t="s">
        <v>21</v>
      </c>
      <c r="D1297" s="4" t="s">
        <v>4175</v>
      </c>
      <c r="E1297" s="1" t="s">
        <v>4072</v>
      </c>
      <c r="F1297" s="1" t="s">
        <v>4073</v>
      </c>
      <c r="G1297" s="1" t="s">
        <v>4149</v>
      </c>
      <c r="H1297" s="1" t="s">
        <v>4176</v>
      </c>
      <c r="I1297" s="1" t="str">
        <f t="shared" si="1"/>
        <v>20</v>
      </c>
      <c r="J1297" s="5"/>
      <c r="K1297" s="1" t="str">
        <f t="shared" si="2"/>
        <v>1</v>
      </c>
      <c r="L1297" s="5"/>
      <c r="M1297" s="2" t="str">
        <f t="shared" si="3"/>
        <v>1381</v>
      </c>
      <c r="N1297" s="1"/>
      <c r="O1297" s="13">
        <v>53.0</v>
      </c>
      <c r="P1297" s="5"/>
      <c r="Q1297" s="5"/>
      <c r="R1297" s="6" t="s">
        <v>4176</v>
      </c>
      <c r="S1297" s="5"/>
      <c r="T1297" s="1" t="str">
        <f>IFERROR(__xludf.DUMMYFUNCTION("INDEX(SPLIT(A1297, ""/""), 2)"),"کانون‌های فرهنگی هنری")</f>
        <v>کانون‌های فرهنگی هنری</v>
      </c>
      <c r="U1297" s="1" t="str">
        <f>IFERROR(__xludf.DUMMYFUNCTION("INDEX(SPLIT(A1297, ""/""), 3)"),"روزنامه شریف")</f>
        <v>روزنامه شریف</v>
      </c>
      <c r="V1297" s="1" t="str">
        <f>IFERROR(__xludf.DUMMYFUNCTION("INDEX(SPLIT(A1297, ""/""), 4)"),"#REF!")</f>
        <v>#REF!</v>
      </c>
    </row>
    <row r="1298">
      <c r="A1298" s="1" t="s">
        <v>4070</v>
      </c>
      <c r="B1298" s="1" t="s">
        <v>959</v>
      </c>
      <c r="C1298" s="1" t="s">
        <v>21</v>
      </c>
      <c r="D1298" s="4" t="s">
        <v>4177</v>
      </c>
      <c r="E1298" s="1" t="s">
        <v>4072</v>
      </c>
      <c r="F1298" s="1" t="s">
        <v>4073</v>
      </c>
      <c r="G1298" s="1" t="s">
        <v>4149</v>
      </c>
      <c r="H1298" s="1" t="s">
        <v>4178</v>
      </c>
      <c r="I1298" s="1" t="str">
        <f t="shared" si="1"/>
        <v>24</v>
      </c>
      <c r="J1298" s="5"/>
      <c r="K1298" s="1" t="str">
        <f t="shared" si="2"/>
        <v>1</v>
      </c>
      <c r="L1298" s="5"/>
      <c r="M1298" s="2" t="str">
        <f t="shared" si="3"/>
        <v>1381</v>
      </c>
      <c r="N1298" s="1"/>
      <c r="O1298" s="13">
        <v>54.0</v>
      </c>
      <c r="P1298" s="5"/>
      <c r="Q1298" s="5"/>
      <c r="R1298" s="6" t="s">
        <v>4178</v>
      </c>
      <c r="S1298" s="5"/>
      <c r="T1298" s="1" t="str">
        <f>IFERROR(__xludf.DUMMYFUNCTION("INDEX(SPLIT(A1298, ""/""), 2)"),"کانون‌های فرهنگی هنری")</f>
        <v>کانون‌های فرهنگی هنری</v>
      </c>
      <c r="U1298" s="1" t="str">
        <f>IFERROR(__xludf.DUMMYFUNCTION("INDEX(SPLIT(A1298, ""/""), 3)"),"روزنامه شریف")</f>
        <v>روزنامه شریف</v>
      </c>
      <c r="V1298" s="1" t="str">
        <f>IFERROR(__xludf.DUMMYFUNCTION("INDEX(SPLIT(A1298, ""/""), 4)"),"#REF!")</f>
        <v>#REF!</v>
      </c>
    </row>
    <row r="1299">
      <c r="A1299" s="1" t="s">
        <v>4070</v>
      </c>
      <c r="B1299" s="1" t="s">
        <v>962</v>
      </c>
      <c r="C1299" s="1" t="s">
        <v>21</v>
      </c>
      <c r="D1299" s="4" t="s">
        <v>4179</v>
      </c>
      <c r="E1299" s="1" t="s">
        <v>4072</v>
      </c>
      <c r="F1299" s="1" t="s">
        <v>4073</v>
      </c>
      <c r="G1299" s="1" t="s">
        <v>4149</v>
      </c>
      <c r="H1299" s="1" t="s">
        <v>4180</v>
      </c>
      <c r="I1299" s="1" t="str">
        <f t="shared" si="1"/>
        <v>27</v>
      </c>
      <c r="J1299" s="5"/>
      <c r="K1299" s="1" t="str">
        <f t="shared" si="2"/>
        <v>1</v>
      </c>
      <c r="L1299" s="5"/>
      <c r="M1299" s="2" t="str">
        <f t="shared" si="3"/>
        <v>1381</v>
      </c>
      <c r="N1299" s="1"/>
      <c r="O1299" s="13">
        <v>55.0</v>
      </c>
      <c r="P1299" s="5"/>
      <c r="Q1299" s="5"/>
      <c r="R1299" s="6" t="s">
        <v>4180</v>
      </c>
      <c r="S1299" s="5"/>
      <c r="T1299" s="1" t="str">
        <f>IFERROR(__xludf.DUMMYFUNCTION("INDEX(SPLIT(A1299, ""/""), 2)"),"کانون‌های فرهنگی هنری")</f>
        <v>کانون‌های فرهنگی هنری</v>
      </c>
      <c r="U1299" s="1" t="str">
        <f>IFERROR(__xludf.DUMMYFUNCTION("INDEX(SPLIT(A1299, ""/""), 3)"),"روزنامه شریف")</f>
        <v>روزنامه شریف</v>
      </c>
      <c r="V1299" s="1" t="str">
        <f>IFERROR(__xludf.DUMMYFUNCTION("INDEX(SPLIT(A1299, ""/""), 4)"),"#REF!")</f>
        <v>#REF!</v>
      </c>
    </row>
    <row r="1300">
      <c r="A1300" s="1" t="s">
        <v>4070</v>
      </c>
      <c r="B1300" s="1" t="s">
        <v>965</v>
      </c>
      <c r="C1300" s="1" t="s">
        <v>21</v>
      </c>
      <c r="D1300" s="4" t="s">
        <v>4181</v>
      </c>
      <c r="E1300" s="1" t="s">
        <v>4072</v>
      </c>
      <c r="F1300" s="1" t="s">
        <v>4073</v>
      </c>
      <c r="G1300" s="1" t="s">
        <v>4149</v>
      </c>
      <c r="H1300" s="1" t="s">
        <v>4182</v>
      </c>
      <c r="I1300" s="1" t="str">
        <f t="shared" si="1"/>
        <v>31</v>
      </c>
      <c r="J1300" s="5"/>
      <c r="K1300" s="1" t="str">
        <f t="shared" si="2"/>
        <v>1</v>
      </c>
      <c r="L1300" s="5"/>
      <c r="M1300" s="2" t="str">
        <f t="shared" si="3"/>
        <v>1381</v>
      </c>
      <c r="N1300" s="1"/>
      <c r="O1300" s="13">
        <v>56.0</v>
      </c>
      <c r="P1300" s="5"/>
      <c r="Q1300" s="5"/>
      <c r="R1300" s="6" t="s">
        <v>4182</v>
      </c>
      <c r="S1300" s="5"/>
      <c r="T1300" s="1" t="str">
        <f>IFERROR(__xludf.DUMMYFUNCTION("INDEX(SPLIT(A1300, ""/""), 2)"),"کانون‌های فرهنگی هنری")</f>
        <v>کانون‌های فرهنگی هنری</v>
      </c>
      <c r="U1300" s="1" t="str">
        <f>IFERROR(__xludf.DUMMYFUNCTION("INDEX(SPLIT(A1300, ""/""), 3)"),"روزنامه شریف")</f>
        <v>روزنامه شریف</v>
      </c>
      <c r="V1300" s="1" t="str">
        <f>IFERROR(__xludf.DUMMYFUNCTION("INDEX(SPLIT(A1300, ""/""), 4)"),"#REF!")</f>
        <v>#REF!</v>
      </c>
    </row>
    <row r="1301">
      <c r="A1301" s="1" t="s">
        <v>4070</v>
      </c>
      <c r="B1301" s="1" t="s">
        <v>968</v>
      </c>
      <c r="C1301" s="1" t="s">
        <v>21</v>
      </c>
      <c r="D1301" s="4" t="s">
        <v>4183</v>
      </c>
      <c r="E1301" s="1" t="s">
        <v>4072</v>
      </c>
      <c r="F1301" s="1" t="s">
        <v>4073</v>
      </c>
      <c r="G1301" s="1" t="s">
        <v>4149</v>
      </c>
      <c r="H1301" s="7" t="s">
        <v>4184</v>
      </c>
      <c r="I1301" s="1" t="str">
        <f t="shared" si="1"/>
        <v>3</v>
      </c>
      <c r="J1301" s="5"/>
      <c r="K1301" s="1" t="str">
        <f t="shared" si="2"/>
        <v>2</v>
      </c>
      <c r="L1301" s="5"/>
      <c r="M1301" s="2" t="str">
        <f t="shared" si="3"/>
        <v>1381</v>
      </c>
      <c r="N1301" s="1"/>
      <c r="O1301" s="13">
        <v>57.0</v>
      </c>
      <c r="P1301" s="5"/>
      <c r="Q1301" s="5"/>
      <c r="R1301" s="8" t="s">
        <v>4184</v>
      </c>
      <c r="S1301" s="5"/>
      <c r="T1301" s="1" t="str">
        <f>IFERROR(__xludf.DUMMYFUNCTION("INDEX(SPLIT(A1301, ""/""), 2)"),"کانون‌های فرهنگی هنری")</f>
        <v>کانون‌های فرهنگی هنری</v>
      </c>
      <c r="U1301" s="1" t="str">
        <f>IFERROR(__xludf.DUMMYFUNCTION("INDEX(SPLIT(A1301, ""/""), 3)"),"روزنامه شریف")</f>
        <v>روزنامه شریف</v>
      </c>
      <c r="V1301" s="1" t="str">
        <f>IFERROR(__xludf.DUMMYFUNCTION("INDEX(SPLIT(A1301, ""/""), 4)"),"#REF!")</f>
        <v>#REF!</v>
      </c>
    </row>
    <row r="1302">
      <c r="A1302" s="1" t="s">
        <v>4070</v>
      </c>
      <c r="B1302" s="1" t="s">
        <v>4185</v>
      </c>
      <c r="C1302" s="1" t="s">
        <v>21</v>
      </c>
      <c r="D1302" s="4" t="s">
        <v>4186</v>
      </c>
      <c r="E1302" s="1" t="s">
        <v>4072</v>
      </c>
      <c r="F1302" s="1" t="s">
        <v>4073</v>
      </c>
      <c r="G1302" s="1" t="s">
        <v>4149</v>
      </c>
      <c r="H1302" s="7" t="s">
        <v>4187</v>
      </c>
      <c r="I1302" s="1" t="str">
        <f t="shared" si="1"/>
        <v>7</v>
      </c>
      <c r="J1302" s="5"/>
      <c r="K1302" s="1" t="str">
        <f t="shared" si="2"/>
        <v>2</v>
      </c>
      <c r="L1302" s="5"/>
      <c r="M1302" s="2" t="str">
        <f t="shared" si="3"/>
        <v>1381</v>
      </c>
      <c r="N1302" s="1"/>
      <c r="O1302" s="13">
        <v>58.0</v>
      </c>
      <c r="P1302" s="5"/>
      <c r="Q1302" s="5"/>
      <c r="R1302" s="8" t="s">
        <v>4187</v>
      </c>
      <c r="S1302" s="5"/>
      <c r="T1302" s="1" t="str">
        <f>IFERROR(__xludf.DUMMYFUNCTION("INDEX(SPLIT(A1302, ""/""), 2)"),"کانون‌های فرهنگی هنری")</f>
        <v>کانون‌های فرهنگی هنری</v>
      </c>
      <c r="U1302" s="1" t="str">
        <f>IFERROR(__xludf.DUMMYFUNCTION("INDEX(SPLIT(A1302, ""/""), 3)"),"روزنامه شریف")</f>
        <v>روزنامه شریف</v>
      </c>
      <c r="V1302" s="1" t="str">
        <f>IFERROR(__xludf.DUMMYFUNCTION("INDEX(SPLIT(A1302, ""/""), 4)"),"#REF!")</f>
        <v>#REF!</v>
      </c>
    </row>
    <row r="1303">
      <c r="A1303" s="1" t="s">
        <v>4070</v>
      </c>
      <c r="B1303" s="1" t="s">
        <v>971</v>
      </c>
      <c r="C1303" s="1" t="s">
        <v>21</v>
      </c>
      <c r="D1303" s="4" t="s">
        <v>4188</v>
      </c>
      <c r="E1303" s="1" t="s">
        <v>4072</v>
      </c>
      <c r="F1303" s="1" t="s">
        <v>4073</v>
      </c>
      <c r="G1303" s="1" t="s">
        <v>4149</v>
      </c>
      <c r="H1303" s="7" t="s">
        <v>4189</v>
      </c>
      <c r="I1303" s="1" t="str">
        <f t="shared" si="1"/>
        <v>10</v>
      </c>
      <c r="J1303" s="5"/>
      <c r="K1303" s="1" t="str">
        <f t="shared" si="2"/>
        <v>2</v>
      </c>
      <c r="L1303" s="5"/>
      <c r="M1303" s="2" t="str">
        <f t="shared" si="3"/>
        <v>1381</v>
      </c>
      <c r="N1303" s="1"/>
      <c r="O1303" s="13">
        <v>59.0</v>
      </c>
      <c r="P1303" s="5"/>
      <c r="Q1303" s="5"/>
      <c r="R1303" s="8" t="s">
        <v>4189</v>
      </c>
      <c r="S1303" s="5"/>
      <c r="T1303" s="1" t="str">
        <f>IFERROR(__xludf.DUMMYFUNCTION("INDEX(SPLIT(A1303, ""/""), 2)"),"کانون‌های فرهنگی هنری")</f>
        <v>کانون‌های فرهنگی هنری</v>
      </c>
      <c r="U1303" s="1" t="str">
        <f>IFERROR(__xludf.DUMMYFUNCTION("INDEX(SPLIT(A1303, ""/""), 3)"),"روزنامه شریف")</f>
        <v>روزنامه شریف</v>
      </c>
      <c r="V1303" s="1" t="str">
        <f>IFERROR(__xludf.DUMMYFUNCTION("INDEX(SPLIT(A1303, ""/""), 4)"),"#REF!")</f>
        <v>#REF!</v>
      </c>
    </row>
    <row r="1304">
      <c r="A1304" s="1" t="s">
        <v>4070</v>
      </c>
      <c r="B1304" s="1" t="s">
        <v>4190</v>
      </c>
      <c r="C1304" s="1" t="s">
        <v>21</v>
      </c>
      <c r="D1304" s="4" t="s">
        <v>4191</v>
      </c>
      <c r="E1304" s="1" t="s">
        <v>4072</v>
      </c>
      <c r="F1304" s="1" t="s">
        <v>4073</v>
      </c>
      <c r="G1304" s="1" t="s">
        <v>4149</v>
      </c>
      <c r="H1304" s="1" t="s">
        <v>4192</v>
      </c>
      <c r="I1304" s="1" t="str">
        <f t="shared" si="1"/>
        <v>14</v>
      </c>
      <c r="J1304" s="5"/>
      <c r="K1304" s="1" t="str">
        <f t="shared" si="2"/>
        <v>2</v>
      </c>
      <c r="L1304" s="5"/>
      <c r="M1304" s="2" t="str">
        <f t="shared" si="3"/>
        <v>1381</v>
      </c>
      <c r="N1304" s="1"/>
      <c r="O1304" s="13">
        <v>60.0</v>
      </c>
      <c r="P1304" s="5"/>
      <c r="Q1304" s="5"/>
      <c r="R1304" s="6" t="s">
        <v>4192</v>
      </c>
      <c r="S1304" s="5"/>
      <c r="T1304" s="1" t="str">
        <f>IFERROR(__xludf.DUMMYFUNCTION("INDEX(SPLIT(A1304, ""/""), 2)"),"کانون‌های فرهنگی هنری")</f>
        <v>کانون‌های فرهنگی هنری</v>
      </c>
      <c r="U1304" s="1" t="str">
        <f>IFERROR(__xludf.DUMMYFUNCTION("INDEX(SPLIT(A1304, ""/""), 3)"),"روزنامه شریف")</f>
        <v>روزنامه شریف</v>
      </c>
      <c r="V1304" s="1" t="str">
        <f>IFERROR(__xludf.DUMMYFUNCTION("INDEX(SPLIT(A1304, ""/""), 4)"),"#REF!")</f>
        <v>#REF!</v>
      </c>
    </row>
    <row r="1305">
      <c r="A1305" s="1" t="s">
        <v>4070</v>
      </c>
      <c r="B1305" s="1" t="s">
        <v>4193</v>
      </c>
      <c r="C1305" s="1" t="s">
        <v>21</v>
      </c>
      <c r="D1305" s="4" t="s">
        <v>4194</v>
      </c>
      <c r="E1305" s="1" t="s">
        <v>4072</v>
      </c>
      <c r="F1305" s="1" t="s">
        <v>4073</v>
      </c>
      <c r="G1305" s="1" t="s">
        <v>4149</v>
      </c>
      <c r="H1305" s="1" t="s">
        <v>4195</v>
      </c>
      <c r="I1305" s="1" t="str">
        <f t="shared" si="1"/>
        <v>17</v>
      </c>
      <c r="J1305" s="5"/>
      <c r="K1305" s="1" t="str">
        <f t="shared" si="2"/>
        <v>2</v>
      </c>
      <c r="L1305" s="5"/>
      <c r="M1305" s="2" t="str">
        <f t="shared" si="3"/>
        <v>1381</v>
      </c>
      <c r="N1305" s="1"/>
      <c r="O1305" s="13">
        <v>61.0</v>
      </c>
      <c r="P1305" s="5"/>
      <c r="Q1305" s="5"/>
      <c r="R1305" s="6" t="s">
        <v>4195</v>
      </c>
      <c r="S1305" s="5"/>
      <c r="T1305" s="1" t="str">
        <f>IFERROR(__xludf.DUMMYFUNCTION("INDEX(SPLIT(A1305, ""/""), 2)"),"کانون‌های فرهنگی هنری")</f>
        <v>کانون‌های فرهنگی هنری</v>
      </c>
      <c r="U1305" s="1" t="str">
        <f>IFERROR(__xludf.DUMMYFUNCTION("INDEX(SPLIT(A1305, ""/""), 3)"),"روزنامه شریف")</f>
        <v>روزنامه شریف</v>
      </c>
      <c r="V1305" s="1" t="str">
        <f>IFERROR(__xludf.DUMMYFUNCTION("INDEX(SPLIT(A1305, ""/""), 4)"),"#REF!")</f>
        <v>#REF!</v>
      </c>
    </row>
    <row r="1306">
      <c r="A1306" s="1" t="s">
        <v>4070</v>
      </c>
      <c r="B1306" s="1" t="s">
        <v>4196</v>
      </c>
      <c r="C1306" s="1" t="s">
        <v>21</v>
      </c>
      <c r="D1306" s="4" t="s">
        <v>4197</v>
      </c>
      <c r="E1306" s="1" t="s">
        <v>4072</v>
      </c>
      <c r="F1306" s="1" t="s">
        <v>4073</v>
      </c>
      <c r="G1306" s="1" t="s">
        <v>4149</v>
      </c>
      <c r="H1306" s="1" t="s">
        <v>4198</v>
      </c>
      <c r="I1306" s="1" t="str">
        <f t="shared" si="1"/>
        <v>24</v>
      </c>
      <c r="J1306" s="5"/>
      <c r="K1306" s="1" t="str">
        <f t="shared" si="2"/>
        <v>2</v>
      </c>
      <c r="L1306" s="5"/>
      <c r="M1306" s="2" t="str">
        <f t="shared" si="3"/>
        <v>1381</v>
      </c>
      <c r="N1306" s="1"/>
      <c r="O1306" s="13">
        <v>62.0</v>
      </c>
      <c r="P1306" s="5"/>
      <c r="Q1306" s="5"/>
      <c r="R1306" s="6" t="s">
        <v>4198</v>
      </c>
      <c r="S1306" s="5"/>
      <c r="T1306" s="1" t="str">
        <f>IFERROR(__xludf.DUMMYFUNCTION("INDEX(SPLIT(A1306, ""/""), 2)"),"کانون‌های فرهنگی هنری")</f>
        <v>کانون‌های فرهنگی هنری</v>
      </c>
      <c r="U1306" s="1" t="str">
        <f>IFERROR(__xludf.DUMMYFUNCTION("INDEX(SPLIT(A1306, ""/""), 3)"),"روزنامه شریف")</f>
        <v>روزنامه شریف</v>
      </c>
      <c r="V1306" s="1" t="str">
        <f>IFERROR(__xludf.DUMMYFUNCTION("INDEX(SPLIT(A1306, ""/""), 4)"),"#REF!")</f>
        <v>#REF!</v>
      </c>
    </row>
    <row r="1307">
      <c r="A1307" s="1" t="s">
        <v>4070</v>
      </c>
      <c r="B1307" s="1" t="s">
        <v>982</v>
      </c>
      <c r="C1307" s="1" t="s">
        <v>21</v>
      </c>
      <c r="D1307" s="4" t="s">
        <v>4199</v>
      </c>
      <c r="E1307" s="1" t="s">
        <v>4072</v>
      </c>
      <c r="F1307" s="1" t="s">
        <v>4073</v>
      </c>
      <c r="G1307" s="1" t="s">
        <v>4149</v>
      </c>
      <c r="H1307" s="1" t="s">
        <v>4200</v>
      </c>
      <c r="I1307" s="1" t="str">
        <f t="shared" si="1"/>
        <v>28</v>
      </c>
      <c r="J1307" s="5"/>
      <c r="K1307" s="1" t="str">
        <f t="shared" si="2"/>
        <v>2</v>
      </c>
      <c r="L1307" s="5"/>
      <c r="M1307" s="2" t="str">
        <f t="shared" si="3"/>
        <v>1381</v>
      </c>
      <c r="N1307" s="1"/>
      <c r="O1307" s="13">
        <v>63.0</v>
      </c>
      <c r="P1307" s="5"/>
      <c r="Q1307" s="5"/>
      <c r="R1307" s="6" t="s">
        <v>4200</v>
      </c>
      <c r="S1307" s="5"/>
      <c r="T1307" s="1" t="str">
        <f>IFERROR(__xludf.DUMMYFUNCTION("INDEX(SPLIT(A1307, ""/""), 2)"),"کانون‌های فرهنگی هنری")</f>
        <v>کانون‌های فرهنگی هنری</v>
      </c>
      <c r="U1307" s="1" t="str">
        <f>IFERROR(__xludf.DUMMYFUNCTION("INDEX(SPLIT(A1307, ""/""), 3)"),"روزنامه شریف")</f>
        <v>روزنامه شریف</v>
      </c>
      <c r="V1307" s="1" t="str">
        <f>IFERROR(__xludf.DUMMYFUNCTION("INDEX(SPLIT(A1307, ""/""), 4)"),"#REF!")</f>
        <v>#REF!</v>
      </c>
    </row>
    <row r="1308">
      <c r="A1308" s="1" t="s">
        <v>4070</v>
      </c>
      <c r="B1308" s="1" t="s">
        <v>984</v>
      </c>
      <c r="C1308" s="1" t="s">
        <v>21</v>
      </c>
      <c r="D1308" s="4" t="s">
        <v>4201</v>
      </c>
      <c r="E1308" s="1" t="s">
        <v>4072</v>
      </c>
      <c r="F1308" s="1" t="s">
        <v>4073</v>
      </c>
      <c r="G1308" s="1" t="s">
        <v>4149</v>
      </c>
      <c r="H1308" s="1" t="s">
        <v>4202</v>
      </c>
      <c r="I1308" s="1" t="str">
        <f t="shared" si="1"/>
        <v>31</v>
      </c>
      <c r="J1308" s="5"/>
      <c r="K1308" s="1" t="str">
        <f t="shared" si="2"/>
        <v>2</v>
      </c>
      <c r="L1308" s="5"/>
      <c r="M1308" s="2" t="str">
        <f t="shared" si="3"/>
        <v>1381</v>
      </c>
      <c r="N1308" s="1"/>
      <c r="O1308" s="13">
        <v>64.0</v>
      </c>
      <c r="P1308" s="5"/>
      <c r="Q1308" s="5"/>
      <c r="R1308" s="6" t="s">
        <v>4202</v>
      </c>
      <c r="S1308" s="5"/>
      <c r="T1308" s="1" t="str">
        <f>IFERROR(__xludf.DUMMYFUNCTION("INDEX(SPLIT(A1308, ""/""), 2)"),"کانون‌های فرهنگی هنری")</f>
        <v>کانون‌های فرهنگی هنری</v>
      </c>
      <c r="U1308" s="1" t="str">
        <f>IFERROR(__xludf.DUMMYFUNCTION("INDEX(SPLIT(A1308, ""/""), 3)"),"روزنامه شریف")</f>
        <v>روزنامه شریف</v>
      </c>
      <c r="V1308" s="1" t="str">
        <f>IFERROR(__xludf.DUMMYFUNCTION("INDEX(SPLIT(A1308, ""/""), 4)"),"#REF!")</f>
        <v>#REF!</v>
      </c>
    </row>
    <row r="1309">
      <c r="A1309" s="1" t="s">
        <v>4070</v>
      </c>
      <c r="B1309" s="1" t="s">
        <v>987</v>
      </c>
      <c r="C1309" s="1" t="s">
        <v>21</v>
      </c>
      <c r="D1309" s="4" t="s">
        <v>4203</v>
      </c>
      <c r="E1309" s="1" t="s">
        <v>4072</v>
      </c>
      <c r="F1309" s="1" t="s">
        <v>4073</v>
      </c>
      <c r="G1309" s="1" t="s">
        <v>4149</v>
      </c>
      <c r="H1309" s="7" t="s">
        <v>4204</v>
      </c>
      <c r="I1309" s="1" t="str">
        <f t="shared" si="1"/>
        <v>4</v>
      </c>
      <c r="J1309" s="5"/>
      <c r="K1309" s="1" t="str">
        <f t="shared" si="2"/>
        <v>3</v>
      </c>
      <c r="L1309" s="5"/>
      <c r="M1309" s="2" t="str">
        <f t="shared" si="3"/>
        <v>1381</v>
      </c>
      <c r="N1309" s="1"/>
      <c r="O1309" s="13">
        <v>65.0</v>
      </c>
      <c r="P1309" s="5"/>
      <c r="Q1309" s="5"/>
      <c r="R1309" s="8" t="s">
        <v>4204</v>
      </c>
      <c r="S1309" s="5"/>
      <c r="T1309" s="1" t="str">
        <f>IFERROR(__xludf.DUMMYFUNCTION("INDEX(SPLIT(A1309, ""/""), 2)"),"کانون‌های فرهنگی هنری")</f>
        <v>کانون‌های فرهنگی هنری</v>
      </c>
      <c r="U1309" s="1" t="str">
        <f>IFERROR(__xludf.DUMMYFUNCTION("INDEX(SPLIT(A1309, ""/""), 3)"),"روزنامه شریف")</f>
        <v>روزنامه شریف</v>
      </c>
      <c r="V1309" s="1" t="str">
        <f>IFERROR(__xludf.DUMMYFUNCTION("INDEX(SPLIT(A1309, ""/""), 4)"),"#REF!")</f>
        <v>#REF!</v>
      </c>
    </row>
    <row r="1310">
      <c r="A1310" s="1" t="s">
        <v>4070</v>
      </c>
      <c r="B1310" s="1" t="s">
        <v>4205</v>
      </c>
      <c r="C1310" s="1" t="s">
        <v>21</v>
      </c>
      <c r="D1310" s="4" t="s">
        <v>4206</v>
      </c>
      <c r="E1310" s="1" t="s">
        <v>4072</v>
      </c>
      <c r="F1310" s="1" t="s">
        <v>4073</v>
      </c>
      <c r="G1310" s="1" t="s">
        <v>4149</v>
      </c>
      <c r="H1310" s="7" t="s">
        <v>4207</v>
      </c>
      <c r="I1310" s="1" t="str">
        <f t="shared" si="1"/>
        <v>7</v>
      </c>
      <c r="J1310" s="5"/>
      <c r="K1310" s="1" t="str">
        <f t="shared" si="2"/>
        <v>3</v>
      </c>
      <c r="L1310" s="5"/>
      <c r="M1310" s="2" t="str">
        <f t="shared" si="3"/>
        <v>1381</v>
      </c>
      <c r="N1310" s="1"/>
      <c r="O1310" s="13">
        <v>66.0</v>
      </c>
      <c r="P1310" s="5"/>
      <c r="Q1310" s="5"/>
      <c r="R1310" s="8" t="s">
        <v>4207</v>
      </c>
      <c r="S1310" s="5"/>
      <c r="T1310" s="1" t="str">
        <f>IFERROR(__xludf.DUMMYFUNCTION("INDEX(SPLIT(A1310, ""/""), 2)"),"کانون‌های فرهنگی هنری")</f>
        <v>کانون‌های فرهنگی هنری</v>
      </c>
      <c r="U1310" s="1" t="str">
        <f>IFERROR(__xludf.DUMMYFUNCTION("INDEX(SPLIT(A1310, ""/""), 3)"),"روزنامه شریف")</f>
        <v>روزنامه شریف</v>
      </c>
      <c r="V1310" s="1" t="str">
        <f>IFERROR(__xludf.DUMMYFUNCTION("INDEX(SPLIT(A1310, ""/""), 4)"),"#REF!")</f>
        <v>#REF!</v>
      </c>
    </row>
    <row r="1311">
      <c r="A1311" s="1" t="s">
        <v>4070</v>
      </c>
      <c r="B1311" s="1" t="s">
        <v>4208</v>
      </c>
      <c r="C1311" s="1" t="s">
        <v>21</v>
      </c>
      <c r="D1311" s="4" t="s">
        <v>4209</v>
      </c>
      <c r="E1311" s="1" t="s">
        <v>4072</v>
      </c>
      <c r="F1311" s="1" t="s">
        <v>4073</v>
      </c>
      <c r="G1311" s="1" t="s">
        <v>4149</v>
      </c>
      <c r="H1311" s="1" t="s">
        <v>4210</v>
      </c>
      <c r="I1311" s="1" t="str">
        <f t="shared" si="1"/>
        <v>18</v>
      </c>
      <c r="J1311" s="5"/>
      <c r="K1311" s="1" t="str">
        <f t="shared" si="2"/>
        <v>3</v>
      </c>
      <c r="L1311" s="5"/>
      <c r="M1311" s="2" t="str">
        <f t="shared" si="3"/>
        <v>1381</v>
      </c>
      <c r="N1311" s="1"/>
      <c r="O1311" s="13">
        <v>67.0</v>
      </c>
      <c r="P1311" s="5"/>
      <c r="Q1311" s="5"/>
      <c r="R1311" s="6" t="s">
        <v>4210</v>
      </c>
      <c r="S1311" s="5"/>
      <c r="T1311" s="1" t="str">
        <f>IFERROR(__xludf.DUMMYFUNCTION("INDEX(SPLIT(A1311, ""/""), 2)"),"کانون‌های فرهنگی هنری")</f>
        <v>کانون‌های فرهنگی هنری</v>
      </c>
      <c r="U1311" s="1" t="str">
        <f>IFERROR(__xludf.DUMMYFUNCTION("INDEX(SPLIT(A1311, ""/""), 3)"),"روزنامه شریف")</f>
        <v>روزنامه شریف</v>
      </c>
      <c r="V1311" s="1" t="str">
        <f>IFERROR(__xludf.DUMMYFUNCTION("INDEX(SPLIT(A1311, ""/""), 4)"),"#REF!")</f>
        <v>#REF!</v>
      </c>
    </row>
    <row r="1312">
      <c r="A1312" s="1" t="s">
        <v>4070</v>
      </c>
      <c r="B1312" s="1" t="s">
        <v>997</v>
      </c>
      <c r="C1312" s="1" t="s">
        <v>21</v>
      </c>
      <c r="D1312" s="4" t="s">
        <v>4211</v>
      </c>
      <c r="E1312" s="1" t="s">
        <v>4072</v>
      </c>
      <c r="F1312" s="1" t="s">
        <v>4073</v>
      </c>
      <c r="G1312" s="1" t="s">
        <v>4149</v>
      </c>
      <c r="H1312" s="1" t="s">
        <v>4212</v>
      </c>
      <c r="I1312" s="1" t="str">
        <f t="shared" si="1"/>
        <v>21</v>
      </c>
      <c r="J1312" s="5"/>
      <c r="K1312" s="1" t="str">
        <f t="shared" si="2"/>
        <v>3</v>
      </c>
      <c r="L1312" s="5"/>
      <c r="M1312" s="2" t="str">
        <f t="shared" si="3"/>
        <v>1381</v>
      </c>
      <c r="N1312" s="1"/>
      <c r="O1312" s="13">
        <v>68.0</v>
      </c>
      <c r="P1312" s="5"/>
      <c r="Q1312" s="5"/>
      <c r="R1312" s="6" t="s">
        <v>4212</v>
      </c>
      <c r="S1312" s="5"/>
      <c r="T1312" s="1" t="str">
        <f>IFERROR(__xludf.DUMMYFUNCTION("INDEX(SPLIT(A1312, ""/""), 2)"),"کانون‌های فرهنگی هنری")</f>
        <v>کانون‌های فرهنگی هنری</v>
      </c>
      <c r="U1312" s="1" t="str">
        <f>IFERROR(__xludf.DUMMYFUNCTION("INDEX(SPLIT(A1312, ""/""), 3)"),"روزنامه شریف")</f>
        <v>روزنامه شریف</v>
      </c>
      <c r="V1312" s="1" t="str">
        <f>IFERROR(__xludf.DUMMYFUNCTION("INDEX(SPLIT(A1312, ""/""), 4)"),"#REF!")</f>
        <v>#REF!</v>
      </c>
    </row>
    <row r="1313">
      <c r="A1313" s="1" t="s">
        <v>4070</v>
      </c>
      <c r="B1313" s="1" t="s">
        <v>1001</v>
      </c>
      <c r="C1313" s="1" t="s">
        <v>21</v>
      </c>
      <c r="D1313" s="4" t="s">
        <v>4213</v>
      </c>
      <c r="E1313" s="1" t="s">
        <v>4072</v>
      </c>
      <c r="F1313" s="1" t="s">
        <v>4073</v>
      </c>
      <c r="G1313" s="1" t="s">
        <v>4149</v>
      </c>
      <c r="H1313" s="1" t="s">
        <v>4214</v>
      </c>
      <c r="I1313" s="1" t="str">
        <f t="shared" si="1"/>
        <v>18</v>
      </c>
      <c r="J1313" s="5"/>
      <c r="K1313" s="1" t="str">
        <f t="shared" si="2"/>
        <v>4</v>
      </c>
      <c r="L1313" s="5"/>
      <c r="M1313" s="2" t="str">
        <f t="shared" si="3"/>
        <v>1381</v>
      </c>
      <c r="N1313" s="1"/>
      <c r="O1313" s="13">
        <v>69.0</v>
      </c>
      <c r="P1313" s="5"/>
      <c r="Q1313" s="5"/>
      <c r="R1313" s="6" t="s">
        <v>4214</v>
      </c>
      <c r="S1313" s="5"/>
      <c r="T1313" s="1" t="str">
        <f>IFERROR(__xludf.DUMMYFUNCTION("INDEX(SPLIT(A1313, ""/""), 2)"),"کانون‌های فرهنگی هنری")</f>
        <v>کانون‌های فرهنگی هنری</v>
      </c>
      <c r="U1313" s="1" t="str">
        <f>IFERROR(__xludf.DUMMYFUNCTION("INDEX(SPLIT(A1313, ""/""), 3)"),"روزنامه شریف")</f>
        <v>روزنامه شریف</v>
      </c>
      <c r="V1313" s="1" t="str">
        <f>IFERROR(__xludf.DUMMYFUNCTION("INDEX(SPLIT(A1313, ""/""), 4)"),"#REF!")</f>
        <v>#REF!</v>
      </c>
    </row>
    <row r="1314">
      <c r="A1314" s="1" t="s">
        <v>4070</v>
      </c>
      <c r="B1314" s="1" t="s">
        <v>4215</v>
      </c>
      <c r="C1314" s="1" t="s">
        <v>21</v>
      </c>
      <c r="D1314" s="4" t="s">
        <v>4216</v>
      </c>
      <c r="E1314" s="1" t="s">
        <v>4072</v>
      </c>
      <c r="F1314" s="1" t="s">
        <v>4073</v>
      </c>
      <c r="G1314" s="1" t="s">
        <v>4149</v>
      </c>
      <c r="H1314" s="7" t="s">
        <v>4217</v>
      </c>
      <c r="I1314" s="1" t="str">
        <f t="shared" si="1"/>
        <v>1</v>
      </c>
      <c r="J1314" s="5"/>
      <c r="K1314" s="1" t="str">
        <f t="shared" si="2"/>
        <v>5</v>
      </c>
      <c r="L1314" s="5"/>
      <c r="M1314" s="2" t="str">
        <f t="shared" si="3"/>
        <v>1381</v>
      </c>
      <c r="N1314" s="1"/>
      <c r="O1314" s="13">
        <v>70.0</v>
      </c>
      <c r="P1314" s="5"/>
      <c r="Q1314" s="5"/>
      <c r="R1314" s="8" t="s">
        <v>4217</v>
      </c>
      <c r="S1314" s="5"/>
      <c r="T1314" s="1" t="str">
        <f>IFERROR(__xludf.DUMMYFUNCTION("INDEX(SPLIT(A1314, ""/""), 2)"),"کانون‌های فرهنگی هنری")</f>
        <v>کانون‌های فرهنگی هنری</v>
      </c>
      <c r="U1314" s="1" t="str">
        <f>IFERROR(__xludf.DUMMYFUNCTION("INDEX(SPLIT(A1314, ""/""), 3)"),"روزنامه شریف")</f>
        <v>روزنامه شریف</v>
      </c>
      <c r="V1314" s="1" t="str">
        <f>IFERROR(__xludf.DUMMYFUNCTION("INDEX(SPLIT(A1314, ""/""), 4)"),"#REF!")</f>
        <v>#REF!</v>
      </c>
    </row>
    <row r="1315">
      <c r="A1315" s="1" t="s">
        <v>4070</v>
      </c>
      <c r="B1315" s="1" t="s">
        <v>4218</v>
      </c>
      <c r="C1315" s="1" t="s">
        <v>21</v>
      </c>
      <c r="D1315" s="4" t="s">
        <v>4219</v>
      </c>
      <c r="E1315" s="1" t="s">
        <v>4072</v>
      </c>
      <c r="F1315" s="1" t="s">
        <v>4073</v>
      </c>
      <c r="G1315" s="1" t="s">
        <v>4149</v>
      </c>
      <c r="H1315" s="1" t="s">
        <v>4220</v>
      </c>
      <c r="I1315" s="1" t="str">
        <f t="shared" si="1"/>
        <v>15</v>
      </c>
      <c r="J1315" s="5"/>
      <c r="K1315" s="1" t="str">
        <f t="shared" si="2"/>
        <v>5</v>
      </c>
      <c r="L1315" s="5"/>
      <c r="M1315" s="2" t="str">
        <f t="shared" si="3"/>
        <v>1381</v>
      </c>
      <c r="N1315" s="1"/>
      <c r="O1315" s="13">
        <v>71.0</v>
      </c>
      <c r="P1315" s="5"/>
      <c r="Q1315" s="5"/>
      <c r="R1315" s="6" t="s">
        <v>4220</v>
      </c>
      <c r="S1315" s="5"/>
      <c r="T1315" s="1" t="str">
        <f>IFERROR(__xludf.DUMMYFUNCTION("INDEX(SPLIT(A1315, ""/""), 2)"),"کانون‌های فرهنگی هنری")</f>
        <v>کانون‌های فرهنگی هنری</v>
      </c>
      <c r="U1315" s="1" t="str">
        <f>IFERROR(__xludf.DUMMYFUNCTION("INDEX(SPLIT(A1315, ""/""), 3)"),"روزنامه شریف")</f>
        <v>روزنامه شریف</v>
      </c>
      <c r="V1315" s="1" t="str">
        <f>IFERROR(__xludf.DUMMYFUNCTION("INDEX(SPLIT(A1315, ""/""), 4)"),"#REF!")</f>
        <v>#REF!</v>
      </c>
    </row>
    <row r="1316">
      <c r="A1316" s="1" t="s">
        <v>4070</v>
      </c>
      <c r="B1316" s="1" t="s">
        <v>1004</v>
      </c>
      <c r="C1316" s="1" t="s">
        <v>21</v>
      </c>
      <c r="D1316" s="4" t="s">
        <v>4221</v>
      </c>
      <c r="E1316" s="1" t="s">
        <v>4072</v>
      </c>
      <c r="F1316" s="1" t="s">
        <v>4073</v>
      </c>
      <c r="G1316" s="1" t="s">
        <v>4149</v>
      </c>
      <c r="H1316" s="1" t="s">
        <v>4222</v>
      </c>
      <c r="I1316" s="1" t="str">
        <f t="shared" si="1"/>
        <v>29</v>
      </c>
      <c r="J1316" s="5"/>
      <c r="K1316" s="1" t="str">
        <f t="shared" si="2"/>
        <v>5</v>
      </c>
      <c r="L1316" s="5"/>
      <c r="M1316" s="2" t="str">
        <f t="shared" si="3"/>
        <v>1381</v>
      </c>
      <c r="N1316" s="1"/>
      <c r="O1316" s="13">
        <v>72.0</v>
      </c>
      <c r="P1316" s="5"/>
      <c r="Q1316" s="5"/>
      <c r="R1316" s="6" t="s">
        <v>4222</v>
      </c>
      <c r="S1316" s="5"/>
      <c r="T1316" s="1" t="str">
        <f>IFERROR(__xludf.DUMMYFUNCTION("INDEX(SPLIT(A1316, ""/""), 2)"),"کانون‌های فرهنگی هنری")</f>
        <v>کانون‌های فرهنگی هنری</v>
      </c>
      <c r="U1316" s="1" t="str">
        <f>IFERROR(__xludf.DUMMYFUNCTION("INDEX(SPLIT(A1316, ""/""), 3)"),"روزنامه شریف")</f>
        <v>روزنامه شریف</v>
      </c>
      <c r="V1316" s="1" t="str">
        <f>IFERROR(__xludf.DUMMYFUNCTION("INDEX(SPLIT(A1316, ""/""), 4)"),"#REF!")</f>
        <v>#REF!</v>
      </c>
    </row>
    <row r="1317">
      <c r="A1317" s="1" t="s">
        <v>4070</v>
      </c>
      <c r="B1317" s="1" t="s">
        <v>1008</v>
      </c>
      <c r="C1317" s="1" t="s">
        <v>21</v>
      </c>
      <c r="D1317" s="4" t="s">
        <v>4223</v>
      </c>
      <c r="E1317" s="1" t="s">
        <v>4072</v>
      </c>
      <c r="F1317" s="1" t="s">
        <v>4073</v>
      </c>
      <c r="G1317" s="1" t="s">
        <v>4149</v>
      </c>
      <c r="H1317" s="1" t="s">
        <v>4224</v>
      </c>
      <c r="I1317" s="1" t="str">
        <f t="shared" si="1"/>
        <v>16</v>
      </c>
      <c r="J1317" s="5"/>
      <c r="K1317" s="1" t="str">
        <f t="shared" si="2"/>
        <v>6</v>
      </c>
      <c r="L1317" s="5"/>
      <c r="M1317" s="2" t="str">
        <f t="shared" si="3"/>
        <v>1381</v>
      </c>
      <c r="N1317" s="1"/>
      <c r="O1317" s="13">
        <v>73.0</v>
      </c>
      <c r="P1317" s="5"/>
      <c r="Q1317" s="5"/>
      <c r="R1317" s="6" t="s">
        <v>4224</v>
      </c>
      <c r="S1317" s="5"/>
      <c r="T1317" s="1" t="str">
        <f>IFERROR(__xludf.DUMMYFUNCTION("INDEX(SPLIT(A1317, ""/""), 2)"),"کانون‌های فرهنگی هنری")</f>
        <v>کانون‌های فرهنگی هنری</v>
      </c>
      <c r="U1317" s="1" t="str">
        <f>IFERROR(__xludf.DUMMYFUNCTION("INDEX(SPLIT(A1317, ""/""), 3)"),"روزنامه شریف")</f>
        <v>روزنامه شریف</v>
      </c>
      <c r="V1317" s="1" t="str">
        <f>IFERROR(__xludf.DUMMYFUNCTION("INDEX(SPLIT(A1317, ""/""), 4)"),"#REF!")</f>
        <v>#REF!</v>
      </c>
    </row>
    <row r="1318">
      <c r="A1318" s="1" t="s">
        <v>4070</v>
      </c>
      <c r="B1318" s="1" t="s">
        <v>4225</v>
      </c>
      <c r="C1318" s="1" t="s">
        <v>21</v>
      </c>
      <c r="D1318" s="4" t="s">
        <v>4226</v>
      </c>
      <c r="E1318" s="1" t="s">
        <v>4072</v>
      </c>
      <c r="F1318" s="1" t="s">
        <v>4073</v>
      </c>
      <c r="G1318" s="1" t="s">
        <v>4149</v>
      </c>
      <c r="H1318" s="1" t="s">
        <v>4224</v>
      </c>
      <c r="I1318" s="1" t="str">
        <f t="shared" si="1"/>
        <v>16</v>
      </c>
      <c r="J1318" s="5"/>
      <c r="K1318" s="1" t="str">
        <f t="shared" si="2"/>
        <v>6</v>
      </c>
      <c r="L1318" s="5"/>
      <c r="M1318" s="2" t="str">
        <f t="shared" si="3"/>
        <v>1381</v>
      </c>
      <c r="N1318" s="1"/>
      <c r="O1318" s="13">
        <v>74.0</v>
      </c>
      <c r="P1318" s="5"/>
      <c r="Q1318" s="5"/>
      <c r="R1318" s="6" t="s">
        <v>4224</v>
      </c>
      <c r="S1318" s="5"/>
      <c r="T1318" s="1" t="str">
        <f>IFERROR(__xludf.DUMMYFUNCTION("INDEX(SPLIT(A1318, ""/""), 2)"),"کانون‌های فرهنگی هنری")</f>
        <v>کانون‌های فرهنگی هنری</v>
      </c>
      <c r="U1318" s="1" t="str">
        <f>IFERROR(__xludf.DUMMYFUNCTION("INDEX(SPLIT(A1318, ""/""), 3)"),"روزنامه شریف")</f>
        <v>روزنامه شریف</v>
      </c>
      <c r="V1318" s="1" t="str">
        <f>IFERROR(__xludf.DUMMYFUNCTION("INDEX(SPLIT(A1318, ""/""), 4)"),"#REF!")</f>
        <v>#REF!</v>
      </c>
    </row>
    <row r="1319">
      <c r="A1319" s="1" t="s">
        <v>4070</v>
      </c>
      <c r="B1319" s="1" t="s">
        <v>4227</v>
      </c>
      <c r="C1319" s="1" t="s">
        <v>21</v>
      </c>
      <c r="D1319" s="4" t="s">
        <v>4228</v>
      </c>
      <c r="E1319" s="1" t="s">
        <v>4072</v>
      </c>
      <c r="F1319" s="1" t="s">
        <v>4073</v>
      </c>
      <c r="G1319" s="1" t="s">
        <v>4149</v>
      </c>
      <c r="H1319" s="1" t="s">
        <v>4229</v>
      </c>
      <c r="I1319" s="1" t="str">
        <f t="shared" si="1"/>
        <v>26</v>
      </c>
      <c r="J1319" s="5"/>
      <c r="K1319" s="1" t="str">
        <f t="shared" si="2"/>
        <v>6</v>
      </c>
      <c r="L1319" s="5"/>
      <c r="M1319" s="2" t="str">
        <f t="shared" si="3"/>
        <v>1381</v>
      </c>
      <c r="N1319" s="1"/>
      <c r="O1319" s="13">
        <v>75.0</v>
      </c>
      <c r="P1319" s="5"/>
      <c r="Q1319" s="5"/>
      <c r="R1319" s="6" t="s">
        <v>4229</v>
      </c>
      <c r="S1319" s="5"/>
      <c r="T1319" s="1" t="str">
        <f>IFERROR(__xludf.DUMMYFUNCTION("INDEX(SPLIT(A1319, ""/""), 2)"),"کانون‌های فرهنگی هنری")</f>
        <v>کانون‌های فرهنگی هنری</v>
      </c>
      <c r="U1319" s="1" t="str">
        <f>IFERROR(__xludf.DUMMYFUNCTION("INDEX(SPLIT(A1319, ""/""), 3)"),"روزنامه شریف")</f>
        <v>روزنامه شریف</v>
      </c>
      <c r="V1319" s="1" t="str">
        <f>IFERROR(__xludf.DUMMYFUNCTION("INDEX(SPLIT(A1319, ""/""), 4)"),"#REF!")</f>
        <v>#REF!</v>
      </c>
    </row>
    <row r="1320">
      <c r="A1320" s="1" t="s">
        <v>4070</v>
      </c>
      <c r="B1320" s="1" t="s">
        <v>4230</v>
      </c>
      <c r="C1320" s="1" t="s">
        <v>21</v>
      </c>
      <c r="D1320" s="4" t="s">
        <v>4231</v>
      </c>
      <c r="E1320" s="1" t="s">
        <v>4072</v>
      </c>
      <c r="F1320" s="1" t="s">
        <v>4073</v>
      </c>
      <c r="G1320" s="1" t="s">
        <v>4149</v>
      </c>
      <c r="H1320" s="1" t="s">
        <v>3613</v>
      </c>
      <c r="I1320" s="1" t="str">
        <f t="shared" si="1"/>
        <v>x</v>
      </c>
      <c r="J1320" s="5"/>
      <c r="K1320" s="1" t="str">
        <f t="shared" si="2"/>
        <v>x</v>
      </c>
      <c r="L1320" s="5"/>
      <c r="M1320" s="2" t="str">
        <f t="shared" si="3"/>
        <v>1381</v>
      </c>
      <c r="N1320" s="1"/>
      <c r="O1320" s="13">
        <v>76.0</v>
      </c>
      <c r="P1320" s="5"/>
      <c r="Q1320" s="5"/>
      <c r="R1320" s="8" t="s">
        <v>3615</v>
      </c>
      <c r="S1320" s="5"/>
      <c r="T1320" s="1" t="str">
        <f>IFERROR(__xludf.DUMMYFUNCTION("INDEX(SPLIT(A1320, ""/""), 2)"),"کانون‌های فرهنگی هنری")</f>
        <v>کانون‌های فرهنگی هنری</v>
      </c>
      <c r="U1320" s="1" t="str">
        <f>IFERROR(__xludf.DUMMYFUNCTION("INDEX(SPLIT(A1320, ""/""), 3)"),"روزنامه شریف")</f>
        <v>روزنامه شریف</v>
      </c>
      <c r="V1320" s="1" t="str">
        <f>IFERROR(__xludf.DUMMYFUNCTION("INDEX(SPLIT(A1320, ""/""), 4)"),"#REF!")</f>
        <v>#REF!</v>
      </c>
    </row>
    <row r="1321">
      <c r="A1321" s="1" t="s">
        <v>4070</v>
      </c>
      <c r="B1321" s="1" t="s">
        <v>1023</v>
      </c>
      <c r="C1321" s="1" t="s">
        <v>21</v>
      </c>
      <c r="D1321" s="4" t="s">
        <v>4232</v>
      </c>
      <c r="E1321" s="1" t="s">
        <v>4072</v>
      </c>
      <c r="F1321" s="1" t="s">
        <v>4073</v>
      </c>
      <c r="G1321" s="1" t="s">
        <v>4149</v>
      </c>
      <c r="H1321" s="7" t="s">
        <v>4233</v>
      </c>
      <c r="I1321" s="1" t="str">
        <f t="shared" si="1"/>
        <v>2</v>
      </c>
      <c r="J1321" s="5"/>
      <c r="K1321" s="1" t="str">
        <f t="shared" si="2"/>
        <v>7</v>
      </c>
      <c r="L1321" s="5"/>
      <c r="M1321" s="2" t="str">
        <f t="shared" si="3"/>
        <v>1381</v>
      </c>
      <c r="N1321" s="1"/>
      <c r="O1321" s="13">
        <v>77.0</v>
      </c>
      <c r="P1321" s="5"/>
      <c r="Q1321" s="5"/>
      <c r="R1321" s="8" t="s">
        <v>4233</v>
      </c>
      <c r="S1321" s="5"/>
      <c r="T1321" s="1" t="str">
        <f>IFERROR(__xludf.DUMMYFUNCTION("INDEX(SPLIT(A1321, ""/""), 2)"),"کانون‌های فرهنگی هنری")</f>
        <v>کانون‌های فرهنگی هنری</v>
      </c>
      <c r="U1321" s="1" t="str">
        <f>IFERROR(__xludf.DUMMYFUNCTION("INDEX(SPLIT(A1321, ""/""), 3)"),"روزنامه شریف")</f>
        <v>روزنامه شریف</v>
      </c>
      <c r="V1321" s="1" t="str">
        <f>IFERROR(__xludf.DUMMYFUNCTION("INDEX(SPLIT(A1321, ""/""), 4)"),"#REF!")</f>
        <v>#REF!</v>
      </c>
    </row>
    <row r="1322">
      <c r="A1322" s="1" t="s">
        <v>4070</v>
      </c>
      <c r="B1322" s="1" t="s">
        <v>1029</v>
      </c>
      <c r="C1322" s="1" t="s">
        <v>21</v>
      </c>
      <c r="D1322" s="4" t="s">
        <v>4234</v>
      </c>
      <c r="E1322" s="1" t="s">
        <v>4072</v>
      </c>
      <c r="F1322" s="1" t="s">
        <v>4073</v>
      </c>
      <c r="G1322" s="1" t="s">
        <v>4149</v>
      </c>
      <c r="H1322" s="7" t="s">
        <v>4235</v>
      </c>
      <c r="I1322" s="1" t="str">
        <f t="shared" si="1"/>
        <v>6</v>
      </c>
      <c r="J1322" s="5"/>
      <c r="K1322" s="1" t="str">
        <f t="shared" si="2"/>
        <v>7</v>
      </c>
      <c r="L1322" s="5"/>
      <c r="M1322" s="2" t="str">
        <f t="shared" si="3"/>
        <v>1381</v>
      </c>
      <c r="N1322" s="1"/>
      <c r="O1322" s="13">
        <v>78.0</v>
      </c>
      <c r="P1322" s="5"/>
      <c r="Q1322" s="5"/>
      <c r="R1322" s="8" t="s">
        <v>4235</v>
      </c>
      <c r="S1322" s="5"/>
      <c r="T1322" s="1" t="str">
        <f>IFERROR(__xludf.DUMMYFUNCTION("INDEX(SPLIT(A1322, ""/""), 2)"),"کانون‌های فرهنگی هنری")</f>
        <v>کانون‌های فرهنگی هنری</v>
      </c>
      <c r="U1322" s="1" t="str">
        <f>IFERROR(__xludf.DUMMYFUNCTION("INDEX(SPLIT(A1322, ""/""), 3)"),"روزنامه شریف")</f>
        <v>روزنامه شریف</v>
      </c>
      <c r="V1322" s="1" t="str">
        <f>IFERROR(__xludf.DUMMYFUNCTION("INDEX(SPLIT(A1322, ""/""), 4)"),"#REF!")</f>
        <v>#REF!</v>
      </c>
    </row>
    <row r="1323">
      <c r="A1323" s="1" t="s">
        <v>4070</v>
      </c>
      <c r="B1323" s="1" t="s">
        <v>1033</v>
      </c>
      <c r="C1323" s="1" t="s">
        <v>21</v>
      </c>
      <c r="D1323" s="4" t="s">
        <v>4236</v>
      </c>
      <c r="E1323" s="1" t="s">
        <v>4072</v>
      </c>
      <c r="F1323" s="1" t="s">
        <v>4073</v>
      </c>
      <c r="G1323" s="1" t="s">
        <v>4149</v>
      </c>
      <c r="H1323" s="7" t="s">
        <v>4237</v>
      </c>
      <c r="I1323" s="1" t="str">
        <f t="shared" si="1"/>
        <v>9</v>
      </c>
      <c r="J1323" s="5"/>
      <c r="K1323" s="1" t="str">
        <f t="shared" si="2"/>
        <v>7</v>
      </c>
      <c r="L1323" s="5"/>
      <c r="M1323" s="2" t="str">
        <f t="shared" si="3"/>
        <v>1381</v>
      </c>
      <c r="N1323" s="1"/>
      <c r="O1323" s="13">
        <v>79.0</v>
      </c>
      <c r="P1323" s="5"/>
      <c r="Q1323" s="5"/>
      <c r="R1323" s="8" t="s">
        <v>4237</v>
      </c>
      <c r="S1323" s="5"/>
      <c r="T1323" s="1" t="str">
        <f>IFERROR(__xludf.DUMMYFUNCTION("INDEX(SPLIT(A1323, ""/""), 2)"),"کانون‌های فرهنگی هنری")</f>
        <v>کانون‌های فرهنگی هنری</v>
      </c>
      <c r="U1323" s="1" t="str">
        <f>IFERROR(__xludf.DUMMYFUNCTION("INDEX(SPLIT(A1323, ""/""), 3)"),"روزنامه شریف")</f>
        <v>روزنامه شریف</v>
      </c>
      <c r="V1323" s="1" t="str">
        <f>IFERROR(__xludf.DUMMYFUNCTION("INDEX(SPLIT(A1323, ""/""), 4)"),"#REF!")</f>
        <v>#REF!</v>
      </c>
    </row>
    <row r="1324">
      <c r="A1324" s="1" t="s">
        <v>4070</v>
      </c>
      <c r="B1324" s="1" t="s">
        <v>1035</v>
      </c>
      <c r="C1324" s="1" t="s">
        <v>21</v>
      </c>
      <c r="D1324" s="4" t="s">
        <v>4238</v>
      </c>
      <c r="E1324" s="1" t="s">
        <v>4072</v>
      </c>
      <c r="F1324" s="1" t="s">
        <v>4073</v>
      </c>
      <c r="G1324" s="1" t="s">
        <v>4149</v>
      </c>
      <c r="H1324" s="1" t="s">
        <v>4239</v>
      </c>
      <c r="I1324" s="1" t="str">
        <f t="shared" si="1"/>
        <v>16</v>
      </c>
      <c r="J1324" s="5"/>
      <c r="K1324" s="1" t="str">
        <f t="shared" si="2"/>
        <v>7</v>
      </c>
      <c r="L1324" s="5"/>
      <c r="M1324" s="2" t="str">
        <f t="shared" si="3"/>
        <v>1381</v>
      </c>
      <c r="N1324" s="1"/>
      <c r="O1324" s="13">
        <v>80.0</v>
      </c>
      <c r="P1324" s="5"/>
      <c r="Q1324" s="5"/>
      <c r="R1324" s="6" t="s">
        <v>4239</v>
      </c>
      <c r="S1324" s="5"/>
      <c r="T1324" s="1" t="str">
        <f>IFERROR(__xludf.DUMMYFUNCTION("INDEX(SPLIT(A1324, ""/""), 2)"),"کانون‌های فرهنگی هنری")</f>
        <v>کانون‌های فرهنگی هنری</v>
      </c>
      <c r="U1324" s="1" t="str">
        <f>IFERROR(__xludf.DUMMYFUNCTION("INDEX(SPLIT(A1324, ""/""), 3)"),"روزنامه شریف")</f>
        <v>روزنامه شریف</v>
      </c>
      <c r="V1324" s="1" t="str">
        <f>IFERROR(__xludf.DUMMYFUNCTION("INDEX(SPLIT(A1324, ""/""), 4)"),"#REF!")</f>
        <v>#REF!</v>
      </c>
    </row>
    <row r="1325">
      <c r="A1325" s="1" t="s">
        <v>4070</v>
      </c>
      <c r="B1325" s="1" t="s">
        <v>1037</v>
      </c>
      <c r="C1325" s="1" t="s">
        <v>21</v>
      </c>
      <c r="D1325" s="4" t="s">
        <v>4240</v>
      </c>
      <c r="E1325" s="1" t="s">
        <v>4072</v>
      </c>
      <c r="F1325" s="1" t="s">
        <v>4073</v>
      </c>
      <c r="G1325" s="1" t="s">
        <v>4149</v>
      </c>
      <c r="H1325" s="1" t="s">
        <v>4241</v>
      </c>
      <c r="I1325" s="1" t="str">
        <f t="shared" si="1"/>
        <v>20</v>
      </c>
      <c r="J1325" s="5"/>
      <c r="K1325" s="1" t="str">
        <f t="shared" si="2"/>
        <v>7</v>
      </c>
      <c r="L1325" s="5"/>
      <c r="M1325" s="2" t="str">
        <f t="shared" si="3"/>
        <v>1381</v>
      </c>
      <c r="N1325" s="1"/>
      <c r="O1325" s="13">
        <v>81.0</v>
      </c>
      <c r="P1325" s="5"/>
      <c r="Q1325" s="5"/>
      <c r="R1325" s="6" t="s">
        <v>4241</v>
      </c>
      <c r="S1325" s="5"/>
      <c r="T1325" s="1" t="str">
        <f>IFERROR(__xludf.DUMMYFUNCTION("INDEX(SPLIT(A1325, ""/""), 2)"),"کانون‌های فرهنگی هنری")</f>
        <v>کانون‌های فرهنگی هنری</v>
      </c>
      <c r="U1325" s="1" t="str">
        <f>IFERROR(__xludf.DUMMYFUNCTION("INDEX(SPLIT(A1325, ""/""), 3)"),"روزنامه شریف")</f>
        <v>روزنامه شریف</v>
      </c>
      <c r="V1325" s="1" t="str">
        <f>IFERROR(__xludf.DUMMYFUNCTION("INDEX(SPLIT(A1325, ""/""), 4)"),"#REF!")</f>
        <v>#REF!</v>
      </c>
    </row>
    <row r="1326">
      <c r="A1326" s="1" t="s">
        <v>4070</v>
      </c>
      <c r="B1326" s="1" t="s">
        <v>1039</v>
      </c>
      <c r="C1326" s="1" t="s">
        <v>21</v>
      </c>
      <c r="D1326" s="4" t="s">
        <v>4242</v>
      </c>
      <c r="E1326" s="1" t="s">
        <v>4072</v>
      </c>
      <c r="F1326" s="1" t="s">
        <v>4073</v>
      </c>
      <c r="G1326" s="1" t="s">
        <v>4149</v>
      </c>
      <c r="H1326" s="1" t="s">
        <v>4243</v>
      </c>
      <c r="I1326" s="1" t="str">
        <f t="shared" si="1"/>
        <v>23</v>
      </c>
      <c r="J1326" s="5"/>
      <c r="K1326" s="1" t="str">
        <f t="shared" si="2"/>
        <v>7</v>
      </c>
      <c r="L1326" s="5"/>
      <c r="M1326" s="2" t="str">
        <f t="shared" si="3"/>
        <v>1381</v>
      </c>
      <c r="N1326" s="1"/>
      <c r="O1326" s="13">
        <v>82.0</v>
      </c>
      <c r="P1326" s="5"/>
      <c r="Q1326" s="5"/>
      <c r="R1326" s="6" t="s">
        <v>4243</v>
      </c>
      <c r="S1326" s="5"/>
      <c r="T1326" s="1" t="str">
        <f>IFERROR(__xludf.DUMMYFUNCTION("INDEX(SPLIT(A1326, ""/""), 2)"),"کانون‌های فرهنگی هنری")</f>
        <v>کانون‌های فرهنگی هنری</v>
      </c>
      <c r="U1326" s="1" t="str">
        <f>IFERROR(__xludf.DUMMYFUNCTION("INDEX(SPLIT(A1326, ""/""), 3)"),"روزنامه شریف")</f>
        <v>روزنامه شریف</v>
      </c>
      <c r="V1326" s="1" t="str">
        <f>IFERROR(__xludf.DUMMYFUNCTION("INDEX(SPLIT(A1326, ""/""), 4)"),"#REF!")</f>
        <v>#REF!</v>
      </c>
    </row>
    <row r="1327">
      <c r="A1327" s="1" t="s">
        <v>4070</v>
      </c>
      <c r="B1327" s="1" t="s">
        <v>4244</v>
      </c>
      <c r="C1327" s="1" t="s">
        <v>21</v>
      </c>
      <c r="D1327" s="4" t="s">
        <v>4245</v>
      </c>
      <c r="E1327" s="1" t="s">
        <v>4072</v>
      </c>
      <c r="F1327" s="1" t="s">
        <v>4073</v>
      </c>
      <c r="G1327" s="1" t="s">
        <v>4149</v>
      </c>
      <c r="H1327" s="1" t="s">
        <v>4246</v>
      </c>
      <c r="I1327" s="1" t="str">
        <f t="shared" si="1"/>
        <v>27</v>
      </c>
      <c r="J1327" s="5"/>
      <c r="K1327" s="1" t="str">
        <f t="shared" si="2"/>
        <v>7</v>
      </c>
      <c r="L1327" s="5"/>
      <c r="M1327" s="2" t="str">
        <f t="shared" si="3"/>
        <v>1381</v>
      </c>
      <c r="N1327" s="1"/>
      <c r="O1327" s="13">
        <v>83.0</v>
      </c>
      <c r="P1327" s="5"/>
      <c r="Q1327" s="5"/>
      <c r="R1327" s="6" t="s">
        <v>4246</v>
      </c>
      <c r="S1327" s="5"/>
      <c r="T1327" s="1" t="str">
        <f>IFERROR(__xludf.DUMMYFUNCTION("INDEX(SPLIT(A1327, ""/""), 2)"),"کانون‌های فرهنگی هنری")</f>
        <v>کانون‌های فرهنگی هنری</v>
      </c>
      <c r="U1327" s="1" t="str">
        <f>IFERROR(__xludf.DUMMYFUNCTION("INDEX(SPLIT(A1327, ""/""), 3)"),"روزنامه شریف")</f>
        <v>روزنامه شریف</v>
      </c>
      <c r="V1327" s="1" t="str">
        <f>IFERROR(__xludf.DUMMYFUNCTION("INDEX(SPLIT(A1327, ""/""), 4)"),"#REF!")</f>
        <v>#REF!</v>
      </c>
    </row>
    <row r="1328">
      <c r="A1328" s="1" t="s">
        <v>4070</v>
      </c>
      <c r="B1328" s="1" t="s">
        <v>1043</v>
      </c>
      <c r="C1328" s="1" t="s">
        <v>21</v>
      </c>
      <c r="D1328" s="4" t="s">
        <v>4247</v>
      </c>
      <c r="E1328" s="1" t="s">
        <v>4072</v>
      </c>
      <c r="F1328" s="1" t="s">
        <v>4073</v>
      </c>
      <c r="G1328" s="1" t="s">
        <v>4149</v>
      </c>
      <c r="H1328" s="7" t="s">
        <v>4248</v>
      </c>
      <c r="I1328" s="1" t="str">
        <f t="shared" si="1"/>
        <v>4</v>
      </c>
      <c r="J1328" s="5"/>
      <c r="K1328" s="1" t="str">
        <f t="shared" si="2"/>
        <v>8</v>
      </c>
      <c r="L1328" s="5"/>
      <c r="M1328" s="2" t="str">
        <f t="shared" si="3"/>
        <v>1381</v>
      </c>
      <c r="N1328" s="1"/>
      <c r="O1328" s="13">
        <v>84.0</v>
      </c>
      <c r="P1328" s="5"/>
      <c r="Q1328" s="5"/>
      <c r="R1328" s="8" t="s">
        <v>4248</v>
      </c>
      <c r="S1328" s="5"/>
      <c r="T1328" s="1" t="str">
        <f>IFERROR(__xludf.DUMMYFUNCTION("INDEX(SPLIT(A1328, ""/""), 2)"),"کانون‌های فرهنگی هنری")</f>
        <v>کانون‌های فرهنگی هنری</v>
      </c>
      <c r="U1328" s="1" t="str">
        <f>IFERROR(__xludf.DUMMYFUNCTION("INDEX(SPLIT(A1328, ""/""), 3)"),"روزنامه شریف")</f>
        <v>روزنامه شریف</v>
      </c>
      <c r="V1328" s="1" t="str">
        <f>IFERROR(__xludf.DUMMYFUNCTION("INDEX(SPLIT(A1328, ""/""), 4)"),"#REF!")</f>
        <v>#REF!</v>
      </c>
    </row>
    <row r="1329">
      <c r="A1329" s="1" t="s">
        <v>4070</v>
      </c>
      <c r="B1329" s="1" t="s">
        <v>1045</v>
      </c>
      <c r="C1329" s="1" t="s">
        <v>21</v>
      </c>
      <c r="D1329" s="4" t="s">
        <v>4249</v>
      </c>
      <c r="E1329" s="1" t="s">
        <v>4072</v>
      </c>
      <c r="F1329" s="1" t="s">
        <v>4073</v>
      </c>
      <c r="G1329" s="1" t="s">
        <v>4149</v>
      </c>
      <c r="H1329" s="7" t="s">
        <v>4250</v>
      </c>
      <c r="I1329" s="1" t="str">
        <f t="shared" si="1"/>
        <v>7</v>
      </c>
      <c r="J1329" s="5"/>
      <c r="K1329" s="1" t="str">
        <f t="shared" si="2"/>
        <v>8</v>
      </c>
      <c r="L1329" s="5"/>
      <c r="M1329" s="2" t="str">
        <f t="shared" si="3"/>
        <v>1381</v>
      </c>
      <c r="N1329" s="1"/>
      <c r="O1329" s="13">
        <v>85.0</v>
      </c>
      <c r="P1329" s="5"/>
      <c r="Q1329" s="5"/>
      <c r="R1329" s="8" t="s">
        <v>4250</v>
      </c>
      <c r="S1329" s="5"/>
      <c r="T1329" s="1" t="str">
        <f>IFERROR(__xludf.DUMMYFUNCTION("INDEX(SPLIT(A1329, ""/""), 2)"),"کانون‌های فرهنگی هنری")</f>
        <v>کانون‌های فرهنگی هنری</v>
      </c>
      <c r="U1329" s="1" t="str">
        <f>IFERROR(__xludf.DUMMYFUNCTION("INDEX(SPLIT(A1329, ""/""), 3)"),"روزنامه شریف")</f>
        <v>روزنامه شریف</v>
      </c>
      <c r="V1329" s="1" t="str">
        <f>IFERROR(__xludf.DUMMYFUNCTION("INDEX(SPLIT(A1329, ""/""), 4)"),"#REF!")</f>
        <v>#REF!</v>
      </c>
    </row>
    <row r="1330">
      <c r="A1330" s="1" t="s">
        <v>4070</v>
      </c>
      <c r="B1330" s="1" t="s">
        <v>1049</v>
      </c>
      <c r="C1330" s="1" t="s">
        <v>21</v>
      </c>
      <c r="D1330" s="4" t="s">
        <v>4251</v>
      </c>
      <c r="E1330" s="1" t="s">
        <v>4072</v>
      </c>
      <c r="F1330" s="1" t="s">
        <v>4073</v>
      </c>
      <c r="G1330" s="1" t="s">
        <v>4149</v>
      </c>
      <c r="H1330" s="7" t="s">
        <v>4252</v>
      </c>
      <c r="I1330" s="1" t="str">
        <f t="shared" si="1"/>
        <v>11</v>
      </c>
      <c r="J1330" s="5"/>
      <c r="K1330" s="1" t="str">
        <f t="shared" si="2"/>
        <v>8</v>
      </c>
      <c r="L1330" s="5"/>
      <c r="M1330" s="2" t="str">
        <f t="shared" si="3"/>
        <v>1381</v>
      </c>
      <c r="N1330" s="5"/>
      <c r="O1330" s="13">
        <v>86.0</v>
      </c>
      <c r="P1330" s="5"/>
      <c r="Q1330" s="5"/>
      <c r="R1330" s="8" t="s">
        <v>4252</v>
      </c>
      <c r="S1330" s="5"/>
      <c r="T1330" s="1" t="str">
        <f>IFERROR(__xludf.DUMMYFUNCTION("INDEX(SPLIT(A1330, ""/""), 2)"),"کانون‌های فرهنگی هنری")</f>
        <v>کانون‌های فرهنگی هنری</v>
      </c>
      <c r="U1330" s="1" t="str">
        <f>IFERROR(__xludf.DUMMYFUNCTION("INDEX(SPLIT(A1330, ""/""), 3)"),"روزنامه شریف")</f>
        <v>روزنامه شریف</v>
      </c>
      <c r="V1330" s="1" t="str">
        <f>IFERROR(__xludf.DUMMYFUNCTION("INDEX(SPLIT(A1330, ""/""), 4)"),"#REF!")</f>
        <v>#REF!</v>
      </c>
    </row>
    <row r="1331">
      <c r="A1331" s="1" t="s">
        <v>4070</v>
      </c>
      <c r="B1331" s="1" t="s">
        <v>1051</v>
      </c>
      <c r="C1331" s="1" t="s">
        <v>21</v>
      </c>
      <c r="D1331" s="4" t="s">
        <v>4253</v>
      </c>
      <c r="E1331" s="1" t="s">
        <v>4072</v>
      </c>
      <c r="F1331" s="1" t="s">
        <v>4073</v>
      </c>
      <c r="G1331" s="1" t="s">
        <v>4149</v>
      </c>
      <c r="H1331" s="1" t="s">
        <v>4254</v>
      </c>
      <c r="I1331" s="1" t="str">
        <f t="shared" si="1"/>
        <v>14</v>
      </c>
      <c r="J1331" s="5"/>
      <c r="K1331" s="1" t="str">
        <f t="shared" si="2"/>
        <v>8</v>
      </c>
      <c r="L1331" s="5"/>
      <c r="M1331" s="2" t="str">
        <f t="shared" si="3"/>
        <v>1381</v>
      </c>
      <c r="N1331" s="5"/>
      <c r="O1331" s="13">
        <v>87.0</v>
      </c>
      <c r="P1331" s="5"/>
      <c r="Q1331" s="5"/>
      <c r="R1331" s="6" t="s">
        <v>4254</v>
      </c>
      <c r="S1331" s="5"/>
      <c r="T1331" s="1" t="str">
        <f>IFERROR(__xludf.DUMMYFUNCTION("INDEX(SPLIT(A1331, ""/""), 2)"),"کانون‌های فرهنگی هنری")</f>
        <v>کانون‌های فرهنگی هنری</v>
      </c>
      <c r="U1331" s="1" t="str">
        <f>IFERROR(__xludf.DUMMYFUNCTION("INDEX(SPLIT(A1331, ""/""), 3)"),"روزنامه شریف")</f>
        <v>روزنامه شریف</v>
      </c>
      <c r="V1331" s="1" t="str">
        <f>IFERROR(__xludf.DUMMYFUNCTION("INDEX(SPLIT(A1331, ""/""), 4)"),"#REF!")</f>
        <v>#REF!</v>
      </c>
    </row>
    <row r="1332">
      <c r="A1332" s="1" t="s">
        <v>4070</v>
      </c>
      <c r="B1332" s="1" t="s">
        <v>1053</v>
      </c>
      <c r="C1332" s="1" t="s">
        <v>21</v>
      </c>
      <c r="D1332" s="4" t="s">
        <v>4255</v>
      </c>
      <c r="E1332" s="1" t="s">
        <v>4072</v>
      </c>
      <c r="F1332" s="1" t="s">
        <v>4073</v>
      </c>
      <c r="G1332" s="1" t="s">
        <v>4149</v>
      </c>
      <c r="H1332" s="1" t="s">
        <v>4256</v>
      </c>
      <c r="I1332" s="1" t="str">
        <f t="shared" si="1"/>
        <v>18</v>
      </c>
      <c r="J1332" s="5"/>
      <c r="K1332" s="1" t="str">
        <f t="shared" si="2"/>
        <v>8</v>
      </c>
      <c r="L1332" s="5"/>
      <c r="M1332" s="2" t="str">
        <f t="shared" si="3"/>
        <v>1381</v>
      </c>
      <c r="N1332" s="5"/>
      <c r="O1332" s="13">
        <v>88.0</v>
      </c>
      <c r="P1332" s="5"/>
      <c r="Q1332" s="5"/>
      <c r="R1332" s="6" t="s">
        <v>4256</v>
      </c>
      <c r="S1332" s="5"/>
      <c r="T1332" s="1" t="str">
        <f>IFERROR(__xludf.DUMMYFUNCTION("INDEX(SPLIT(A1332, ""/""), 2)"),"کانون‌های فرهنگی هنری")</f>
        <v>کانون‌های فرهنگی هنری</v>
      </c>
      <c r="U1332" s="1" t="str">
        <f>IFERROR(__xludf.DUMMYFUNCTION("INDEX(SPLIT(A1332, ""/""), 3)"),"روزنامه شریف")</f>
        <v>روزنامه شریف</v>
      </c>
      <c r="V1332" s="1" t="str">
        <f>IFERROR(__xludf.DUMMYFUNCTION("INDEX(SPLIT(A1332, ""/""), 4)"),"#REF!")</f>
        <v>#REF!</v>
      </c>
    </row>
    <row r="1333">
      <c r="A1333" s="1" t="s">
        <v>4070</v>
      </c>
      <c r="B1333" s="1" t="s">
        <v>4257</v>
      </c>
      <c r="C1333" s="1" t="s">
        <v>21</v>
      </c>
      <c r="D1333" s="4" t="s">
        <v>4258</v>
      </c>
      <c r="E1333" s="1" t="s">
        <v>4072</v>
      </c>
      <c r="F1333" s="1" t="s">
        <v>4073</v>
      </c>
      <c r="G1333" s="1" t="s">
        <v>4149</v>
      </c>
      <c r="H1333" s="1" t="s">
        <v>4259</v>
      </c>
      <c r="I1333" s="1" t="str">
        <f t="shared" si="1"/>
        <v>21</v>
      </c>
      <c r="J1333" s="5"/>
      <c r="K1333" s="1" t="str">
        <f t="shared" si="2"/>
        <v>8</v>
      </c>
      <c r="L1333" s="5"/>
      <c r="M1333" s="2" t="str">
        <f t="shared" si="3"/>
        <v>1381</v>
      </c>
      <c r="N1333" s="5"/>
      <c r="O1333" s="13">
        <v>89.0</v>
      </c>
      <c r="P1333" s="5"/>
      <c r="Q1333" s="5"/>
      <c r="R1333" s="6" t="s">
        <v>4259</v>
      </c>
      <c r="S1333" s="5"/>
      <c r="T1333" s="1" t="str">
        <f>IFERROR(__xludf.DUMMYFUNCTION("INDEX(SPLIT(A1333, ""/""), 2)"),"کانون‌های فرهنگی هنری")</f>
        <v>کانون‌های فرهنگی هنری</v>
      </c>
      <c r="U1333" s="1" t="str">
        <f>IFERROR(__xludf.DUMMYFUNCTION("INDEX(SPLIT(A1333, ""/""), 3)"),"روزنامه شریف")</f>
        <v>روزنامه شریف</v>
      </c>
      <c r="V1333" s="1" t="str">
        <f>IFERROR(__xludf.DUMMYFUNCTION("INDEX(SPLIT(A1333, ""/""), 4)"),"#REF!")</f>
        <v>#REF!</v>
      </c>
    </row>
    <row r="1334">
      <c r="A1334" s="1" t="s">
        <v>4070</v>
      </c>
      <c r="B1334" s="1" t="s">
        <v>1056</v>
      </c>
      <c r="C1334" s="1" t="s">
        <v>21</v>
      </c>
      <c r="D1334" s="4" t="s">
        <v>4260</v>
      </c>
      <c r="E1334" s="1" t="s">
        <v>4072</v>
      </c>
      <c r="F1334" s="1" t="s">
        <v>4073</v>
      </c>
      <c r="G1334" s="1" t="s">
        <v>4149</v>
      </c>
      <c r="H1334" s="1" t="s">
        <v>4261</v>
      </c>
      <c r="I1334" s="1" t="str">
        <f t="shared" si="1"/>
        <v>25</v>
      </c>
      <c r="J1334" s="5"/>
      <c r="K1334" s="1" t="str">
        <f t="shared" si="2"/>
        <v>8</v>
      </c>
      <c r="L1334" s="5"/>
      <c r="M1334" s="2" t="str">
        <f t="shared" si="3"/>
        <v>1381</v>
      </c>
      <c r="N1334" s="1"/>
      <c r="O1334" s="13">
        <v>90.0</v>
      </c>
      <c r="P1334" s="5"/>
      <c r="Q1334" s="5"/>
      <c r="R1334" s="6" t="s">
        <v>4261</v>
      </c>
      <c r="S1334" s="5"/>
      <c r="T1334" s="1" t="str">
        <f>IFERROR(__xludf.DUMMYFUNCTION("INDEX(SPLIT(A1334, ""/""), 2)"),"کانون‌های فرهنگی هنری")</f>
        <v>کانون‌های فرهنگی هنری</v>
      </c>
      <c r="U1334" s="1" t="str">
        <f>IFERROR(__xludf.DUMMYFUNCTION("INDEX(SPLIT(A1334, ""/""), 3)"),"روزنامه شریف")</f>
        <v>روزنامه شریف</v>
      </c>
      <c r="V1334" s="1" t="str">
        <f>IFERROR(__xludf.DUMMYFUNCTION("INDEX(SPLIT(A1334, ""/""), 4)"),"#REF!")</f>
        <v>#REF!</v>
      </c>
    </row>
    <row r="1335">
      <c r="A1335" s="1" t="s">
        <v>4070</v>
      </c>
      <c r="B1335" s="1" t="s">
        <v>1063</v>
      </c>
      <c r="C1335" s="1" t="s">
        <v>21</v>
      </c>
      <c r="D1335" s="4" t="s">
        <v>4262</v>
      </c>
      <c r="E1335" s="1" t="s">
        <v>4072</v>
      </c>
      <c r="F1335" s="1" t="s">
        <v>4073</v>
      </c>
      <c r="G1335" s="1" t="s">
        <v>4149</v>
      </c>
      <c r="H1335" s="7" t="s">
        <v>4263</v>
      </c>
      <c r="I1335" s="1" t="str">
        <f t="shared" si="1"/>
        <v>2</v>
      </c>
      <c r="J1335" s="5"/>
      <c r="K1335" s="1" t="str">
        <f t="shared" si="2"/>
        <v>9</v>
      </c>
      <c r="L1335" s="5"/>
      <c r="M1335" s="2" t="str">
        <f t="shared" si="3"/>
        <v>1381</v>
      </c>
      <c r="N1335" s="1"/>
      <c r="O1335" s="13">
        <v>92.0</v>
      </c>
      <c r="P1335" s="5"/>
      <c r="Q1335" s="5"/>
      <c r="R1335" s="8" t="s">
        <v>4263</v>
      </c>
      <c r="S1335" s="5"/>
      <c r="T1335" s="1" t="str">
        <f>IFERROR(__xludf.DUMMYFUNCTION("INDEX(SPLIT(A1335, ""/""), 2)"),"کانون‌های فرهنگی هنری")</f>
        <v>کانون‌های فرهنگی هنری</v>
      </c>
      <c r="U1335" s="1" t="str">
        <f>IFERROR(__xludf.DUMMYFUNCTION("INDEX(SPLIT(A1335, ""/""), 3)"),"روزنامه شریف")</f>
        <v>روزنامه شریف</v>
      </c>
      <c r="V1335" s="1" t="str">
        <f>IFERROR(__xludf.DUMMYFUNCTION("INDEX(SPLIT(A1335, ""/""), 4)"),"#REF!")</f>
        <v>#REF!</v>
      </c>
    </row>
    <row r="1336">
      <c r="A1336" s="1" t="s">
        <v>4070</v>
      </c>
      <c r="B1336" s="1" t="s">
        <v>1066</v>
      </c>
      <c r="C1336" s="1" t="s">
        <v>21</v>
      </c>
      <c r="D1336" s="4" t="s">
        <v>4264</v>
      </c>
      <c r="E1336" s="1" t="s">
        <v>4072</v>
      </c>
      <c r="F1336" s="1" t="s">
        <v>4073</v>
      </c>
      <c r="G1336" s="1" t="s">
        <v>4149</v>
      </c>
      <c r="H1336" s="7" t="s">
        <v>4265</v>
      </c>
      <c r="I1336" s="1" t="str">
        <f t="shared" si="1"/>
        <v>5</v>
      </c>
      <c r="J1336" s="5"/>
      <c r="K1336" s="1" t="str">
        <f t="shared" si="2"/>
        <v>9</v>
      </c>
      <c r="L1336" s="5"/>
      <c r="M1336" s="2" t="str">
        <f t="shared" si="3"/>
        <v>1381</v>
      </c>
      <c r="N1336" s="5"/>
      <c r="O1336" s="13">
        <v>93.0</v>
      </c>
      <c r="P1336" s="5"/>
      <c r="Q1336" s="5"/>
      <c r="R1336" s="8" t="s">
        <v>4265</v>
      </c>
      <c r="S1336" s="5"/>
      <c r="T1336" s="1" t="str">
        <f>IFERROR(__xludf.DUMMYFUNCTION("INDEX(SPLIT(A1336, ""/""), 2)"),"کانون‌های فرهنگی هنری")</f>
        <v>کانون‌های فرهنگی هنری</v>
      </c>
      <c r="U1336" s="1" t="str">
        <f>IFERROR(__xludf.DUMMYFUNCTION("INDEX(SPLIT(A1336, ""/""), 3)"),"روزنامه شریف")</f>
        <v>روزنامه شریف</v>
      </c>
      <c r="V1336" s="1" t="str">
        <f>IFERROR(__xludf.DUMMYFUNCTION("INDEX(SPLIT(A1336, ""/""), 4)"),"#REF!")</f>
        <v>#REF!</v>
      </c>
    </row>
    <row r="1337">
      <c r="A1337" s="1" t="s">
        <v>4070</v>
      </c>
      <c r="B1337" s="1" t="s">
        <v>1069</v>
      </c>
      <c r="C1337" s="1" t="s">
        <v>21</v>
      </c>
      <c r="D1337" s="4" t="s">
        <v>4266</v>
      </c>
      <c r="E1337" s="1" t="s">
        <v>4072</v>
      </c>
      <c r="F1337" s="1" t="s">
        <v>4073</v>
      </c>
      <c r="G1337" s="1" t="s">
        <v>4149</v>
      </c>
      <c r="H1337" s="7" t="s">
        <v>4267</v>
      </c>
      <c r="I1337" s="1" t="str">
        <f t="shared" si="1"/>
        <v>12</v>
      </c>
      <c r="J1337" s="5"/>
      <c r="K1337" s="1" t="str">
        <f t="shared" si="2"/>
        <v>9</v>
      </c>
      <c r="L1337" s="5"/>
      <c r="M1337" s="2" t="str">
        <f t="shared" si="3"/>
        <v>1381</v>
      </c>
      <c r="N1337" s="5"/>
      <c r="O1337" s="13">
        <v>94.0</v>
      </c>
      <c r="P1337" s="5"/>
      <c r="Q1337" s="5"/>
      <c r="R1337" s="8" t="s">
        <v>4267</v>
      </c>
      <c r="S1337" s="5"/>
      <c r="T1337" s="1" t="str">
        <f>IFERROR(__xludf.DUMMYFUNCTION("INDEX(SPLIT(A1337, ""/""), 2)"),"کانون‌های فرهنگی هنری")</f>
        <v>کانون‌های فرهنگی هنری</v>
      </c>
      <c r="U1337" s="1" t="str">
        <f>IFERROR(__xludf.DUMMYFUNCTION("INDEX(SPLIT(A1337, ""/""), 3)"),"روزنامه شریف")</f>
        <v>روزنامه شریف</v>
      </c>
      <c r="V1337" s="1" t="str">
        <f>IFERROR(__xludf.DUMMYFUNCTION("INDEX(SPLIT(A1337, ""/""), 4)"),"#REF!")</f>
        <v>#REF!</v>
      </c>
    </row>
    <row r="1338">
      <c r="A1338" s="1" t="s">
        <v>4070</v>
      </c>
      <c r="B1338" s="1" t="s">
        <v>4268</v>
      </c>
      <c r="C1338" s="1" t="s">
        <v>21</v>
      </c>
      <c r="D1338" s="4" t="s">
        <v>4269</v>
      </c>
      <c r="E1338" s="1" t="s">
        <v>4072</v>
      </c>
      <c r="F1338" s="1" t="s">
        <v>4073</v>
      </c>
      <c r="G1338" s="1" t="s">
        <v>4149</v>
      </c>
      <c r="H1338" s="1" t="s">
        <v>4270</v>
      </c>
      <c r="I1338" s="1" t="str">
        <f t="shared" si="1"/>
        <v>16</v>
      </c>
      <c r="J1338" s="5"/>
      <c r="K1338" s="1" t="str">
        <f t="shared" si="2"/>
        <v>9</v>
      </c>
      <c r="L1338" s="5"/>
      <c r="M1338" s="2" t="str">
        <f t="shared" si="3"/>
        <v>1381</v>
      </c>
      <c r="N1338" s="1"/>
      <c r="O1338" s="13">
        <v>95.0</v>
      </c>
      <c r="P1338" s="5"/>
      <c r="Q1338" s="5"/>
      <c r="R1338" s="6" t="s">
        <v>4270</v>
      </c>
      <c r="S1338" s="5"/>
      <c r="T1338" s="1" t="str">
        <f>IFERROR(__xludf.DUMMYFUNCTION("INDEX(SPLIT(A1338, ""/""), 2)"),"کانون‌های فرهنگی هنری")</f>
        <v>کانون‌های فرهنگی هنری</v>
      </c>
      <c r="U1338" s="1" t="str">
        <f>IFERROR(__xludf.DUMMYFUNCTION("INDEX(SPLIT(A1338, ""/""), 3)"),"روزنامه شریف")</f>
        <v>روزنامه شریف</v>
      </c>
      <c r="V1338" s="1" t="str">
        <f>IFERROR(__xludf.DUMMYFUNCTION("INDEX(SPLIT(A1338, ""/""), 4)"),"#REF!")</f>
        <v>#REF!</v>
      </c>
    </row>
    <row r="1339">
      <c r="A1339" s="1" t="s">
        <v>4070</v>
      </c>
      <c r="B1339" s="1" t="s">
        <v>4271</v>
      </c>
      <c r="C1339" s="1" t="s">
        <v>21</v>
      </c>
      <c r="D1339" s="4" t="s">
        <v>4272</v>
      </c>
      <c r="E1339" s="1" t="s">
        <v>4072</v>
      </c>
      <c r="F1339" s="1" t="s">
        <v>4073</v>
      </c>
      <c r="G1339" s="1" t="s">
        <v>4149</v>
      </c>
      <c r="H1339" s="1" t="s">
        <v>4273</v>
      </c>
      <c r="I1339" s="1" t="str">
        <f t="shared" si="1"/>
        <v>19</v>
      </c>
      <c r="J1339" s="5"/>
      <c r="K1339" s="1" t="str">
        <f t="shared" si="2"/>
        <v>9</v>
      </c>
      <c r="L1339" s="5"/>
      <c r="M1339" s="2" t="str">
        <f t="shared" si="3"/>
        <v>1381</v>
      </c>
      <c r="N1339" s="5"/>
      <c r="O1339" s="13">
        <v>96.0</v>
      </c>
      <c r="P1339" s="5"/>
      <c r="Q1339" s="5"/>
      <c r="R1339" s="6" t="s">
        <v>4273</v>
      </c>
      <c r="S1339" s="5"/>
      <c r="T1339" s="1" t="str">
        <f>IFERROR(__xludf.DUMMYFUNCTION("INDEX(SPLIT(A1339, ""/""), 2)"),"کانون‌های فرهنگی هنری")</f>
        <v>کانون‌های فرهنگی هنری</v>
      </c>
      <c r="U1339" s="1" t="str">
        <f>IFERROR(__xludf.DUMMYFUNCTION("INDEX(SPLIT(A1339, ""/""), 3)"),"روزنامه شریف")</f>
        <v>روزنامه شریف</v>
      </c>
      <c r="V1339" s="1" t="str">
        <f>IFERROR(__xludf.DUMMYFUNCTION("INDEX(SPLIT(A1339, ""/""), 4)"),"#REF!")</f>
        <v>#REF!</v>
      </c>
    </row>
    <row r="1340">
      <c r="A1340" s="1" t="s">
        <v>4070</v>
      </c>
      <c r="B1340" s="1" t="s">
        <v>4274</v>
      </c>
      <c r="C1340" s="1" t="s">
        <v>21</v>
      </c>
      <c r="D1340" s="4" t="s">
        <v>4275</v>
      </c>
      <c r="E1340" s="1" t="s">
        <v>4072</v>
      </c>
      <c r="F1340" s="1" t="s">
        <v>4073</v>
      </c>
      <c r="G1340" s="1" t="s">
        <v>4149</v>
      </c>
      <c r="H1340" s="1" t="s">
        <v>4276</v>
      </c>
      <c r="I1340" s="1" t="str">
        <f t="shared" si="1"/>
        <v>23</v>
      </c>
      <c r="J1340" s="5"/>
      <c r="K1340" s="1" t="str">
        <f t="shared" si="2"/>
        <v>9</v>
      </c>
      <c r="L1340" s="5"/>
      <c r="M1340" s="2" t="str">
        <f t="shared" si="3"/>
        <v>1381</v>
      </c>
      <c r="N1340" s="1"/>
      <c r="O1340" s="13">
        <v>97.0</v>
      </c>
      <c r="P1340" s="5"/>
      <c r="Q1340" s="5"/>
      <c r="R1340" s="6" t="s">
        <v>4276</v>
      </c>
      <c r="S1340" s="5"/>
      <c r="T1340" s="1" t="str">
        <f>IFERROR(__xludf.DUMMYFUNCTION("INDEX(SPLIT(A1340, ""/""), 2)"),"کانون‌های فرهنگی هنری")</f>
        <v>کانون‌های فرهنگی هنری</v>
      </c>
      <c r="U1340" s="1" t="str">
        <f>IFERROR(__xludf.DUMMYFUNCTION("INDEX(SPLIT(A1340, ""/""), 3)"),"روزنامه شریف")</f>
        <v>روزنامه شریف</v>
      </c>
      <c r="V1340" s="1" t="str">
        <f>IFERROR(__xludf.DUMMYFUNCTION("INDEX(SPLIT(A1340, ""/""), 4)"),"#REF!")</f>
        <v>#REF!</v>
      </c>
    </row>
    <row r="1341">
      <c r="A1341" s="1" t="s">
        <v>4070</v>
      </c>
      <c r="B1341" s="1" t="s">
        <v>4277</v>
      </c>
      <c r="C1341" s="1" t="s">
        <v>21</v>
      </c>
      <c r="D1341" s="4" t="s">
        <v>4278</v>
      </c>
      <c r="E1341" s="1" t="s">
        <v>4072</v>
      </c>
      <c r="F1341" s="1" t="s">
        <v>4073</v>
      </c>
      <c r="G1341" s="1" t="s">
        <v>4149</v>
      </c>
      <c r="H1341" s="1" t="s">
        <v>4279</v>
      </c>
      <c r="I1341" s="1" t="str">
        <f t="shared" si="1"/>
        <v>26</v>
      </c>
      <c r="J1341" s="5"/>
      <c r="K1341" s="1" t="str">
        <f t="shared" si="2"/>
        <v>9</v>
      </c>
      <c r="L1341" s="5"/>
      <c r="M1341" s="2" t="str">
        <f t="shared" si="3"/>
        <v>1381</v>
      </c>
      <c r="N1341" s="5"/>
      <c r="O1341" s="13">
        <v>98.0</v>
      </c>
      <c r="P1341" s="5"/>
      <c r="Q1341" s="5"/>
      <c r="R1341" s="6" t="s">
        <v>4279</v>
      </c>
      <c r="S1341" s="5"/>
      <c r="T1341" s="1" t="str">
        <f>IFERROR(__xludf.DUMMYFUNCTION("INDEX(SPLIT(A1341, ""/""), 2)"),"کانون‌های فرهنگی هنری")</f>
        <v>کانون‌های فرهنگی هنری</v>
      </c>
      <c r="U1341" s="1" t="str">
        <f>IFERROR(__xludf.DUMMYFUNCTION("INDEX(SPLIT(A1341, ""/""), 3)"),"روزنامه شریف")</f>
        <v>روزنامه شریف</v>
      </c>
      <c r="V1341" s="1" t="str">
        <f>IFERROR(__xludf.DUMMYFUNCTION("INDEX(SPLIT(A1341, ""/""), 4)"),"#REF!")</f>
        <v>#REF!</v>
      </c>
    </row>
    <row r="1342">
      <c r="A1342" s="1" t="s">
        <v>4070</v>
      </c>
      <c r="B1342" s="1" t="s">
        <v>1104</v>
      </c>
      <c r="C1342" s="1" t="s">
        <v>21</v>
      </c>
      <c r="D1342" s="4" t="s">
        <v>4280</v>
      </c>
      <c r="E1342" s="1" t="s">
        <v>4072</v>
      </c>
      <c r="F1342" s="1" t="s">
        <v>4073</v>
      </c>
      <c r="G1342" s="1" t="s">
        <v>4149</v>
      </c>
      <c r="H1342" s="1" t="s">
        <v>4281</v>
      </c>
      <c r="I1342" s="1" t="str">
        <f t="shared" si="1"/>
        <v>30</v>
      </c>
      <c r="J1342" s="5"/>
      <c r="K1342" s="1" t="str">
        <f t="shared" si="2"/>
        <v>9</v>
      </c>
      <c r="L1342" s="5"/>
      <c r="M1342" s="2" t="str">
        <f t="shared" si="3"/>
        <v>1381</v>
      </c>
      <c r="N1342" s="1"/>
      <c r="O1342" s="13">
        <v>99.0</v>
      </c>
      <c r="P1342" s="5"/>
      <c r="Q1342" s="5"/>
      <c r="R1342" s="6" t="s">
        <v>4281</v>
      </c>
      <c r="S1342" s="5"/>
      <c r="T1342" s="1" t="str">
        <f>IFERROR(__xludf.DUMMYFUNCTION("INDEX(SPLIT(A1342, ""/""), 2)"),"کانون‌های فرهنگی هنری")</f>
        <v>کانون‌های فرهنگی هنری</v>
      </c>
      <c r="U1342" s="1" t="str">
        <f>IFERROR(__xludf.DUMMYFUNCTION("INDEX(SPLIT(A1342, ""/""), 3)"),"روزنامه شریف")</f>
        <v>روزنامه شریف</v>
      </c>
      <c r="V1342" s="1" t="str">
        <f>IFERROR(__xludf.DUMMYFUNCTION("INDEX(SPLIT(A1342, ""/""), 4)"),"#REF!")</f>
        <v>#REF!</v>
      </c>
    </row>
    <row r="1343">
      <c r="A1343" s="1" t="s">
        <v>4070</v>
      </c>
      <c r="B1343" s="1" t="s">
        <v>1107</v>
      </c>
      <c r="C1343" s="1" t="s">
        <v>21</v>
      </c>
      <c r="D1343" s="4" t="s">
        <v>4282</v>
      </c>
      <c r="E1343" s="1" t="s">
        <v>4072</v>
      </c>
      <c r="F1343" s="1" t="s">
        <v>4073</v>
      </c>
      <c r="G1343" s="1" t="s">
        <v>4149</v>
      </c>
      <c r="H1343" s="7" t="s">
        <v>4283</v>
      </c>
      <c r="I1343" s="1" t="str">
        <f t="shared" si="1"/>
        <v>7</v>
      </c>
      <c r="J1343" s="5"/>
      <c r="K1343" s="1" t="str">
        <f t="shared" si="2"/>
        <v>10</v>
      </c>
      <c r="L1343" s="5"/>
      <c r="M1343" s="2" t="str">
        <f t="shared" si="3"/>
        <v>1381</v>
      </c>
      <c r="N1343" s="1"/>
      <c r="O1343" s="13">
        <v>100.0</v>
      </c>
      <c r="P1343" s="5"/>
      <c r="Q1343" s="5"/>
      <c r="R1343" s="8" t="s">
        <v>4283</v>
      </c>
      <c r="S1343" s="5"/>
      <c r="T1343" s="1" t="str">
        <f>IFERROR(__xludf.DUMMYFUNCTION("INDEX(SPLIT(A1343, ""/""), 2)"),"کانون‌های فرهنگی هنری")</f>
        <v>کانون‌های فرهنگی هنری</v>
      </c>
      <c r="U1343" s="1" t="str">
        <f>IFERROR(__xludf.DUMMYFUNCTION("INDEX(SPLIT(A1343, ""/""), 3)"),"روزنامه شریف")</f>
        <v>روزنامه شریف</v>
      </c>
      <c r="V1343" s="1" t="str">
        <f>IFERROR(__xludf.DUMMYFUNCTION("INDEX(SPLIT(A1343, ""/""), 4)"),"#REF!")</f>
        <v>#REF!</v>
      </c>
    </row>
    <row r="1344">
      <c r="A1344" s="1" t="s">
        <v>4070</v>
      </c>
      <c r="B1344" s="1" t="s">
        <v>1110</v>
      </c>
      <c r="C1344" s="1" t="s">
        <v>21</v>
      </c>
      <c r="D1344" s="4" t="s">
        <v>4284</v>
      </c>
      <c r="E1344" s="1" t="s">
        <v>4072</v>
      </c>
      <c r="F1344" s="1" t="s">
        <v>4073</v>
      </c>
      <c r="G1344" s="1" t="s">
        <v>4149</v>
      </c>
      <c r="H1344" s="7" t="s">
        <v>4285</v>
      </c>
      <c r="I1344" s="1" t="str">
        <f t="shared" si="1"/>
        <v>12</v>
      </c>
      <c r="J1344" s="5"/>
      <c r="K1344" s="1" t="str">
        <f t="shared" si="2"/>
        <v>11</v>
      </c>
      <c r="L1344" s="5"/>
      <c r="M1344" s="2" t="str">
        <f t="shared" si="3"/>
        <v>1381</v>
      </c>
      <c r="N1344" s="1"/>
      <c r="O1344" s="13">
        <v>101.0</v>
      </c>
      <c r="P1344" s="5"/>
      <c r="Q1344" s="5"/>
      <c r="R1344" s="8" t="s">
        <v>4285</v>
      </c>
      <c r="S1344" s="5"/>
      <c r="T1344" s="1" t="str">
        <f>IFERROR(__xludf.DUMMYFUNCTION("INDEX(SPLIT(A1344, ""/""), 2)"),"کانون‌های فرهنگی هنری")</f>
        <v>کانون‌های فرهنگی هنری</v>
      </c>
      <c r="U1344" s="1" t="str">
        <f>IFERROR(__xludf.DUMMYFUNCTION("INDEX(SPLIT(A1344, ""/""), 3)"),"روزنامه شریف")</f>
        <v>روزنامه شریف</v>
      </c>
      <c r="V1344" s="1" t="str">
        <f>IFERROR(__xludf.DUMMYFUNCTION("INDEX(SPLIT(A1344, ""/""), 4)"),"#REF!")</f>
        <v>#REF!</v>
      </c>
    </row>
    <row r="1345">
      <c r="A1345" s="1" t="s">
        <v>4070</v>
      </c>
      <c r="B1345" s="1" t="s">
        <v>1113</v>
      </c>
      <c r="C1345" s="1" t="s">
        <v>21</v>
      </c>
      <c r="D1345" s="12" t="s">
        <v>4286</v>
      </c>
      <c r="E1345" s="1" t="s">
        <v>4072</v>
      </c>
      <c r="F1345" s="1" t="s">
        <v>4073</v>
      </c>
      <c r="G1345" s="1" t="s">
        <v>4149</v>
      </c>
      <c r="H1345" s="1" t="s">
        <v>4287</v>
      </c>
      <c r="I1345" s="1" t="str">
        <f t="shared" si="1"/>
        <v>15</v>
      </c>
      <c r="J1345" s="5"/>
      <c r="K1345" s="1" t="str">
        <f t="shared" si="2"/>
        <v>11</v>
      </c>
      <c r="L1345" s="5"/>
      <c r="M1345" s="2" t="str">
        <f t="shared" si="3"/>
        <v>1381</v>
      </c>
      <c r="N1345" s="5"/>
      <c r="O1345" s="13">
        <v>102.0</v>
      </c>
      <c r="P1345" s="5"/>
      <c r="Q1345" s="5"/>
      <c r="R1345" s="6" t="s">
        <v>4287</v>
      </c>
      <c r="S1345" s="5"/>
      <c r="T1345" s="1" t="str">
        <f>IFERROR(__xludf.DUMMYFUNCTION("INDEX(SPLIT(A1345, ""/""), 2)"),"کانون‌های فرهنگی هنری")</f>
        <v>کانون‌های فرهنگی هنری</v>
      </c>
      <c r="U1345" s="1" t="str">
        <f>IFERROR(__xludf.DUMMYFUNCTION("INDEX(SPLIT(A1345, ""/""), 3)"),"روزنامه شریف")</f>
        <v>روزنامه شریف</v>
      </c>
      <c r="V1345" s="1" t="str">
        <f>IFERROR(__xludf.DUMMYFUNCTION("INDEX(SPLIT(A1345, ""/""), 4)"),"#REF!")</f>
        <v>#REF!</v>
      </c>
    </row>
    <row r="1346">
      <c r="A1346" s="1" t="s">
        <v>4070</v>
      </c>
      <c r="B1346" s="1" t="s">
        <v>1116</v>
      </c>
      <c r="C1346" s="1" t="s">
        <v>21</v>
      </c>
      <c r="D1346" s="4" t="s">
        <v>4288</v>
      </c>
      <c r="E1346" s="1" t="s">
        <v>4072</v>
      </c>
      <c r="F1346" s="1" t="s">
        <v>4073</v>
      </c>
      <c r="G1346" s="1" t="s">
        <v>4149</v>
      </c>
      <c r="H1346" s="1" t="s">
        <v>4289</v>
      </c>
      <c r="I1346" s="1" t="str">
        <f t="shared" si="1"/>
        <v>19</v>
      </c>
      <c r="J1346" s="5"/>
      <c r="K1346" s="1" t="str">
        <f t="shared" si="2"/>
        <v>11</v>
      </c>
      <c r="L1346" s="5"/>
      <c r="M1346" s="2" t="str">
        <f t="shared" si="3"/>
        <v>1381</v>
      </c>
      <c r="N1346" s="1"/>
      <c r="O1346" s="13">
        <v>103.0</v>
      </c>
      <c r="P1346" s="5"/>
      <c r="Q1346" s="5"/>
      <c r="R1346" s="6" t="s">
        <v>4289</v>
      </c>
      <c r="S1346" s="5"/>
      <c r="T1346" s="1" t="str">
        <f>IFERROR(__xludf.DUMMYFUNCTION("INDEX(SPLIT(A1346, ""/""), 2)"),"کانون‌های فرهنگی هنری")</f>
        <v>کانون‌های فرهنگی هنری</v>
      </c>
      <c r="U1346" s="1" t="str">
        <f>IFERROR(__xludf.DUMMYFUNCTION("INDEX(SPLIT(A1346, ""/""), 3)"),"روزنامه شریف")</f>
        <v>روزنامه شریف</v>
      </c>
      <c r="V1346" s="1" t="str">
        <f>IFERROR(__xludf.DUMMYFUNCTION("INDEX(SPLIT(A1346, ""/""), 4)"),"#REF!")</f>
        <v>#REF!</v>
      </c>
    </row>
    <row r="1347">
      <c r="A1347" s="1" t="s">
        <v>4070</v>
      </c>
      <c r="B1347" s="1" t="s">
        <v>1119</v>
      </c>
      <c r="C1347" s="1" t="s">
        <v>21</v>
      </c>
      <c r="D1347" s="4" t="s">
        <v>4290</v>
      </c>
      <c r="E1347" s="1" t="s">
        <v>4072</v>
      </c>
      <c r="F1347" s="1" t="s">
        <v>4073</v>
      </c>
      <c r="G1347" s="1" t="s">
        <v>4149</v>
      </c>
      <c r="H1347" s="1" t="s">
        <v>4291</v>
      </c>
      <c r="I1347" s="1" t="str">
        <f t="shared" si="1"/>
        <v>26</v>
      </c>
      <c r="J1347" s="5"/>
      <c r="K1347" s="1" t="str">
        <f t="shared" si="2"/>
        <v>11</v>
      </c>
      <c r="L1347" s="5"/>
      <c r="M1347" s="2" t="str">
        <f t="shared" si="3"/>
        <v>1381</v>
      </c>
      <c r="N1347" s="1"/>
      <c r="O1347" s="13">
        <v>104.0</v>
      </c>
      <c r="P1347" s="5"/>
      <c r="Q1347" s="5"/>
      <c r="R1347" s="6" t="s">
        <v>4291</v>
      </c>
      <c r="S1347" s="5"/>
      <c r="T1347" s="1" t="str">
        <f>IFERROR(__xludf.DUMMYFUNCTION("INDEX(SPLIT(A1347, ""/""), 2)"),"کانون‌های فرهنگی هنری")</f>
        <v>کانون‌های فرهنگی هنری</v>
      </c>
      <c r="U1347" s="1" t="str">
        <f>IFERROR(__xludf.DUMMYFUNCTION("INDEX(SPLIT(A1347, ""/""), 3)"),"روزنامه شریف")</f>
        <v>روزنامه شریف</v>
      </c>
      <c r="V1347" s="1" t="str">
        <f>IFERROR(__xludf.DUMMYFUNCTION("INDEX(SPLIT(A1347, ""/""), 4)"),"#REF!")</f>
        <v>#REF!</v>
      </c>
    </row>
    <row r="1348">
      <c r="A1348" s="1" t="s">
        <v>4070</v>
      </c>
      <c r="B1348" s="1" t="s">
        <v>1122</v>
      </c>
      <c r="C1348" s="1" t="s">
        <v>21</v>
      </c>
      <c r="D1348" s="4" t="s">
        <v>4292</v>
      </c>
      <c r="E1348" s="1" t="s">
        <v>4072</v>
      </c>
      <c r="F1348" s="1" t="s">
        <v>4073</v>
      </c>
      <c r="G1348" s="1" t="s">
        <v>4149</v>
      </c>
      <c r="H1348" s="1" t="s">
        <v>4293</v>
      </c>
      <c r="I1348" s="1" t="str">
        <f t="shared" si="1"/>
        <v>29</v>
      </c>
      <c r="J1348" s="5"/>
      <c r="K1348" s="1" t="str">
        <f t="shared" si="2"/>
        <v>11</v>
      </c>
      <c r="L1348" s="5"/>
      <c r="M1348" s="2" t="str">
        <f t="shared" si="3"/>
        <v>1381</v>
      </c>
      <c r="N1348" s="1"/>
      <c r="O1348" s="13">
        <v>105.0</v>
      </c>
      <c r="P1348" s="5"/>
      <c r="Q1348" s="5"/>
      <c r="R1348" s="6" t="s">
        <v>4293</v>
      </c>
      <c r="S1348" s="5"/>
      <c r="T1348" s="1" t="str">
        <f>IFERROR(__xludf.DUMMYFUNCTION("INDEX(SPLIT(A1348, ""/""), 2)"),"کانون‌های فرهنگی هنری")</f>
        <v>کانون‌های فرهنگی هنری</v>
      </c>
      <c r="U1348" s="1" t="str">
        <f>IFERROR(__xludf.DUMMYFUNCTION("INDEX(SPLIT(A1348, ""/""), 3)"),"روزنامه شریف")</f>
        <v>روزنامه شریف</v>
      </c>
      <c r="V1348" s="1" t="str">
        <f>IFERROR(__xludf.DUMMYFUNCTION("INDEX(SPLIT(A1348, ""/""), 4)"),"#REF!")</f>
        <v>#REF!</v>
      </c>
    </row>
    <row r="1349">
      <c r="A1349" s="1" t="s">
        <v>4070</v>
      </c>
      <c r="B1349" s="1" t="s">
        <v>1125</v>
      </c>
      <c r="C1349" s="1" t="s">
        <v>21</v>
      </c>
      <c r="D1349" s="4" t="s">
        <v>4294</v>
      </c>
      <c r="E1349" s="1" t="s">
        <v>4072</v>
      </c>
      <c r="F1349" s="1" t="s">
        <v>4073</v>
      </c>
      <c r="G1349" s="1" t="s">
        <v>4149</v>
      </c>
      <c r="H1349" s="7" t="s">
        <v>4295</v>
      </c>
      <c r="I1349" s="1" t="str">
        <f t="shared" si="1"/>
        <v>3</v>
      </c>
      <c r="J1349" s="5"/>
      <c r="K1349" s="1" t="str">
        <f t="shared" si="2"/>
        <v>12</v>
      </c>
      <c r="L1349" s="5"/>
      <c r="M1349" s="2" t="str">
        <f t="shared" si="3"/>
        <v>1381</v>
      </c>
      <c r="N1349" s="1"/>
      <c r="O1349" s="13">
        <v>106.0</v>
      </c>
      <c r="P1349" s="5"/>
      <c r="Q1349" s="5"/>
      <c r="R1349" s="8" t="s">
        <v>4295</v>
      </c>
      <c r="S1349" s="5"/>
      <c r="T1349" s="1" t="str">
        <f>IFERROR(__xludf.DUMMYFUNCTION("INDEX(SPLIT(A1349, ""/""), 2)"),"کانون‌های فرهنگی هنری")</f>
        <v>کانون‌های فرهنگی هنری</v>
      </c>
      <c r="U1349" s="1" t="str">
        <f>IFERROR(__xludf.DUMMYFUNCTION("INDEX(SPLIT(A1349, ""/""), 3)"),"روزنامه شریف")</f>
        <v>روزنامه شریف</v>
      </c>
      <c r="V1349" s="1" t="str">
        <f>IFERROR(__xludf.DUMMYFUNCTION("INDEX(SPLIT(A1349, ""/""), 4)"),"#REF!")</f>
        <v>#REF!</v>
      </c>
    </row>
    <row r="1350">
      <c r="A1350" s="1" t="s">
        <v>4070</v>
      </c>
      <c r="B1350" s="1" t="s">
        <v>1128</v>
      </c>
      <c r="C1350" s="1" t="s">
        <v>21</v>
      </c>
      <c r="D1350" s="4" t="s">
        <v>4296</v>
      </c>
      <c r="E1350" s="1" t="s">
        <v>4072</v>
      </c>
      <c r="F1350" s="1" t="s">
        <v>4073</v>
      </c>
      <c r="G1350" s="1" t="s">
        <v>4149</v>
      </c>
      <c r="H1350" s="7" t="s">
        <v>4297</v>
      </c>
      <c r="I1350" s="1" t="str">
        <f t="shared" si="1"/>
        <v>6</v>
      </c>
      <c r="J1350" s="5"/>
      <c r="K1350" s="1" t="str">
        <f t="shared" si="2"/>
        <v>12</v>
      </c>
      <c r="L1350" s="5"/>
      <c r="M1350" s="2" t="str">
        <f t="shared" si="3"/>
        <v>1381</v>
      </c>
      <c r="N1350" s="1"/>
      <c r="O1350" s="13">
        <v>107.0</v>
      </c>
      <c r="P1350" s="5"/>
      <c r="Q1350" s="5"/>
      <c r="R1350" s="8" t="s">
        <v>4297</v>
      </c>
      <c r="S1350" s="5"/>
      <c r="T1350" s="1" t="str">
        <f>IFERROR(__xludf.DUMMYFUNCTION("INDEX(SPLIT(A1350, ""/""), 2)"),"کانون‌های فرهنگی هنری")</f>
        <v>کانون‌های فرهنگی هنری</v>
      </c>
      <c r="U1350" s="1" t="str">
        <f>IFERROR(__xludf.DUMMYFUNCTION("INDEX(SPLIT(A1350, ""/""), 3)"),"روزنامه شریف")</f>
        <v>روزنامه شریف</v>
      </c>
      <c r="V1350" s="1" t="str">
        <f>IFERROR(__xludf.DUMMYFUNCTION("INDEX(SPLIT(A1350, ""/""), 4)"),"#REF!")</f>
        <v>#REF!</v>
      </c>
    </row>
    <row r="1351">
      <c r="A1351" s="1" t="s">
        <v>4070</v>
      </c>
      <c r="B1351" s="1" t="s">
        <v>1131</v>
      </c>
      <c r="C1351" s="1" t="s">
        <v>21</v>
      </c>
      <c r="D1351" s="4" t="s">
        <v>4298</v>
      </c>
      <c r="E1351" s="1" t="s">
        <v>4072</v>
      </c>
      <c r="F1351" s="1" t="s">
        <v>4073</v>
      </c>
      <c r="G1351" s="1" t="s">
        <v>4149</v>
      </c>
      <c r="H1351" s="7" t="s">
        <v>4299</v>
      </c>
      <c r="I1351" s="1" t="str">
        <f t="shared" si="1"/>
        <v>10</v>
      </c>
      <c r="J1351" s="5"/>
      <c r="K1351" s="1" t="str">
        <f t="shared" si="2"/>
        <v>12</v>
      </c>
      <c r="L1351" s="5"/>
      <c r="M1351" s="2" t="str">
        <f t="shared" si="3"/>
        <v>1381</v>
      </c>
      <c r="N1351" s="1"/>
      <c r="O1351" s="13">
        <v>108.0</v>
      </c>
      <c r="P1351" s="5"/>
      <c r="Q1351" s="5"/>
      <c r="R1351" s="8" t="s">
        <v>4299</v>
      </c>
      <c r="S1351" s="5"/>
      <c r="T1351" s="1" t="str">
        <f>IFERROR(__xludf.DUMMYFUNCTION("INDEX(SPLIT(A1351, ""/""), 2)"),"کانون‌های فرهنگی هنری")</f>
        <v>کانون‌های فرهنگی هنری</v>
      </c>
      <c r="U1351" s="1" t="str">
        <f>IFERROR(__xludf.DUMMYFUNCTION("INDEX(SPLIT(A1351, ""/""), 3)"),"روزنامه شریف")</f>
        <v>روزنامه شریف</v>
      </c>
      <c r="V1351" s="1" t="str">
        <f>IFERROR(__xludf.DUMMYFUNCTION("INDEX(SPLIT(A1351, ""/""), 4)"),"#REF!")</f>
        <v>#REF!</v>
      </c>
    </row>
    <row r="1352">
      <c r="A1352" s="1" t="s">
        <v>4070</v>
      </c>
      <c r="B1352" s="1" t="s">
        <v>4300</v>
      </c>
      <c r="C1352" s="1" t="s">
        <v>21</v>
      </c>
      <c r="D1352" s="4" t="s">
        <v>4301</v>
      </c>
      <c r="E1352" s="1" t="s">
        <v>4072</v>
      </c>
      <c r="F1352" s="1" t="s">
        <v>4073</v>
      </c>
      <c r="G1352" s="1" t="s">
        <v>4149</v>
      </c>
      <c r="H1352" s="1" t="s">
        <v>4302</v>
      </c>
      <c r="I1352" s="1" t="str">
        <f t="shared" si="1"/>
        <v>13</v>
      </c>
      <c r="J1352" s="5"/>
      <c r="K1352" s="1" t="str">
        <f t="shared" si="2"/>
        <v>12</v>
      </c>
      <c r="L1352" s="5"/>
      <c r="M1352" s="2" t="str">
        <f t="shared" si="3"/>
        <v>1381</v>
      </c>
      <c r="N1352" s="1"/>
      <c r="O1352" s="13">
        <v>109.0</v>
      </c>
      <c r="P1352" s="5"/>
      <c r="Q1352" s="5"/>
      <c r="R1352" s="6" t="s">
        <v>4302</v>
      </c>
      <c r="S1352" s="5"/>
      <c r="T1352" s="1" t="str">
        <f>IFERROR(__xludf.DUMMYFUNCTION("INDEX(SPLIT(A1352, ""/""), 2)"),"کانون‌های فرهنگی هنری")</f>
        <v>کانون‌های فرهنگی هنری</v>
      </c>
      <c r="U1352" s="1" t="str">
        <f>IFERROR(__xludf.DUMMYFUNCTION("INDEX(SPLIT(A1352, ""/""), 3)"),"روزنامه شریف")</f>
        <v>روزنامه شریف</v>
      </c>
      <c r="V1352" s="1" t="str">
        <f>IFERROR(__xludf.DUMMYFUNCTION("INDEX(SPLIT(A1352, ""/""), 4)"),"#REF!")</f>
        <v>#REF!</v>
      </c>
    </row>
    <row r="1353">
      <c r="A1353" s="1" t="s">
        <v>4070</v>
      </c>
      <c r="B1353" s="1" t="s">
        <v>4303</v>
      </c>
      <c r="C1353" s="1" t="s">
        <v>21</v>
      </c>
      <c r="D1353" s="4" t="s">
        <v>4304</v>
      </c>
      <c r="E1353" s="1" t="s">
        <v>4072</v>
      </c>
      <c r="F1353" s="1" t="s">
        <v>4073</v>
      </c>
      <c r="G1353" s="1" t="s">
        <v>4149</v>
      </c>
      <c r="H1353" s="1" t="s">
        <v>4305</v>
      </c>
      <c r="I1353" s="1" t="str">
        <f t="shared" si="1"/>
        <v>17</v>
      </c>
      <c r="J1353" s="5"/>
      <c r="K1353" s="1" t="str">
        <f t="shared" si="2"/>
        <v>12</v>
      </c>
      <c r="L1353" s="5"/>
      <c r="M1353" s="2" t="str">
        <f t="shared" si="3"/>
        <v>1381</v>
      </c>
      <c r="N1353" s="1"/>
      <c r="O1353" s="13">
        <v>110.0</v>
      </c>
      <c r="P1353" s="5"/>
      <c r="Q1353" s="5"/>
      <c r="R1353" s="6" t="s">
        <v>4305</v>
      </c>
      <c r="S1353" s="5"/>
      <c r="T1353" s="1" t="str">
        <f>IFERROR(__xludf.DUMMYFUNCTION("INDEX(SPLIT(A1353, ""/""), 2)"),"کانون‌های فرهنگی هنری")</f>
        <v>کانون‌های فرهنگی هنری</v>
      </c>
      <c r="U1353" s="1" t="str">
        <f>IFERROR(__xludf.DUMMYFUNCTION("INDEX(SPLIT(A1353, ""/""), 3)"),"روزنامه شریف")</f>
        <v>روزنامه شریف</v>
      </c>
      <c r="V1353" s="1" t="str">
        <f>IFERROR(__xludf.DUMMYFUNCTION("INDEX(SPLIT(A1353, ""/""), 4)"),"#REF!")</f>
        <v>#REF!</v>
      </c>
    </row>
    <row r="1354">
      <c r="A1354" s="1" t="s">
        <v>4070</v>
      </c>
      <c r="B1354" s="1" t="s">
        <v>4306</v>
      </c>
      <c r="C1354" s="1" t="s">
        <v>21</v>
      </c>
      <c r="D1354" s="4" t="s">
        <v>4307</v>
      </c>
      <c r="E1354" s="1" t="s">
        <v>4072</v>
      </c>
      <c r="F1354" s="1" t="s">
        <v>4073</v>
      </c>
      <c r="G1354" s="1" t="s">
        <v>4149</v>
      </c>
      <c r="H1354" s="1" t="s">
        <v>4308</v>
      </c>
      <c r="I1354" s="1" t="str">
        <f t="shared" si="1"/>
        <v>20</v>
      </c>
      <c r="J1354" s="5"/>
      <c r="K1354" s="1" t="str">
        <f t="shared" si="2"/>
        <v>12</v>
      </c>
      <c r="L1354" s="5"/>
      <c r="M1354" s="2" t="str">
        <f t="shared" si="3"/>
        <v>1381</v>
      </c>
      <c r="N1354" s="5"/>
      <c r="O1354" s="13">
        <v>111.0</v>
      </c>
      <c r="P1354" s="5"/>
      <c r="Q1354" s="5"/>
      <c r="R1354" s="6" t="s">
        <v>4308</v>
      </c>
      <c r="S1354" s="5"/>
      <c r="T1354" s="1" t="str">
        <f>IFERROR(__xludf.DUMMYFUNCTION("INDEX(SPLIT(A1354, ""/""), 2)"),"کانون‌های فرهنگی هنری")</f>
        <v>کانون‌های فرهنگی هنری</v>
      </c>
      <c r="U1354" s="1" t="str">
        <f>IFERROR(__xludf.DUMMYFUNCTION("INDEX(SPLIT(A1354, ""/""), 3)"),"روزنامه شریف")</f>
        <v>روزنامه شریف</v>
      </c>
      <c r="V1354" s="1" t="str">
        <f>IFERROR(__xludf.DUMMYFUNCTION("INDEX(SPLIT(A1354, ""/""), 4)"),"#REF!")</f>
        <v>#REF!</v>
      </c>
    </row>
    <row r="1355">
      <c r="A1355" s="1" t="s">
        <v>4070</v>
      </c>
      <c r="B1355" s="1" t="s">
        <v>4309</v>
      </c>
      <c r="C1355" s="1" t="s">
        <v>21</v>
      </c>
      <c r="D1355" s="4" t="s">
        <v>4310</v>
      </c>
      <c r="E1355" s="1" t="s">
        <v>4072</v>
      </c>
      <c r="F1355" s="1" t="s">
        <v>4073</v>
      </c>
      <c r="G1355" s="1" t="s">
        <v>4149</v>
      </c>
      <c r="H1355" s="1" t="s">
        <v>4311</v>
      </c>
      <c r="I1355" s="1" t="str">
        <f t="shared" si="1"/>
        <v>19</v>
      </c>
      <c r="J1355" s="5"/>
      <c r="K1355" s="1" t="str">
        <f t="shared" si="2"/>
        <v>1</v>
      </c>
      <c r="L1355" s="5"/>
      <c r="M1355" s="2" t="str">
        <f t="shared" si="3"/>
        <v>1382</v>
      </c>
      <c r="N1355" s="1"/>
      <c r="O1355" s="13">
        <v>112.0</v>
      </c>
      <c r="P1355" s="5"/>
      <c r="Q1355" s="5"/>
      <c r="R1355" s="6" t="s">
        <v>4311</v>
      </c>
      <c r="S1355" s="5"/>
      <c r="T1355" s="1" t="str">
        <f>IFERROR(__xludf.DUMMYFUNCTION("INDEX(SPLIT(A1355, ""/""), 2)"),"کانون‌های فرهنگی هنری")</f>
        <v>کانون‌های فرهنگی هنری</v>
      </c>
      <c r="U1355" s="1" t="str">
        <f>IFERROR(__xludf.DUMMYFUNCTION("INDEX(SPLIT(A1355, ""/""), 3)"),"روزنامه شریف")</f>
        <v>روزنامه شریف</v>
      </c>
      <c r="V1355" s="1" t="str">
        <f>IFERROR(__xludf.DUMMYFUNCTION("INDEX(SPLIT(A1355, ""/""), 4)"),"#REF!")</f>
        <v>#REF!</v>
      </c>
    </row>
    <row r="1356">
      <c r="A1356" s="1" t="s">
        <v>4070</v>
      </c>
      <c r="B1356" s="1" t="s">
        <v>1134</v>
      </c>
      <c r="C1356" s="1" t="s">
        <v>21</v>
      </c>
      <c r="D1356" s="4" t="s">
        <v>4312</v>
      </c>
      <c r="E1356" s="1" t="s">
        <v>4072</v>
      </c>
      <c r="F1356" s="1" t="s">
        <v>4073</v>
      </c>
      <c r="G1356" s="1" t="s">
        <v>4149</v>
      </c>
      <c r="H1356" s="1" t="s">
        <v>4313</v>
      </c>
      <c r="I1356" s="1" t="str">
        <f t="shared" si="1"/>
        <v>23</v>
      </c>
      <c r="J1356" s="5"/>
      <c r="K1356" s="1" t="str">
        <f t="shared" si="2"/>
        <v>1</v>
      </c>
      <c r="L1356" s="5"/>
      <c r="M1356" s="2" t="str">
        <f t="shared" si="3"/>
        <v>1382</v>
      </c>
      <c r="N1356" s="1"/>
      <c r="O1356" s="13">
        <v>113.0</v>
      </c>
      <c r="P1356" s="5"/>
      <c r="Q1356" s="5"/>
      <c r="R1356" s="6" t="s">
        <v>4313</v>
      </c>
      <c r="S1356" s="5"/>
      <c r="T1356" s="1" t="str">
        <f>IFERROR(__xludf.DUMMYFUNCTION("INDEX(SPLIT(A1356, ""/""), 2)"),"کانون‌های فرهنگی هنری")</f>
        <v>کانون‌های فرهنگی هنری</v>
      </c>
      <c r="U1356" s="1" t="str">
        <f>IFERROR(__xludf.DUMMYFUNCTION("INDEX(SPLIT(A1356, ""/""), 3)"),"روزنامه شریف")</f>
        <v>روزنامه شریف</v>
      </c>
      <c r="V1356" s="1" t="str">
        <f>IFERROR(__xludf.DUMMYFUNCTION("INDEX(SPLIT(A1356, ""/""), 4)"),"#REF!")</f>
        <v>#REF!</v>
      </c>
    </row>
    <row r="1357">
      <c r="A1357" s="1" t="s">
        <v>4070</v>
      </c>
      <c r="B1357" s="1" t="s">
        <v>4314</v>
      </c>
      <c r="C1357" s="1" t="s">
        <v>21</v>
      </c>
      <c r="D1357" s="4" t="s">
        <v>4315</v>
      </c>
      <c r="E1357" s="1" t="s">
        <v>4072</v>
      </c>
      <c r="F1357" s="1" t="s">
        <v>4073</v>
      </c>
      <c r="G1357" s="1" t="s">
        <v>4149</v>
      </c>
      <c r="H1357" s="1" t="s">
        <v>4316</v>
      </c>
      <c r="I1357" s="1" t="str">
        <f t="shared" si="1"/>
        <v>26</v>
      </c>
      <c r="J1357" s="5"/>
      <c r="K1357" s="1" t="str">
        <f t="shared" si="2"/>
        <v>1</v>
      </c>
      <c r="L1357" s="5"/>
      <c r="M1357" s="2" t="str">
        <f t="shared" si="3"/>
        <v>1382</v>
      </c>
      <c r="N1357" s="1"/>
      <c r="O1357" s="13">
        <v>114.0</v>
      </c>
      <c r="P1357" s="5"/>
      <c r="Q1357" s="5"/>
      <c r="R1357" s="6" t="s">
        <v>4316</v>
      </c>
      <c r="S1357" s="5"/>
      <c r="T1357" s="1" t="str">
        <f>IFERROR(__xludf.DUMMYFUNCTION("INDEX(SPLIT(A1357, ""/""), 2)"),"کانون‌های فرهنگی هنری")</f>
        <v>کانون‌های فرهنگی هنری</v>
      </c>
      <c r="U1357" s="1" t="str">
        <f>IFERROR(__xludf.DUMMYFUNCTION("INDEX(SPLIT(A1357, ""/""), 3)"),"روزنامه شریف")</f>
        <v>روزنامه شریف</v>
      </c>
      <c r="V1357" s="1" t="str">
        <f>IFERROR(__xludf.DUMMYFUNCTION("INDEX(SPLIT(A1357, ""/""), 4)"),"#REF!")</f>
        <v>#REF!</v>
      </c>
    </row>
    <row r="1358">
      <c r="A1358" s="1" t="s">
        <v>4070</v>
      </c>
      <c r="B1358" s="1" t="s">
        <v>1137</v>
      </c>
      <c r="C1358" s="1" t="s">
        <v>21</v>
      </c>
      <c r="D1358" s="4" t="s">
        <v>4317</v>
      </c>
      <c r="E1358" s="1" t="s">
        <v>4072</v>
      </c>
      <c r="F1358" s="1" t="s">
        <v>4073</v>
      </c>
      <c r="G1358" s="1" t="s">
        <v>4149</v>
      </c>
      <c r="H1358" s="1" t="s">
        <v>4318</v>
      </c>
      <c r="I1358" s="1" t="str">
        <f t="shared" si="1"/>
        <v>30</v>
      </c>
      <c r="J1358" s="5"/>
      <c r="K1358" s="1" t="str">
        <f t="shared" si="2"/>
        <v>1</v>
      </c>
      <c r="L1358" s="5"/>
      <c r="M1358" s="2" t="str">
        <f t="shared" si="3"/>
        <v>1382</v>
      </c>
      <c r="N1358" s="1"/>
      <c r="O1358" s="13">
        <v>115.0</v>
      </c>
      <c r="P1358" s="5"/>
      <c r="Q1358" s="5"/>
      <c r="R1358" s="6" t="s">
        <v>4318</v>
      </c>
      <c r="S1358" s="5"/>
      <c r="T1358" s="1" t="str">
        <f>IFERROR(__xludf.DUMMYFUNCTION("INDEX(SPLIT(A1358, ""/""), 2)"),"کانون‌های فرهنگی هنری")</f>
        <v>کانون‌های فرهنگی هنری</v>
      </c>
      <c r="U1358" s="1" t="str">
        <f>IFERROR(__xludf.DUMMYFUNCTION("INDEX(SPLIT(A1358, ""/""), 3)"),"روزنامه شریف")</f>
        <v>روزنامه شریف</v>
      </c>
      <c r="V1358" s="1" t="str">
        <f>IFERROR(__xludf.DUMMYFUNCTION("INDEX(SPLIT(A1358, ""/""), 4)"),"#REF!")</f>
        <v>#REF!</v>
      </c>
    </row>
    <row r="1359">
      <c r="A1359" s="1" t="s">
        <v>4070</v>
      </c>
      <c r="B1359" s="1" t="s">
        <v>1142</v>
      </c>
      <c r="C1359" s="1" t="s">
        <v>21</v>
      </c>
      <c r="D1359" s="4" t="s">
        <v>4319</v>
      </c>
      <c r="E1359" s="1" t="s">
        <v>4072</v>
      </c>
      <c r="F1359" s="1" t="s">
        <v>4073</v>
      </c>
      <c r="G1359" s="1" t="s">
        <v>4149</v>
      </c>
      <c r="H1359" s="7" t="s">
        <v>4320</v>
      </c>
      <c r="I1359" s="1" t="str">
        <f t="shared" si="1"/>
        <v>2</v>
      </c>
      <c r="J1359" s="5"/>
      <c r="K1359" s="1" t="str">
        <f t="shared" si="2"/>
        <v>2</v>
      </c>
      <c r="L1359" s="5"/>
      <c r="M1359" s="2" t="str">
        <f t="shared" si="3"/>
        <v>1382</v>
      </c>
      <c r="N1359" s="1"/>
      <c r="O1359" s="13">
        <v>116.0</v>
      </c>
      <c r="P1359" s="5"/>
      <c r="Q1359" s="5"/>
      <c r="R1359" s="8" t="s">
        <v>4320</v>
      </c>
      <c r="S1359" s="5"/>
      <c r="T1359" s="1" t="str">
        <f>IFERROR(__xludf.DUMMYFUNCTION("INDEX(SPLIT(A1359, ""/""), 2)"),"کانون‌های فرهنگی هنری")</f>
        <v>کانون‌های فرهنگی هنری</v>
      </c>
      <c r="U1359" s="1" t="str">
        <f>IFERROR(__xludf.DUMMYFUNCTION("INDEX(SPLIT(A1359, ""/""), 3)"),"روزنامه شریف")</f>
        <v>روزنامه شریف</v>
      </c>
      <c r="V1359" s="1" t="str">
        <f>IFERROR(__xludf.DUMMYFUNCTION("INDEX(SPLIT(A1359, ""/""), 4)"),"#REF!")</f>
        <v>#REF!</v>
      </c>
    </row>
    <row r="1360">
      <c r="A1360" s="1" t="s">
        <v>4070</v>
      </c>
      <c r="B1360" s="1" t="s">
        <v>1145</v>
      </c>
      <c r="C1360" s="1" t="s">
        <v>21</v>
      </c>
      <c r="D1360" s="4" t="s">
        <v>4321</v>
      </c>
      <c r="E1360" s="1" t="s">
        <v>4072</v>
      </c>
      <c r="F1360" s="1" t="s">
        <v>4073</v>
      </c>
      <c r="G1360" s="1" t="s">
        <v>4149</v>
      </c>
      <c r="H1360" s="7" t="s">
        <v>4322</v>
      </c>
      <c r="I1360" s="1" t="str">
        <f t="shared" si="1"/>
        <v>6</v>
      </c>
      <c r="J1360" s="5"/>
      <c r="K1360" s="1" t="str">
        <f t="shared" si="2"/>
        <v>2</v>
      </c>
      <c r="L1360" s="5"/>
      <c r="M1360" s="2" t="str">
        <f t="shared" si="3"/>
        <v>1382</v>
      </c>
      <c r="N1360" s="1"/>
      <c r="O1360" s="13">
        <v>117.0</v>
      </c>
      <c r="P1360" s="5"/>
      <c r="Q1360" s="5"/>
      <c r="R1360" s="8" t="s">
        <v>4322</v>
      </c>
      <c r="S1360" s="5"/>
      <c r="T1360" s="1" t="str">
        <f>IFERROR(__xludf.DUMMYFUNCTION("INDEX(SPLIT(A1360, ""/""), 2)"),"کانون‌های فرهنگی هنری")</f>
        <v>کانون‌های فرهنگی هنری</v>
      </c>
      <c r="U1360" s="1" t="str">
        <f>IFERROR(__xludf.DUMMYFUNCTION("INDEX(SPLIT(A1360, ""/""), 3)"),"روزنامه شریف")</f>
        <v>روزنامه شریف</v>
      </c>
      <c r="V1360" s="1" t="str">
        <f>IFERROR(__xludf.DUMMYFUNCTION("INDEX(SPLIT(A1360, ""/""), 4)"),"#REF!")</f>
        <v>#REF!</v>
      </c>
    </row>
    <row r="1361">
      <c r="A1361" s="1" t="s">
        <v>4070</v>
      </c>
      <c r="B1361" s="1" t="s">
        <v>1148</v>
      </c>
      <c r="C1361" s="1" t="s">
        <v>21</v>
      </c>
      <c r="D1361" s="4" t="s">
        <v>4323</v>
      </c>
      <c r="E1361" s="1" t="s">
        <v>4072</v>
      </c>
      <c r="F1361" s="1" t="s">
        <v>4073</v>
      </c>
      <c r="G1361" s="1" t="s">
        <v>4149</v>
      </c>
      <c r="H1361" s="7" t="s">
        <v>4324</v>
      </c>
      <c r="I1361" s="1" t="str">
        <f t="shared" si="1"/>
        <v>9</v>
      </c>
      <c r="J1361" s="5"/>
      <c r="K1361" s="1" t="str">
        <f t="shared" si="2"/>
        <v>2</v>
      </c>
      <c r="L1361" s="5"/>
      <c r="M1361" s="2" t="str">
        <f t="shared" si="3"/>
        <v>1382</v>
      </c>
      <c r="N1361" s="1"/>
      <c r="O1361" s="13">
        <v>118.0</v>
      </c>
      <c r="P1361" s="5"/>
      <c r="Q1361" s="5"/>
      <c r="R1361" s="8" t="s">
        <v>4324</v>
      </c>
      <c r="S1361" s="5"/>
      <c r="T1361" s="1" t="str">
        <f>IFERROR(__xludf.DUMMYFUNCTION("INDEX(SPLIT(A1361, ""/""), 2)"),"کانون‌های فرهنگی هنری")</f>
        <v>کانون‌های فرهنگی هنری</v>
      </c>
      <c r="U1361" s="1" t="str">
        <f>IFERROR(__xludf.DUMMYFUNCTION("INDEX(SPLIT(A1361, ""/""), 3)"),"روزنامه شریف")</f>
        <v>روزنامه شریف</v>
      </c>
      <c r="V1361" s="1" t="str">
        <f>IFERROR(__xludf.DUMMYFUNCTION("INDEX(SPLIT(A1361, ""/""), 4)"),"#REF!")</f>
        <v>#REF!</v>
      </c>
    </row>
    <row r="1362">
      <c r="A1362" s="1" t="s">
        <v>4070</v>
      </c>
      <c r="B1362" s="1" t="s">
        <v>1151</v>
      </c>
      <c r="C1362" s="1" t="s">
        <v>21</v>
      </c>
      <c r="D1362" s="4" t="s">
        <v>4325</v>
      </c>
      <c r="E1362" s="1" t="s">
        <v>4072</v>
      </c>
      <c r="F1362" s="1" t="s">
        <v>4073</v>
      </c>
      <c r="G1362" s="1" t="s">
        <v>4149</v>
      </c>
      <c r="H1362" s="1" t="s">
        <v>4326</v>
      </c>
      <c r="I1362" s="1" t="str">
        <f t="shared" si="1"/>
        <v>13</v>
      </c>
      <c r="J1362" s="5"/>
      <c r="K1362" s="1" t="str">
        <f t="shared" si="2"/>
        <v>2</v>
      </c>
      <c r="L1362" s="5"/>
      <c r="M1362" s="2" t="str">
        <f t="shared" si="3"/>
        <v>1382</v>
      </c>
      <c r="N1362" s="1"/>
      <c r="O1362" s="13">
        <v>119.0</v>
      </c>
      <c r="P1362" s="5"/>
      <c r="Q1362" s="5"/>
      <c r="R1362" s="6" t="s">
        <v>4326</v>
      </c>
      <c r="S1362" s="5"/>
      <c r="T1362" s="1" t="str">
        <f>IFERROR(__xludf.DUMMYFUNCTION("INDEX(SPLIT(A1362, ""/""), 2)"),"کانون‌های فرهنگی هنری")</f>
        <v>کانون‌های فرهنگی هنری</v>
      </c>
      <c r="U1362" s="1" t="str">
        <f>IFERROR(__xludf.DUMMYFUNCTION("INDEX(SPLIT(A1362, ""/""), 3)"),"روزنامه شریف")</f>
        <v>روزنامه شریف</v>
      </c>
      <c r="V1362" s="1" t="str">
        <f>IFERROR(__xludf.DUMMYFUNCTION("INDEX(SPLIT(A1362, ""/""), 4)"),"#REF!")</f>
        <v>#REF!</v>
      </c>
    </row>
    <row r="1363">
      <c r="A1363" s="1" t="s">
        <v>4070</v>
      </c>
      <c r="B1363" s="1" t="s">
        <v>1154</v>
      </c>
      <c r="C1363" s="1" t="s">
        <v>21</v>
      </c>
      <c r="D1363" s="4" t="s">
        <v>4327</v>
      </c>
      <c r="E1363" s="1" t="s">
        <v>4072</v>
      </c>
      <c r="F1363" s="1" t="s">
        <v>4073</v>
      </c>
      <c r="G1363" s="1" t="s">
        <v>4149</v>
      </c>
      <c r="H1363" s="1" t="s">
        <v>4328</v>
      </c>
      <c r="I1363" s="1" t="str">
        <f t="shared" si="1"/>
        <v>16</v>
      </c>
      <c r="J1363" s="5"/>
      <c r="K1363" s="1" t="str">
        <f t="shared" si="2"/>
        <v>2</v>
      </c>
      <c r="L1363" s="5"/>
      <c r="M1363" s="2" t="str">
        <f t="shared" si="3"/>
        <v>1382</v>
      </c>
      <c r="N1363" s="1"/>
      <c r="O1363" s="13">
        <v>120.0</v>
      </c>
      <c r="P1363" s="5"/>
      <c r="Q1363" s="5"/>
      <c r="R1363" s="6" t="s">
        <v>4328</v>
      </c>
      <c r="S1363" s="5"/>
      <c r="T1363" s="1" t="str">
        <f>IFERROR(__xludf.DUMMYFUNCTION("INDEX(SPLIT(A1363, ""/""), 2)"),"کانون‌های فرهنگی هنری")</f>
        <v>کانون‌های فرهنگی هنری</v>
      </c>
      <c r="U1363" s="1" t="str">
        <f>IFERROR(__xludf.DUMMYFUNCTION("INDEX(SPLIT(A1363, ""/""), 3)"),"روزنامه شریف")</f>
        <v>روزنامه شریف</v>
      </c>
      <c r="V1363" s="1" t="str">
        <f>IFERROR(__xludf.DUMMYFUNCTION("INDEX(SPLIT(A1363, ""/""), 4)"),"#REF!")</f>
        <v>#REF!</v>
      </c>
    </row>
    <row r="1364">
      <c r="A1364" s="1" t="s">
        <v>4070</v>
      </c>
      <c r="B1364" s="1" t="s">
        <v>4329</v>
      </c>
      <c r="C1364" s="1" t="s">
        <v>21</v>
      </c>
      <c r="D1364" s="4" t="s">
        <v>4330</v>
      </c>
      <c r="E1364" s="1" t="s">
        <v>4072</v>
      </c>
      <c r="F1364" s="1" t="s">
        <v>4073</v>
      </c>
      <c r="G1364" s="1" t="s">
        <v>4149</v>
      </c>
      <c r="H1364" s="1" t="s">
        <v>4331</v>
      </c>
      <c r="I1364" s="1" t="str">
        <f t="shared" si="1"/>
        <v>21</v>
      </c>
      <c r="J1364" s="5"/>
      <c r="K1364" s="1" t="str">
        <f t="shared" si="2"/>
        <v>2</v>
      </c>
      <c r="L1364" s="5"/>
      <c r="M1364" s="2" t="str">
        <f t="shared" si="3"/>
        <v>1382</v>
      </c>
      <c r="N1364" s="1"/>
      <c r="O1364" s="13">
        <v>121.0</v>
      </c>
      <c r="P1364" s="5"/>
      <c r="Q1364" s="5"/>
      <c r="R1364" s="6" t="s">
        <v>4331</v>
      </c>
      <c r="S1364" s="5"/>
      <c r="T1364" s="1" t="str">
        <f>IFERROR(__xludf.DUMMYFUNCTION("INDEX(SPLIT(A1364, ""/""), 2)"),"کانون‌های فرهنگی هنری")</f>
        <v>کانون‌های فرهنگی هنری</v>
      </c>
      <c r="U1364" s="1" t="str">
        <f>IFERROR(__xludf.DUMMYFUNCTION("INDEX(SPLIT(A1364, ""/""), 3)"),"روزنامه شریف")</f>
        <v>روزنامه شریف</v>
      </c>
      <c r="V1364" s="1" t="str">
        <f>IFERROR(__xludf.DUMMYFUNCTION("INDEX(SPLIT(A1364, ""/""), 4)"),"#REF!")</f>
        <v>#REF!</v>
      </c>
    </row>
    <row r="1365">
      <c r="A1365" s="1" t="s">
        <v>4070</v>
      </c>
      <c r="B1365" s="1" t="s">
        <v>4332</v>
      </c>
      <c r="C1365" s="1" t="s">
        <v>21</v>
      </c>
      <c r="D1365" s="4" t="s">
        <v>4333</v>
      </c>
      <c r="E1365" s="1" t="s">
        <v>4072</v>
      </c>
      <c r="F1365" s="1" t="s">
        <v>4073</v>
      </c>
      <c r="G1365" s="1" t="s">
        <v>4149</v>
      </c>
      <c r="H1365" s="1" t="s">
        <v>4334</v>
      </c>
      <c r="I1365" s="1" t="str">
        <f t="shared" si="1"/>
        <v>23</v>
      </c>
      <c r="J1365" s="5"/>
      <c r="K1365" s="1" t="str">
        <f t="shared" si="2"/>
        <v>2</v>
      </c>
      <c r="L1365" s="5"/>
      <c r="M1365" s="2" t="str">
        <f t="shared" si="3"/>
        <v>1382</v>
      </c>
      <c r="N1365" s="1"/>
      <c r="O1365" s="13">
        <v>122.0</v>
      </c>
      <c r="P1365" s="5"/>
      <c r="Q1365" s="5"/>
      <c r="R1365" s="6" t="s">
        <v>4334</v>
      </c>
      <c r="S1365" s="5"/>
      <c r="T1365" s="1" t="str">
        <f>IFERROR(__xludf.DUMMYFUNCTION("INDEX(SPLIT(A1365, ""/""), 2)"),"کانون‌های فرهنگی هنری")</f>
        <v>کانون‌های فرهنگی هنری</v>
      </c>
      <c r="U1365" s="1" t="str">
        <f>IFERROR(__xludf.DUMMYFUNCTION("INDEX(SPLIT(A1365, ""/""), 3)"),"روزنامه شریف")</f>
        <v>روزنامه شریف</v>
      </c>
      <c r="V1365" s="1" t="str">
        <f>IFERROR(__xludf.DUMMYFUNCTION("INDEX(SPLIT(A1365, ""/""), 4)"),"#REF!")</f>
        <v>#REF!</v>
      </c>
    </row>
    <row r="1366">
      <c r="A1366" s="1" t="s">
        <v>4070</v>
      </c>
      <c r="B1366" s="1" t="s">
        <v>1161</v>
      </c>
      <c r="C1366" s="1" t="s">
        <v>21</v>
      </c>
      <c r="D1366" s="4" t="s">
        <v>4335</v>
      </c>
      <c r="E1366" s="1" t="s">
        <v>4072</v>
      </c>
      <c r="F1366" s="1" t="s">
        <v>4073</v>
      </c>
      <c r="G1366" s="1" t="s">
        <v>4149</v>
      </c>
      <c r="H1366" s="1" t="s">
        <v>4336</v>
      </c>
      <c r="I1366" s="1" t="str">
        <f t="shared" si="1"/>
        <v>27</v>
      </c>
      <c r="J1366" s="5"/>
      <c r="K1366" s="1" t="str">
        <f t="shared" si="2"/>
        <v>2</v>
      </c>
      <c r="L1366" s="5"/>
      <c r="M1366" s="2" t="str">
        <f t="shared" si="3"/>
        <v>1382</v>
      </c>
      <c r="N1366" s="1"/>
      <c r="O1366" s="13">
        <v>123.0</v>
      </c>
      <c r="P1366" s="5"/>
      <c r="Q1366" s="5"/>
      <c r="R1366" s="6" t="s">
        <v>4336</v>
      </c>
      <c r="S1366" s="5"/>
      <c r="T1366" s="1" t="str">
        <f>IFERROR(__xludf.DUMMYFUNCTION("INDEX(SPLIT(A1366, ""/""), 2)"),"کانون‌های فرهنگی هنری")</f>
        <v>کانون‌های فرهنگی هنری</v>
      </c>
      <c r="U1366" s="1" t="str">
        <f>IFERROR(__xludf.DUMMYFUNCTION("INDEX(SPLIT(A1366, ""/""), 3)"),"روزنامه شریف")</f>
        <v>روزنامه شریف</v>
      </c>
      <c r="V1366" s="1" t="str">
        <f>IFERROR(__xludf.DUMMYFUNCTION("INDEX(SPLIT(A1366, ""/""), 4)"),"#REF!")</f>
        <v>#REF!</v>
      </c>
    </row>
    <row r="1367">
      <c r="A1367" s="1" t="s">
        <v>4070</v>
      </c>
      <c r="B1367" s="1" t="s">
        <v>4337</v>
      </c>
      <c r="C1367" s="1" t="s">
        <v>21</v>
      </c>
      <c r="D1367" s="4" t="s">
        <v>4338</v>
      </c>
      <c r="E1367" s="1" t="s">
        <v>4072</v>
      </c>
      <c r="F1367" s="1" t="s">
        <v>4073</v>
      </c>
      <c r="G1367" s="1" t="s">
        <v>4149</v>
      </c>
      <c r="H1367" s="1" t="s">
        <v>4339</v>
      </c>
      <c r="I1367" s="1" t="str">
        <f t="shared" si="1"/>
        <v>30</v>
      </c>
      <c r="J1367" s="5"/>
      <c r="K1367" s="1" t="str">
        <f t="shared" si="2"/>
        <v>2</v>
      </c>
      <c r="L1367" s="5"/>
      <c r="M1367" s="2" t="str">
        <f t="shared" si="3"/>
        <v>1382</v>
      </c>
      <c r="N1367" s="1"/>
      <c r="O1367" s="13">
        <v>124.0</v>
      </c>
      <c r="P1367" s="5"/>
      <c r="Q1367" s="5"/>
      <c r="R1367" s="6" t="s">
        <v>4339</v>
      </c>
      <c r="S1367" s="5"/>
      <c r="T1367" s="1" t="str">
        <f>IFERROR(__xludf.DUMMYFUNCTION("INDEX(SPLIT(A1367, ""/""), 2)"),"کانون‌های فرهنگی هنری")</f>
        <v>کانون‌های فرهنگی هنری</v>
      </c>
      <c r="U1367" s="1" t="str">
        <f>IFERROR(__xludf.DUMMYFUNCTION("INDEX(SPLIT(A1367, ""/""), 3)"),"روزنامه شریف")</f>
        <v>روزنامه شریف</v>
      </c>
      <c r="V1367" s="1" t="str">
        <f>IFERROR(__xludf.DUMMYFUNCTION("INDEX(SPLIT(A1367, ""/""), 4)"),"#REF!")</f>
        <v>#REF!</v>
      </c>
    </row>
    <row r="1368">
      <c r="A1368" s="1" t="s">
        <v>4070</v>
      </c>
      <c r="B1368" s="1" t="s">
        <v>1163</v>
      </c>
      <c r="C1368" s="1" t="s">
        <v>21</v>
      </c>
      <c r="D1368" s="4" t="s">
        <v>4340</v>
      </c>
      <c r="E1368" s="1" t="s">
        <v>4072</v>
      </c>
      <c r="F1368" s="1" t="s">
        <v>4073</v>
      </c>
      <c r="G1368" s="1" t="s">
        <v>4149</v>
      </c>
      <c r="H1368" s="7" t="s">
        <v>4341</v>
      </c>
      <c r="I1368" s="1" t="str">
        <f t="shared" si="1"/>
        <v>3</v>
      </c>
      <c r="J1368" s="5"/>
      <c r="K1368" s="1" t="str">
        <f t="shared" si="2"/>
        <v>3</v>
      </c>
      <c r="L1368" s="5"/>
      <c r="M1368" s="2" t="str">
        <f t="shared" si="3"/>
        <v>1382</v>
      </c>
      <c r="N1368" s="1"/>
      <c r="O1368" s="13">
        <v>125.0</v>
      </c>
      <c r="P1368" s="5"/>
      <c r="Q1368" s="5"/>
      <c r="R1368" s="8" t="s">
        <v>4341</v>
      </c>
      <c r="S1368" s="5"/>
      <c r="T1368" s="1" t="str">
        <f>IFERROR(__xludf.DUMMYFUNCTION("INDEX(SPLIT(A1368, ""/""), 2)"),"کانون‌های فرهنگی هنری")</f>
        <v>کانون‌های فرهنگی هنری</v>
      </c>
      <c r="U1368" s="1" t="str">
        <f>IFERROR(__xludf.DUMMYFUNCTION("INDEX(SPLIT(A1368, ""/""), 3)"),"روزنامه شریف")</f>
        <v>روزنامه شریف</v>
      </c>
      <c r="V1368" s="1" t="str">
        <f>IFERROR(__xludf.DUMMYFUNCTION("INDEX(SPLIT(A1368, ""/""), 4)"),"#REF!")</f>
        <v>#REF!</v>
      </c>
    </row>
    <row r="1369">
      <c r="A1369" s="1" t="s">
        <v>4070</v>
      </c>
      <c r="B1369" s="1" t="s">
        <v>4342</v>
      </c>
      <c r="C1369" s="1" t="s">
        <v>21</v>
      </c>
      <c r="D1369" s="4" t="s">
        <v>4343</v>
      </c>
      <c r="E1369" s="1" t="s">
        <v>4072</v>
      </c>
      <c r="F1369" s="1" t="s">
        <v>4073</v>
      </c>
      <c r="G1369" s="1" t="s">
        <v>4149</v>
      </c>
      <c r="H1369" s="7" t="s">
        <v>4344</v>
      </c>
      <c r="I1369" s="1" t="str">
        <f t="shared" si="1"/>
        <v>6</v>
      </c>
      <c r="J1369" s="5"/>
      <c r="K1369" s="1" t="str">
        <f t="shared" si="2"/>
        <v>3</v>
      </c>
      <c r="L1369" s="5"/>
      <c r="M1369" s="2" t="str">
        <f t="shared" si="3"/>
        <v>1382</v>
      </c>
      <c r="N1369" s="1"/>
      <c r="O1369" s="13">
        <v>126.0</v>
      </c>
      <c r="P1369" s="5"/>
      <c r="Q1369" s="5"/>
      <c r="R1369" s="8" t="s">
        <v>4344</v>
      </c>
      <c r="S1369" s="5"/>
      <c r="T1369" s="1" t="str">
        <f>IFERROR(__xludf.DUMMYFUNCTION("INDEX(SPLIT(A1369, ""/""), 2)"),"کانون‌های فرهنگی هنری")</f>
        <v>کانون‌های فرهنگی هنری</v>
      </c>
      <c r="U1369" s="1" t="str">
        <f>IFERROR(__xludf.DUMMYFUNCTION("INDEX(SPLIT(A1369, ""/""), 3)"),"روزنامه شریف")</f>
        <v>روزنامه شریف</v>
      </c>
      <c r="V1369" s="1" t="str">
        <f>IFERROR(__xludf.DUMMYFUNCTION("INDEX(SPLIT(A1369, ""/""), 4)"),"#REF!")</f>
        <v>#REF!</v>
      </c>
    </row>
    <row r="1370">
      <c r="A1370" s="1" t="s">
        <v>4070</v>
      </c>
      <c r="B1370" s="1" t="s">
        <v>1166</v>
      </c>
      <c r="C1370" s="1" t="s">
        <v>21</v>
      </c>
      <c r="D1370" s="4" t="s">
        <v>4345</v>
      </c>
      <c r="E1370" s="1" t="s">
        <v>4072</v>
      </c>
      <c r="F1370" s="1" t="s">
        <v>4073</v>
      </c>
      <c r="G1370" s="1" t="s">
        <v>4149</v>
      </c>
      <c r="H1370" s="7" t="s">
        <v>4346</v>
      </c>
      <c r="I1370" s="1" t="str">
        <f t="shared" si="1"/>
        <v>10</v>
      </c>
      <c r="J1370" s="5"/>
      <c r="K1370" s="1" t="str">
        <f t="shared" si="2"/>
        <v>4</v>
      </c>
      <c r="L1370" s="5"/>
      <c r="M1370" s="2" t="str">
        <f t="shared" si="3"/>
        <v>1382</v>
      </c>
      <c r="N1370" s="1"/>
      <c r="O1370" s="13">
        <v>127.0</v>
      </c>
      <c r="P1370" s="5"/>
      <c r="Q1370" s="5"/>
      <c r="R1370" s="8" t="s">
        <v>4346</v>
      </c>
      <c r="S1370" s="5"/>
      <c r="T1370" s="1" t="str">
        <f>IFERROR(__xludf.DUMMYFUNCTION("INDEX(SPLIT(A1370, ""/""), 2)"),"کانون‌های فرهنگی هنری")</f>
        <v>کانون‌های فرهنگی هنری</v>
      </c>
      <c r="U1370" s="1" t="str">
        <f>IFERROR(__xludf.DUMMYFUNCTION("INDEX(SPLIT(A1370, ""/""), 3)"),"روزنامه شریف")</f>
        <v>روزنامه شریف</v>
      </c>
      <c r="V1370" s="1" t="str">
        <f>IFERROR(__xludf.DUMMYFUNCTION("INDEX(SPLIT(A1370, ""/""), 4)"),"#REF!")</f>
        <v>#REF!</v>
      </c>
    </row>
    <row r="1371">
      <c r="A1371" s="1" t="s">
        <v>4070</v>
      </c>
      <c r="B1371" s="1" t="s">
        <v>1169</v>
      </c>
      <c r="C1371" s="1" t="s">
        <v>21</v>
      </c>
      <c r="D1371" s="4" t="s">
        <v>4347</v>
      </c>
      <c r="E1371" s="1" t="s">
        <v>4072</v>
      </c>
      <c r="F1371" s="1" t="s">
        <v>4073</v>
      </c>
      <c r="G1371" s="1" t="s">
        <v>4149</v>
      </c>
      <c r="H1371" s="1" t="s">
        <v>4348</v>
      </c>
      <c r="I1371" s="1" t="str">
        <f t="shared" si="1"/>
        <v>24</v>
      </c>
      <c r="J1371" s="5"/>
      <c r="K1371" s="1" t="str">
        <f t="shared" si="2"/>
        <v>4</v>
      </c>
      <c r="L1371" s="5"/>
      <c r="M1371" s="2" t="str">
        <f t="shared" si="3"/>
        <v>1382</v>
      </c>
      <c r="N1371" s="5"/>
      <c r="O1371" s="13">
        <v>128.0</v>
      </c>
      <c r="P1371" s="5"/>
      <c r="Q1371" s="5"/>
      <c r="R1371" s="6" t="s">
        <v>4348</v>
      </c>
      <c r="S1371" s="5"/>
      <c r="T1371" s="1" t="str">
        <f>IFERROR(__xludf.DUMMYFUNCTION("INDEX(SPLIT(A1371, ""/""), 2)"),"کانون‌های فرهنگی هنری")</f>
        <v>کانون‌های فرهنگی هنری</v>
      </c>
      <c r="U1371" s="1" t="str">
        <f>IFERROR(__xludf.DUMMYFUNCTION("INDEX(SPLIT(A1371, ""/""), 3)"),"روزنامه شریف")</f>
        <v>روزنامه شریف</v>
      </c>
      <c r="V1371" s="1" t="str">
        <f>IFERROR(__xludf.DUMMYFUNCTION("INDEX(SPLIT(A1371, ""/""), 4)"),"#REF!")</f>
        <v>#REF!</v>
      </c>
    </row>
    <row r="1372">
      <c r="A1372" s="1" t="s">
        <v>4070</v>
      </c>
      <c r="B1372" s="1" t="s">
        <v>4349</v>
      </c>
      <c r="C1372" s="1" t="s">
        <v>21</v>
      </c>
      <c r="D1372" s="4" t="s">
        <v>4350</v>
      </c>
      <c r="E1372" s="1" t="s">
        <v>4072</v>
      </c>
      <c r="F1372" s="1" t="s">
        <v>4073</v>
      </c>
      <c r="G1372" s="1" t="s">
        <v>4149</v>
      </c>
      <c r="H1372" s="1" t="s">
        <v>4351</v>
      </c>
      <c r="I1372" s="1" t="str">
        <f t="shared" si="1"/>
        <v>31</v>
      </c>
      <c r="J1372" s="5"/>
      <c r="K1372" s="1" t="str">
        <f t="shared" si="2"/>
        <v>4</v>
      </c>
      <c r="L1372" s="5"/>
      <c r="M1372" s="2" t="str">
        <f t="shared" si="3"/>
        <v>1382</v>
      </c>
      <c r="N1372" s="5"/>
      <c r="O1372" s="13">
        <v>129.0</v>
      </c>
      <c r="P1372" s="5"/>
      <c r="Q1372" s="5"/>
      <c r="R1372" s="6" t="s">
        <v>4351</v>
      </c>
      <c r="S1372" s="5"/>
      <c r="T1372" s="1" t="str">
        <f>IFERROR(__xludf.DUMMYFUNCTION("INDEX(SPLIT(A1372, ""/""), 2)"),"کانون‌های فرهنگی هنری")</f>
        <v>کانون‌های فرهنگی هنری</v>
      </c>
      <c r="U1372" s="1" t="str">
        <f>IFERROR(__xludf.DUMMYFUNCTION("INDEX(SPLIT(A1372, ""/""), 3)"),"روزنامه شریف")</f>
        <v>روزنامه شریف</v>
      </c>
      <c r="V1372" s="1" t="str">
        <f>IFERROR(__xludf.DUMMYFUNCTION("INDEX(SPLIT(A1372, ""/""), 4)"),"#REF!")</f>
        <v>#REF!</v>
      </c>
    </row>
    <row r="1373">
      <c r="A1373" s="1" t="s">
        <v>4070</v>
      </c>
      <c r="B1373" s="1" t="s">
        <v>4352</v>
      </c>
      <c r="C1373" s="1" t="s">
        <v>21</v>
      </c>
      <c r="D1373" s="4" t="s">
        <v>4353</v>
      </c>
      <c r="E1373" s="1" t="s">
        <v>4072</v>
      </c>
      <c r="F1373" s="1" t="s">
        <v>4073</v>
      </c>
      <c r="G1373" s="1" t="s">
        <v>4149</v>
      </c>
      <c r="H1373" s="7" t="s">
        <v>4354</v>
      </c>
      <c r="I1373" s="1" t="str">
        <f t="shared" si="1"/>
        <v>7</v>
      </c>
      <c r="J1373" s="5"/>
      <c r="K1373" s="1" t="str">
        <f t="shared" si="2"/>
        <v>5</v>
      </c>
      <c r="L1373" s="5"/>
      <c r="M1373" s="2" t="str">
        <f t="shared" si="3"/>
        <v>1382</v>
      </c>
      <c r="N1373" s="5"/>
      <c r="O1373" s="13">
        <v>130.0</v>
      </c>
      <c r="P1373" s="5"/>
      <c r="Q1373" s="5"/>
      <c r="R1373" s="8" t="s">
        <v>4354</v>
      </c>
      <c r="S1373" s="5"/>
      <c r="T1373" s="1" t="str">
        <f>IFERROR(__xludf.DUMMYFUNCTION("INDEX(SPLIT(A1373, ""/""), 2)"),"کانون‌های فرهنگی هنری")</f>
        <v>کانون‌های فرهنگی هنری</v>
      </c>
      <c r="U1373" s="1" t="str">
        <f>IFERROR(__xludf.DUMMYFUNCTION("INDEX(SPLIT(A1373, ""/""), 3)"),"روزنامه شریف")</f>
        <v>روزنامه شریف</v>
      </c>
      <c r="V1373" s="1" t="str">
        <f>IFERROR(__xludf.DUMMYFUNCTION("INDEX(SPLIT(A1373, ""/""), 4)"),"#REF!")</f>
        <v>#REF!</v>
      </c>
    </row>
    <row r="1374">
      <c r="A1374" s="1" t="s">
        <v>4070</v>
      </c>
      <c r="B1374" s="1" t="s">
        <v>4355</v>
      </c>
      <c r="C1374" s="1" t="s">
        <v>21</v>
      </c>
      <c r="D1374" s="4" t="s">
        <v>4356</v>
      </c>
      <c r="E1374" s="1" t="s">
        <v>4072</v>
      </c>
      <c r="F1374" s="1" t="s">
        <v>4073</v>
      </c>
      <c r="G1374" s="1" t="s">
        <v>4149</v>
      </c>
      <c r="H1374" s="1" t="s">
        <v>4357</v>
      </c>
      <c r="I1374" s="1" t="str">
        <f t="shared" si="1"/>
        <v>14</v>
      </c>
      <c r="J1374" s="5"/>
      <c r="K1374" s="1" t="str">
        <f t="shared" si="2"/>
        <v>5</v>
      </c>
      <c r="L1374" s="5"/>
      <c r="M1374" s="2" t="str">
        <f t="shared" si="3"/>
        <v>1382</v>
      </c>
      <c r="N1374" s="5"/>
      <c r="O1374" s="13">
        <v>131.0</v>
      </c>
      <c r="P1374" s="5"/>
      <c r="Q1374" s="5"/>
      <c r="R1374" s="6" t="s">
        <v>4357</v>
      </c>
      <c r="S1374" s="5"/>
      <c r="T1374" s="1" t="str">
        <f>IFERROR(__xludf.DUMMYFUNCTION("INDEX(SPLIT(A1374, ""/""), 2)"),"کانون‌های فرهنگی هنری")</f>
        <v>کانون‌های فرهنگی هنری</v>
      </c>
      <c r="U1374" s="1" t="str">
        <f>IFERROR(__xludf.DUMMYFUNCTION("INDEX(SPLIT(A1374, ""/""), 3)"),"روزنامه شریف")</f>
        <v>روزنامه شریف</v>
      </c>
      <c r="V1374" s="1" t="str">
        <f>IFERROR(__xludf.DUMMYFUNCTION("INDEX(SPLIT(A1374, ""/""), 4)"),"#REF!")</f>
        <v>#REF!</v>
      </c>
    </row>
    <row r="1375">
      <c r="A1375" s="1" t="s">
        <v>4070</v>
      </c>
      <c r="B1375" s="1" t="s">
        <v>1171</v>
      </c>
      <c r="C1375" s="1" t="s">
        <v>21</v>
      </c>
      <c r="D1375" s="4" t="s">
        <v>4358</v>
      </c>
      <c r="E1375" s="1" t="s">
        <v>4072</v>
      </c>
      <c r="F1375" s="1" t="s">
        <v>4073</v>
      </c>
      <c r="G1375" s="1" t="s">
        <v>4149</v>
      </c>
      <c r="H1375" s="1" t="s">
        <v>4359</v>
      </c>
      <c r="I1375" s="1" t="str">
        <f t="shared" si="1"/>
        <v>21</v>
      </c>
      <c r="J1375" s="5"/>
      <c r="K1375" s="1" t="str">
        <f t="shared" si="2"/>
        <v>5</v>
      </c>
      <c r="L1375" s="5"/>
      <c r="M1375" s="2" t="str">
        <f t="shared" si="3"/>
        <v>1382</v>
      </c>
      <c r="N1375" s="5"/>
      <c r="O1375" s="13">
        <v>132.0</v>
      </c>
      <c r="P1375" s="5"/>
      <c r="Q1375" s="5"/>
      <c r="R1375" s="6" t="s">
        <v>4359</v>
      </c>
      <c r="S1375" s="5"/>
      <c r="T1375" s="1" t="str">
        <f>IFERROR(__xludf.DUMMYFUNCTION("INDEX(SPLIT(A1375, ""/""), 2)"),"کانون‌های فرهنگی هنری")</f>
        <v>کانون‌های فرهنگی هنری</v>
      </c>
      <c r="U1375" s="1" t="str">
        <f>IFERROR(__xludf.DUMMYFUNCTION("INDEX(SPLIT(A1375, ""/""), 3)"),"روزنامه شریف")</f>
        <v>روزنامه شریف</v>
      </c>
      <c r="V1375" s="1" t="str">
        <f>IFERROR(__xludf.DUMMYFUNCTION("INDEX(SPLIT(A1375, ""/""), 4)"),"#REF!")</f>
        <v>#REF!</v>
      </c>
    </row>
    <row r="1376">
      <c r="A1376" s="1" t="s">
        <v>4070</v>
      </c>
      <c r="B1376" s="1" t="s">
        <v>4360</v>
      </c>
      <c r="C1376" s="1" t="s">
        <v>21</v>
      </c>
      <c r="D1376" s="4" t="s">
        <v>4361</v>
      </c>
      <c r="E1376" s="1" t="s">
        <v>4072</v>
      </c>
      <c r="F1376" s="1" t="s">
        <v>4073</v>
      </c>
      <c r="G1376" s="1" t="s">
        <v>4149</v>
      </c>
      <c r="H1376" s="1" t="s">
        <v>4362</v>
      </c>
      <c r="I1376" s="1" t="str">
        <f t="shared" si="1"/>
        <v>28</v>
      </c>
      <c r="J1376" s="5"/>
      <c r="K1376" s="1" t="str">
        <f t="shared" si="2"/>
        <v>5</v>
      </c>
      <c r="L1376" s="5"/>
      <c r="M1376" s="2" t="str">
        <f t="shared" si="3"/>
        <v>1382</v>
      </c>
      <c r="N1376" s="5"/>
      <c r="O1376" s="13">
        <v>133.0</v>
      </c>
      <c r="P1376" s="5"/>
      <c r="Q1376" s="5"/>
      <c r="R1376" s="6" t="s">
        <v>4362</v>
      </c>
      <c r="S1376" s="5"/>
      <c r="T1376" s="1" t="str">
        <f>IFERROR(__xludf.DUMMYFUNCTION("INDEX(SPLIT(A1376, ""/""), 2)"),"کانون‌های فرهنگی هنری")</f>
        <v>کانون‌های فرهنگی هنری</v>
      </c>
      <c r="U1376" s="1" t="str">
        <f>IFERROR(__xludf.DUMMYFUNCTION("INDEX(SPLIT(A1376, ""/""), 3)"),"روزنامه شریف")</f>
        <v>روزنامه شریف</v>
      </c>
      <c r="V1376" s="1" t="str">
        <f>IFERROR(__xludf.DUMMYFUNCTION("INDEX(SPLIT(A1376, ""/""), 4)"),"#REF!")</f>
        <v>#REF!</v>
      </c>
    </row>
    <row r="1377">
      <c r="A1377" s="1" t="s">
        <v>4070</v>
      </c>
      <c r="B1377" s="1" t="s">
        <v>4363</v>
      </c>
      <c r="C1377" s="1" t="s">
        <v>21</v>
      </c>
      <c r="D1377" s="4" t="s">
        <v>4364</v>
      </c>
      <c r="E1377" s="1" t="s">
        <v>4072</v>
      </c>
      <c r="F1377" s="1" t="s">
        <v>4073</v>
      </c>
      <c r="G1377" s="1" t="s">
        <v>4149</v>
      </c>
      <c r="H1377" s="7" t="s">
        <v>4365</v>
      </c>
      <c r="I1377" s="1" t="str">
        <f t="shared" si="1"/>
        <v>4</v>
      </c>
      <c r="J1377" s="5"/>
      <c r="K1377" s="1" t="str">
        <f t="shared" si="2"/>
        <v>6</v>
      </c>
      <c r="L1377" s="5"/>
      <c r="M1377" s="2" t="str">
        <f t="shared" si="3"/>
        <v>1382</v>
      </c>
      <c r="N1377" s="5"/>
      <c r="O1377" s="13">
        <v>134.0</v>
      </c>
      <c r="P1377" s="5"/>
      <c r="Q1377" s="5"/>
      <c r="R1377" s="8" t="s">
        <v>4365</v>
      </c>
      <c r="S1377" s="5"/>
      <c r="T1377" s="1" t="str">
        <f>IFERROR(__xludf.DUMMYFUNCTION("INDEX(SPLIT(A1377, ""/""), 2)"),"کانون‌های فرهنگی هنری")</f>
        <v>کانون‌های فرهنگی هنری</v>
      </c>
      <c r="U1377" s="1" t="str">
        <f>IFERROR(__xludf.DUMMYFUNCTION("INDEX(SPLIT(A1377, ""/""), 3)"),"روزنامه شریف")</f>
        <v>روزنامه شریف</v>
      </c>
      <c r="V1377" s="1" t="str">
        <f>IFERROR(__xludf.DUMMYFUNCTION("INDEX(SPLIT(A1377, ""/""), 4)"),"#REF!")</f>
        <v>#REF!</v>
      </c>
    </row>
    <row r="1378">
      <c r="A1378" s="1" t="s">
        <v>4070</v>
      </c>
      <c r="B1378" s="1" t="s">
        <v>1174</v>
      </c>
      <c r="C1378" s="1" t="s">
        <v>21</v>
      </c>
      <c r="D1378" s="4" t="s">
        <v>4366</v>
      </c>
      <c r="E1378" s="1" t="s">
        <v>4072</v>
      </c>
      <c r="F1378" s="1" t="s">
        <v>4073</v>
      </c>
      <c r="G1378" s="1" t="s">
        <v>4149</v>
      </c>
      <c r="H1378" s="7" t="s">
        <v>4367</v>
      </c>
      <c r="I1378" s="1" t="str">
        <f t="shared" si="1"/>
        <v>11</v>
      </c>
      <c r="J1378" s="5"/>
      <c r="K1378" s="1" t="str">
        <f t="shared" si="2"/>
        <v>6</v>
      </c>
      <c r="L1378" s="5"/>
      <c r="M1378" s="2" t="str">
        <f t="shared" si="3"/>
        <v>1382</v>
      </c>
      <c r="N1378" s="5"/>
      <c r="O1378" s="13">
        <v>135.0</v>
      </c>
      <c r="P1378" s="5"/>
      <c r="Q1378" s="5"/>
      <c r="R1378" s="8" t="s">
        <v>4367</v>
      </c>
      <c r="S1378" s="5"/>
      <c r="T1378" s="1" t="str">
        <f>IFERROR(__xludf.DUMMYFUNCTION("INDEX(SPLIT(A1378, ""/""), 2)"),"کانون‌های فرهنگی هنری")</f>
        <v>کانون‌های فرهنگی هنری</v>
      </c>
      <c r="U1378" s="1" t="str">
        <f>IFERROR(__xludf.DUMMYFUNCTION("INDEX(SPLIT(A1378, ""/""), 3)"),"روزنامه شریف")</f>
        <v>روزنامه شریف</v>
      </c>
      <c r="V1378" s="1" t="str">
        <f>IFERROR(__xludf.DUMMYFUNCTION("INDEX(SPLIT(A1378, ""/""), 4)"),"#REF!")</f>
        <v>#REF!</v>
      </c>
    </row>
    <row r="1379">
      <c r="A1379" s="1" t="s">
        <v>4070</v>
      </c>
      <c r="B1379" s="1" t="s">
        <v>1177</v>
      </c>
      <c r="C1379" s="1" t="s">
        <v>21</v>
      </c>
      <c r="D1379" s="4" t="s">
        <v>4368</v>
      </c>
      <c r="E1379" s="1" t="s">
        <v>4072</v>
      </c>
      <c r="F1379" s="1" t="s">
        <v>4073</v>
      </c>
      <c r="G1379" s="1" t="s">
        <v>4149</v>
      </c>
      <c r="H1379" s="1" t="s">
        <v>4369</v>
      </c>
      <c r="I1379" s="1" t="str">
        <f t="shared" si="1"/>
        <v>18</v>
      </c>
      <c r="J1379" s="5"/>
      <c r="K1379" s="1" t="str">
        <f t="shared" si="2"/>
        <v>6</v>
      </c>
      <c r="L1379" s="5"/>
      <c r="M1379" s="2" t="str">
        <f t="shared" si="3"/>
        <v>1382</v>
      </c>
      <c r="N1379" s="5"/>
      <c r="O1379" s="13">
        <v>136.0</v>
      </c>
      <c r="P1379" s="5"/>
      <c r="Q1379" s="5"/>
      <c r="R1379" s="6" t="s">
        <v>4369</v>
      </c>
      <c r="S1379" s="5"/>
      <c r="T1379" s="1" t="str">
        <f>IFERROR(__xludf.DUMMYFUNCTION("INDEX(SPLIT(A1379, ""/""), 2)"),"کانون‌های فرهنگی هنری")</f>
        <v>کانون‌های فرهنگی هنری</v>
      </c>
      <c r="U1379" s="1" t="str">
        <f>IFERROR(__xludf.DUMMYFUNCTION("INDEX(SPLIT(A1379, ""/""), 3)"),"روزنامه شریف")</f>
        <v>روزنامه شریف</v>
      </c>
      <c r="V1379" s="1" t="str">
        <f>IFERROR(__xludf.DUMMYFUNCTION("INDEX(SPLIT(A1379, ""/""), 4)"),"#REF!")</f>
        <v>#REF!</v>
      </c>
    </row>
    <row r="1380">
      <c r="A1380" s="1" t="s">
        <v>4070</v>
      </c>
      <c r="B1380" s="1" t="s">
        <v>4370</v>
      </c>
      <c r="C1380" s="1" t="s">
        <v>21</v>
      </c>
      <c r="D1380" s="4" t="s">
        <v>4371</v>
      </c>
      <c r="E1380" s="1" t="s">
        <v>4072</v>
      </c>
      <c r="F1380" s="1" t="s">
        <v>4073</v>
      </c>
      <c r="G1380" s="1" t="s">
        <v>4149</v>
      </c>
      <c r="H1380" s="1" t="s">
        <v>4372</v>
      </c>
      <c r="I1380" s="1" t="str">
        <f t="shared" si="1"/>
        <v>25</v>
      </c>
      <c r="J1380" s="5"/>
      <c r="K1380" s="1" t="str">
        <f t="shared" si="2"/>
        <v>6</v>
      </c>
      <c r="L1380" s="5"/>
      <c r="M1380" s="2" t="str">
        <f t="shared" si="3"/>
        <v>1382</v>
      </c>
      <c r="N1380" s="5"/>
      <c r="O1380" s="13">
        <v>137.0</v>
      </c>
      <c r="P1380" s="5"/>
      <c r="Q1380" s="5"/>
      <c r="R1380" s="6" t="s">
        <v>4372</v>
      </c>
      <c r="S1380" s="5"/>
      <c r="T1380" s="1" t="str">
        <f>IFERROR(__xludf.DUMMYFUNCTION("INDEX(SPLIT(A1380, ""/""), 2)"),"کانون‌های فرهنگی هنری")</f>
        <v>کانون‌های فرهنگی هنری</v>
      </c>
      <c r="U1380" s="1" t="str">
        <f>IFERROR(__xludf.DUMMYFUNCTION("INDEX(SPLIT(A1380, ""/""), 3)"),"روزنامه شریف")</f>
        <v>روزنامه شریف</v>
      </c>
      <c r="V1380" s="1" t="str">
        <f>IFERROR(__xludf.DUMMYFUNCTION("INDEX(SPLIT(A1380, ""/""), 4)"),"#REF!")</f>
        <v>#REF!</v>
      </c>
    </row>
    <row r="1381">
      <c r="A1381" s="1" t="s">
        <v>4070</v>
      </c>
      <c r="B1381" s="1" t="s">
        <v>4373</v>
      </c>
      <c r="C1381" s="1" t="s">
        <v>21</v>
      </c>
      <c r="D1381" s="4" t="s">
        <v>4374</v>
      </c>
      <c r="E1381" s="1" t="s">
        <v>4072</v>
      </c>
      <c r="F1381" s="1" t="s">
        <v>4073</v>
      </c>
      <c r="G1381" s="1" t="s">
        <v>4149</v>
      </c>
      <c r="H1381" s="1" t="s">
        <v>4375</v>
      </c>
      <c r="I1381" s="1" t="str">
        <f t="shared" si="1"/>
        <v>27</v>
      </c>
      <c r="J1381" s="5"/>
      <c r="K1381" s="1" t="str">
        <f t="shared" si="2"/>
        <v>6</v>
      </c>
      <c r="L1381" s="5"/>
      <c r="M1381" s="2" t="str">
        <f t="shared" si="3"/>
        <v>1382</v>
      </c>
      <c r="N1381" s="5"/>
      <c r="O1381" s="13">
        <v>138.0</v>
      </c>
      <c r="P1381" s="5"/>
      <c r="Q1381" s="5"/>
      <c r="R1381" s="6" t="s">
        <v>4375</v>
      </c>
      <c r="S1381" s="5"/>
      <c r="T1381" s="1" t="str">
        <f>IFERROR(__xludf.DUMMYFUNCTION("INDEX(SPLIT(A1381, ""/""), 2)"),"کانون‌های فرهنگی هنری")</f>
        <v>کانون‌های فرهنگی هنری</v>
      </c>
      <c r="U1381" s="1" t="str">
        <f>IFERROR(__xludf.DUMMYFUNCTION("INDEX(SPLIT(A1381, ""/""), 3)"),"روزنامه شریف")</f>
        <v>روزنامه شریف</v>
      </c>
      <c r="V1381" s="1" t="str">
        <f>IFERROR(__xludf.DUMMYFUNCTION("INDEX(SPLIT(A1381, ""/""), 4)"),"#REF!")</f>
        <v>#REF!</v>
      </c>
    </row>
    <row r="1382">
      <c r="A1382" s="1" t="s">
        <v>4070</v>
      </c>
      <c r="B1382" s="1" t="s">
        <v>4376</v>
      </c>
      <c r="C1382" s="1" t="s">
        <v>21</v>
      </c>
      <c r="D1382" s="4" t="s">
        <v>4377</v>
      </c>
      <c r="E1382" s="1" t="s">
        <v>4072</v>
      </c>
      <c r="F1382" s="1" t="s">
        <v>4073</v>
      </c>
      <c r="G1382" s="1" t="s">
        <v>4149</v>
      </c>
      <c r="H1382" s="1" t="s">
        <v>4378</v>
      </c>
      <c r="I1382" s="1" t="str">
        <f t="shared" si="1"/>
        <v>29</v>
      </c>
      <c r="J1382" s="5"/>
      <c r="K1382" s="1" t="str">
        <f t="shared" si="2"/>
        <v>6</v>
      </c>
      <c r="L1382" s="5"/>
      <c r="M1382" s="2" t="str">
        <f t="shared" si="3"/>
        <v>1382</v>
      </c>
      <c r="N1382" s="1"/>
      <c r="O1382" s="13">
        <v>139.0</v>
      </c>
      <c r="P1382" s="5"/>
      <c r="Q1382" s="5"/>
      <c r="R1382" s="6" t="s">
        <v>4378</v>
      </c>
      <c r="S1382" s="5"/>
      <c r="T1382" s="1" t="str">
        <f>IFERROR(__xludf.DUMMYFUNCTION("INDEX(SPLIT(A1382, ""/""), 2)"),"کانون‌های فرهنگی هنری")</f>
        <v>کانون‌های فرهنگی هنری</v>
      </c>
      <c r="U1382" s="1" t="str">
        <f>IFERROR(__xludf.DUMMYFUNCTION("INDEX(SPLIT(A1382, ""/""), 3)"),"روزنامه شریف")</f>
        <v>روزنامه شریف</v>
      </c>
      <c r="V1382" s="1" t="str">
        <f>IFERROR(__xludf.DUMMYFUNCTION("INDEX(SPLIT(A1382, ""/""), 4)"),"#REF!")</f>
        <v>#REF!</v>
      </c>
    </row>
    <row r="1383">
      <c r="A1383" s="1" t="s">
        <v>4070</v>
      </c>
      <c r="B1383" s="1" t="s">
        <v>1180</v>
      </c>
      <c r="C1383" s="1" t="s">
        <v>21</v>
      </c>
      <c r="D1383" s="4" t="s">
        <v>4379</v>
      </c>
      <c r="E1383" s="1" t="s">
        <v>4072</v>
      </c>
      <c r="F1383" s="1" t="s">
        <v>4073</v>
      </c>
      <c r="G1383" s="1" t="s">
        <v>4149</v>
      </c>
      <c r="H1383" s="7" t="s">
        <v>4380</v>
      </c>
      <c r="I1383" s="1" t="str">
        <f t="shared" si="1"/>
        <v>1</v>
      </c>
      <c r="J1383" s="5"/>
      <c r="K1383" s="1" t="str">
        <f t="shared" si="2"/>
        <v>7</v>
      </c>
      <c r="L1383" s="5"/>
      <c r="M1383" s="2" t="str">
        <f t="shared" si="3"/>
        <v>1382</v>
      </c>
      <c r="N1383" s="1"/>
      <c r="O1383" s="13">
        <v>140.0</v>
      </c>
      <c r="P1383" s="5"/>
      <c r="Q1383" s="5"/>
      <c r="R1383" s="8" t="s">
        <v>4380</v>
      </c>
      <c r="S1383" s="5"/>
      <c r="T1383" s="1" t="str">
        <f>IFERROR(__xludf.DUMMYFUNCTION("INDEX(SPLIT(A1383, ""/""), 2)"),"کانون‌های فرهنگی هنری")</f>
        <v>کانون‌های فرهنگی هنری</v>
      </c>
      <c r="U1383" s="1" t="str">
        <f>IFERROR(__xludf.DUMMYFUNCTION("INDEX(SPLIT(A1383, ""/""), 3)"),"روزنامه شریف")</f>
        <v>روزنامه شریف</v>
      </c>
      <c r="V1383" s="1" t="str">
        <f>IFERROR(__xludf.DUMMYFUNCTION("INDEX(SPLIT(A1383, ""/""), 4)"),"#REF!")</f>
        <v>#REF!</v>
      </c>
    </row>
    <row r="1384">
      <c r="A1384" s="1" t="s">
        <v>4070</v>
      </c>
      <c r="B1384" s="1" t="s">
        <v>4381</v>
      </c>
      <c r="C1384" s="1" t="s">
        <v>21</v>
      </c>
      <c r="D1384" s="4" t="s">
        <v>4382</v>
      </c>
      <c r="E1384" s="1" t="s">
        <v>4072</v>
      </c>
      <c r="F1384" s="1" t="s">
        <v>4073</v>
      </c>
      <c r="G1384" s="1" t="s">
        <v>4149</v>
      </c>
      <c r="H1384" s="7" t="s">
        <v>4383</v>
      </c>
      <c r="I1384" s="1" t="str">
        <f t="shared" si="1"/>
        <v>5</v>
      </c>
      <c r="J1384" s="5"/>
      <c r="K1384" s="1" t="str">
        <f t="shared" si="2"/>
        <v>7</v>
      </c>
      <c r="L1384" s="5"/>
      <c r="M1384" s="2" t="str">
        <f t="shared" si="3"/>
        <v>1382</v>
      </c>
      <c r="N1384" s="1"/>
      <c r="O1384" s="13">
        <v>141.0</v>
      </c>
      <c r="P1384" s="5"/>
      <c r="Q1384" s="5"/>
      <c r="R1384" s="8" t="s">
        <v>4383</v>
      </c>
      <c r="S1384" s="5"/>
      <c r="T1384" s="1" t="str">
        <f>IFERROR(__xludf.DUMMYFUNCTION("INDEX(SPLIT(A1384, ""/""), 2)"),"کانون‌های فرهنگی هنری")</f>
        <v>کانون‌های فرهنگی هنری</v>
      </c>
      <c r="U1384" s="1" t="str">
        <f>IFERROR(__xludf.DUMMYFUNCTION("INDEX(SPLIT(A1384, ""/""), 3)"),"روزنامه شریف")</f>
        <v>روزنامه شریف</v>
      </c>
      <c r="V1384" s="1" t="str">
        <f>IFERROR(__xludf.DUMMYFUNCTION("INDEX(SPLIT(A1384, ""/""), 4)"),"#REF!")</f>
        <v>#REF!</v>
      </c>
    </row>
    <row r="1385">
      <c r="A1385" s="1" t="s">
        <v>4070</v>
      </c>
      <c r="B1385" s="1" t="s">
        <v>4384</v>
      </c>
      <c r="C1385" s="1" t="s">
        <v>21</v>
      </c>
      <c r="D1385" s="4" t="s">
        <v>4385</v>
      </c>
      <c r="E1385" s="1" t="s">
        <v>4072</v>
      </c>
      <c r="F1385" s="1" t="s">
        <v>4073</v>
      </c>
      <c r="G1385" s="1" t="s">
        <v>4149</v>
      </c>
      <c r="H1385" s="7" t="s">
        <v>4386</v>
      </c>
      <c r="I1385" s="1" t="str">
        <f t="shared" si="1"/>
        <v>8</v>
      </c>
      <c r="J1385" s="5"/>
      <c r="K1385" s="1" t="str">
        <f t="shared" si="2"/>
        <v>7</v>
      </c>
      <c r="L1385" s="5"/>
      <c r="M1385" s="2" t="str">
        <f t="shared" si="3"/>
        <v>1382</v>
      </c>
      <c r="N1385" s="1"/>
      <c r="O1385" s="13">
        <v>142.0</v>
      </c>
      <c r="P1385" s="5"/>
      <c r="Q1385" s="5"/>
      <c r="R1385" s="8" t="s">
        <v>4386</v>
      </c>
      <c r="S1385" s="5"/>
      <c r="T1385" s="1" t="str">
        <f>IFERROR(__xludf.DUMMYFUNCTION("INDEX(SPLIT(A1385, ""/""), 2)"),"کانون‌های فرهنگی هنری")</f>
        <v>کانون‌های فرهنگی هنری</v>
      </c>
      <c r="U1385" s="1" t="str">
        <f>IFERROR(__xludf.DUMMYFUNCTION("INDEX(SPLIT(A1385, ""/""), 3)"),"روزنامه شریف")</f>
        <v>روزنامه شریف</v>
      </c>
      <c r="V1385" s="1" t="str">
        <f>IFERROR(__xludf.DUMMYFUNCTION("INDEX(SPLIT(A1385, ""/""), 4)"),"#REF!")</f>
        <v>#REF!</v>
      </c>
    </row>
    <row r="1386">
      <c r="A1386" s="1" t="s">
        <v>4070</v>
      </c>
      <c r="B1386" s="1" t="s">
        <v>1188</v>
      </c>
      <c r="C1386" s="1" t="s">
        <v>21</v>
      </c>
      <c r="D1386" s="4" t="s">
        <v>4387</v>
      </c>
      <c r="E1386" s="1" t="s">
        <v>4072</v>
      </c>
      <c r="F1386" s="1" t="s">
        <v>4073</v>
      </c>
      <c r="G1386" s="1" t="s">
        <v>4149</v>
      </c>
      <c r="H1386" s="7" t="s">
        <v>4388</v>
      </c>
      <c r="I1386" s="1" t="str">
        <f t="shared" si="1"/>
        <v>12</v>
      </c>
      <c r="J1386" s="5"/>
      <c r="K1386" s="1" t="str">
        <f t="shared" si="2"/>
        <v>7</v>
      </c>
      <c r="L1386" s="5"/>
      <c r="M1386" s="2" t="str">
        <f t="shared" si="3"/>
        <v>1382</v>
      </c>
      <c r="N1386" s="5"/>
      <c r="O1386" s="13">
        <v>143.0</v>
      </c>
      <c r="P1386" s="5"/>
      <c r="Q1386" s="5"/>
      <c r="R1386" s="8" t="s">
        <v>4388</v>
      </c>
      <c r="S1386" s="5"/>
      <c r="T1386" s="1" t="str">
        <f>IFERROR(__xludf.DUMMYFUNCTION("INDEX(SPLIT(A1386, ""/""), 2)"),"کانون‌های فرهنگی هنری")</f>
        <v>کانون‌های فرهنگی هنری</v>
      </c>
      <c r="U1386" s="1" t="str">
        <f>IFERROR(__xludf.DUMMYFUNCTION("INDEX(SPLIT(A1386, ""/""), 3)"),"روزنامه شریف")</f>
        <v>روزنامه شریف</v>
      </c>
      <c r="V1386" s="1" t="str">
        <f>IFERROR(__xludf.DUMMYFUNCTION("INDEX(SPLIT(A1386, ""/""), 4)"),"#REF!")</f>
        <v>#REF!</v>
      </c>
    </row>
    <row r="1387">
      <c r="A1387" s="1" t="s">
        <v>4070</v>
      </c>
      <c r="B1387" s="1" t="s">
        <v>1191</v>
      </c>
      <c r="C1387" s="1" t="s">
        <v>21</v>
      </c>
      <c r="D1387" s="4" t="s">
        <v>4389</v>
      </c>
      <c r="E1387" s="1" t="s">
        <v>4072</v>
      </c>
      <c r="F1387" s="1" t="s">
        <v>4073</v>
      </c>
      <c r="G1387" s="1" t="s">
        <v>4149</v>
      </c>
      <c r="H1387" s="1" t="s">
        <v>844</v>
      </c>
      <c r="I1387" s="1" t="str">
        <f t="shared" si="1"/>
        <v>15</v>
      </c>
      <c r="J1387" s="5"/>
      <c r="K1387" s="1" t="str">
        <f t="shared" si="2"/>
        <v>7</v>
      </c>
      <c r="L1387" s="5"/>
      <c r="M1387" s="2" t="str">
        <f t="shared" si="3"/>
        <v>1382</v>
      </c>
      <c r="N1387" s="5"/>
      <c r="O1387" s="13">
        <v>144.0</v>
      </c>
      <c r="P1387" s="5"/>
      <c r="Q1387" s="5"/>
      <c r="R1387" s="6" t="s">
        <v>844</v>
      </c>
      <c r="S1387" s="5"/>
      <c r="T1387" s="1" t="str">
        <f>IFERROR(__xludf.DUMMYFUNCTION("INDEX(SPLIT(A1387, ""/""), 2)"),"کانون‌های فرهنگی هنری")</f>
        <v>کانون‌های فرهنگی هنری</v>
      </c>
      <c r="U1387" s="1" t="str">
        <f>IFERROR(__xludf.DUMMYFUNCTION("INDEX(SPLIT(A1387, ""/""), 3)"),"روزنامه شریف")</f>
        <v>روزنامه شریف</v>
      </c>
      <c r="V1387" s="1" t="str">
        <f>IFERROR(__xludf.DUMMYFUNCTION("INDEX(SPLIT(A1387, ""/""), 4)"),"#REF!")</f>
        <v>#REF!</v>
      </c>
    </row>
    <row r="1388">
      <c r="A1388" s="1" t="s">
        <v>4070</v>
      </c>
      <c r="B1388" s="1" t="s">
        <v>1194</v>
      </c>
      <c r="C1388" s="1" t="s">
        <v>21</v>
      </c>
      <c r="D1388" s="4" t="s">
        <v>4390</v>
      </c>
      <c r="E1388" s="1" t="s">
        <v>4072</v>
      </c>
      <c r="F1388" s="1" t="s">
        <v>4073</v>
      </c>
      <c r="G1388" s="1" t="s">
        <v>4149</v>
      </c>
      <c r="H1388" s="1" t="s">
        <v>4391</v>
      </c>
      <c r="I1388" s="1" t="str">
        <f t="shared" si="1"/>
        <v>19</v>
      </c>
      <c r="J1388" s="5"/>
      <c r="K1388" s="1" t="str">
        <f t="shared" si="2"/>
        <v>7</v>
      </c>
      <c r="L1388" s="5"/>
      <c r="M1388" s="2" t="str">
        <f t="shared" si="3"/>
        <v>1382</v>
      </c>
      <c r="N1388" s="5"/>
      <c r="O1388" s="13">
        <v>145.0</v>
      </c>
      <c r="P1388" s="5"/>
      <c r="Q1388" s="5"/>
      <c r="R1388" s="6" t="s">
        <v>4391</v>
      </c>
      <c r="S1388" s="5"/>
      <c r="T1388" s="1" t="str">
        <f>IFERROR(__xludf.DUMMYFUNCTION("INDEX(SPLIT(A1388, ""/""), 2)"),"کانون‌های فرهنگی هنری")</f>
        <v>کانون‌های فرهنگی هنری</v>
      </c>
      <c r="U1388" s="1" t="str">
        <f>IFERROR(__xludf.DUMMYFUNCTION("INDEX(SPLIT(A1388, ""/""), 3)"),"روزنامه شریف")</f>
        <v>روزنامه شریف</v>
      </c>
      <c r="V1388" s="1" t="str">
        <f>IFERROR(__xludf.DUMMYFUNCTION("INDEX(SPLIT(A1388, ""/""), 4)"),"#REF!")</f>
        <v>#REF!</v>
      </c>
    </row>
    <row r="1389">
      <c r="A1389" s="1" t="s">
        <v>4070</v>
      </c>
      <c r="B1389" s="1" t="s">
        <v>1197</v>
      </c>
      <c r="C1389" s="1" t="s">
        <v>21</v>
      </c>
      <c r="D1389" s="4" t="s">
        <v>4392</v>
      </c>
      <c r="E1389" s="1" t="s">
        <v>4072</v>
      </c>
      <c r="F1389" s="1" t="s">
        <v>4073</v>
      </c>
      <c r="G1389" s="1" t="s">
        <v>4149</v>
      </c>
      <c r="H1389" s="1" t="s">
        <v>4393</v>
      </c>
      <c r="I1389" s="1" t="str">
        <f t="shared" si="1"/>
        <v>22</v>
      </c>
      <c r="J1389" s="5"/>
      <c r="K1389" s="1" t="str">
        <f t="shared" si="2"/>
        <v>7</v>
      </c>
      <c r="L1389" s="5"/>
      <c r="M1389" s="2" t="str">
        <f t="shared" si="3"/>
        <v>1382</v>
      </c>
      <c r="N1389" s="5"/>
      <c r="O1389" s="13">
        <v>146.0</v>
      </c>
      <c r="P1389" s="5"/>
      <c r="Q1389" s="5"/>
      <c r="R1389" s="6" t="s">
        <v>4393</v>
      </c>
      <c r="S1389" s="5"/>
      <c r="T1389" s="1" t="str">
        <f>IFERROR(__xludf.DUMMYFUNCTION("INDEX(SPLIT(A1389, ""/""), 2)"),"کانون‌های فرهنگی هنری")</f>
        <v>کانون‌های فرهنگی هنری</v>
      </c>
      <c r="U1389" s="1" t="str">
        <f>IFERROR(__xludf.DUMMYFUNCTION("INDEX(SPLIT(A1389, ""/""), 3)"),"روزنامه شریف")</f>
        <v>روزنامه شریف</v>
      </c>
      <c r="V1389" s="1" t="str">
        <f>IFERROR(__xludf.DUMMYFUNCTION("INDEX(SPLIT(A1389, ""/""), 4)"),"#REF!")</f>
        <v>#REF!</v>
      </c>
    </row>
    <row r="1390">
      <c r="A1390" s="1" t="s">
        <v>4070</v>
      </c>
      <c r="B1390" s="1" t="s">
        <v>1201</v>
      </c>
      <c r="C1390" s="1" t="s">
        <v>21</v>
      </c>
      <c r="D1390" s="4" t="s">
        <v>4394</v>
      </c>
      <c r="E1390" s="1" t="s">
        <v>4072</v>
      </c>
      <c r="F1390" s="1" t="s">
        <v>4073</v>
      </c>
      <c r="G1390" s="1" t="s">
        <v>4149</v>
      </c>
      <c r="H1390" s="1" t="s">
        <v>4395</v>
      </c>
      <c r="I1390" s="1" t="str">
        <f t="shared" si="1"/>
        <v>26</v>
      </c>
      <c r="J1390" s="5"/>
      <c r="K1390" s="1" t="str">
        <f t="shared" si="2"/>
        <v>7</v>
      </c>
      <c r="L1390" s="5"/>
      <c r="M1390" s="2" t="str">
        <f t="shared" si="3"/>
        <v>1382</v>
      </c>
      <c r="N1390" s="5"/>
      <c r="O1390" s="13">
        <v>147.0</v>
      </c>
      <c r="P1390" s="5"/>
      <c r="Q1390" s="5"/>
      <c r="R1390" s="6" t="s">
        <v>4395</v>
      </c>
      <c r="S1390" s="5"/>
      <c r="T1390" s="1" t="str">
        <f>IFERROR(__xludf.DUMMYFUNCTION("INDEX(SPLIT(A1390, ""/""), 2)"),"کانون‌های فرهنگی هنری")</f>
        <v>کانون‌های فرهنگی هنری</v>
      </c>
      <c r="U1390" s="1" t="str">
        <f>IFERROR(__xludf.DUMMYFUNCTION("INDEX(SPLIT(A1390, ""/""), 3)"),"روزنامه شریف")</f>
        <v>روزنامه شریف</v>
      </c>
      <c r="V1390" s="1" t="str">
        <f>IFERROR(__xludf.DUMMYFUNCTION("INDEX(SPLIT(A1390, ""/""), 4)"),"#REF!")</f>
        <v>#REF!</v>
      </c>
    </row>
    <row r="1391">
      <c r="A1391" s="1" t="s">
        <v>4070</v>
      </c>
      <c r="B1391" s="1" t="s">
        <v>1204</v>
      </c>
      <c r="C1391" s="1" t="s">
        <v>21</v>
      </c>
      <c r="D1391" s="4" t="s">
        <v>4396</v>
      </c>
      <c r="E1391" s="1" t="s">
        <v>4072</v>
      </c>
      <c r="F1391" s="1" t="s">
        <v>4073</v>
      </c>
      <c r="G1391" s="1" t="s">
        <v>4149</v>
      </c>
      <c r="H1391" s="1" t="s">
        <v>4397</v>
      </c>
      <c r="I1391" s="1" t="str">
        <f t="shared" si="1"/>
        <v>29</v>
      </c>
      <c r="J1391" s="5"/>
      <c r="K1391" s="1" t="str">
        <f t="shared" si="2"/>
        <v>7</v>
      </c>
      <c r="L1391" s="5"/>
      <c r="M1391" s="2" t="str">
        <f t="shared" si="3"/>
        <v>1382</v>
      </c>
      <c r="N1391" s="5"/>
      <c r="O1391" s="13">
        <v>148.0</v>
      </c>
      <c r="P1391" s="5"/>
      <c r="Q1391" s="5"/>
      <c r="R1391" s="6" t="s">
        <v>4397</v>
      </c>
      <c r="S1391" s="5"/>
      <c r="T1391" s="1" t="str">
        <f>IFERROR(__xludf.DUMMYFUNCTION("INDEX(SPLIT(A1391, ""/""), 2)"),"کانون‌های فرهنگی هنری")</f>
        <v>کانون‌های فرهنگی هنری</v>
      </c>
      <c r="U1391" s="1" t="str">
        <f>IFERROR(__xludf.DUMMYFUNCTION("INDEX(SPLIT(A1391, ""/""), 3)"),"روزنامه شریف")</f>
        <v>روزنامه شریف</v>
      </c>
      <c r="V1391" s="1" t="str">
        <f>IFERROR(__xludf.DUMMYFUNCTION("INDEX(SPLIT(A1391, ""/""), 4)"),"#REF!")</f>
        <v>#REF!</v>
      </c>
    </row>
    <row r="1392">
      <c r="A1392" s="1" t="s">
        <v>4070</v>
      </c>
      <c r="B1392" s="1" t="s">
        <v>1207</v>
      </c>
      <c r="C1392" s="1" t="s">
        <v>21</v>
      </c>
      <c r="D1392" s="4" t="s">
        <v>4398</v>
      </c>
      <c r="E1392" s="1" t="s">
        <v>4072</v>
      </c>
      <c r="F1392" s="1" t="s">
        <v>4073</v>
      </c>
      <c r="G1392" s="1" t="s">
        <v>4149</v>
      </c>
      <c r="H1392" s="7" t="s">
        <v>4399</v>
      </c>
      <c r="I1392" s="1" t="str">
        <f t="shared" si="1"/>
        <v>3</v>
      </c>
      <c r="J1392" s="5"/>
      <c r="K1392" s="1" t="str">
        <f t="shared" si="2"/>
        <v>8</v>
      </c>
      <c r="L1392" s="5"/>
      <c r="M1392" s="2" t="str">
        <f t="shared" si="3"/>
        <v>1382</v>
      </c>
      <c r="N1392" s="5"/>
      <c r="O1392" s="13">
        <v>149.0</v>
      </c>
      <c r="P1392" s="5"/>
      <c r="Q1392" s="5"/>
      <c r="R1392" s="8" t="s">
        <v>4399</v>
      </c>
      <c r="S1392" s="5"/>
      <c r="T1392" s="1" t="str">
        <f>IFERROR(__xludf.DUMMYFUNCTION("INDEX(SPLIT(A1392, ""/""), 2)"),"کانون‌های فرهنگی هنری")</f>
        <v>کانون‌های فرهنگی هنری</v>
      </c>
      <c r="U1392" s="1" t="str">
        <f>IFERROR(__xludf.DUMMYFUNCTION("INDEX(SPLIT(A1392, ""/""), 3)"),"روزنامه شریف")</f>
        <v>روزنامه شریف</v>
      </c>
      <c r="V1392" s="1" t="str">
        <f>IFERROR(__xludf.DUMMYFUNCTION("INDEX(SPLIT(A1392, ""/""), 4)"),"#REF!")</f>
        <v>#REF!</v>
      </c>
    </row>
    <row r="1393">
      <c r="A1393" s="1" t="s">
        <v>4070</v>
      </c>
      <c r="B1393" s="1" t="s">
        <v>1210</v>
      </c>
      <c r="C1393" s="1" t="s">
        <v>21</v>
      </c>
      <c r="D1393" s="4" t="s">
        <v>4400</v>
      </c>
      <c r="E1393" s="1" t="s">
        <v>4072</v>
      </c>
      <c r="F1393" s="1" t="s">
        <v>4073</v>
      </c>
      <c r="G1393" s="1" t="s">
        <v>4149</v>
      </c>
      <c r="H1393" s="7" t="s">
        <v>4401</v>
      </c>
      <c r="I1393" s="1" t="str">
        <f t="shared" si="1"/>
        <v>10</v>
      </c>
      <c r="J1393" s="5"/>
      <c r="K1393" s="1" t="str">
        <f t="shared" si="2"/>
        <v>8</v>
      </c>
      <c r="L1393" s="5"/>
      <c r="M1393" s="2" t="str">
        <f t="shared" si="3"/>
        <v>1382</v>
      </c>
      <c r="N1393" s="5"/>
      <c r="O1393" s="13">
        <v>150.0</v>
      </c>
      <c r="P1393" s="5"/>
      <c r="Q1393" s="5"/>
      <c r="R1393" s="8" t="s">
        <v>4401</v>
      </c>
      <c r="S1393" s="5"/>
      <c r="T1393" s="1" t="str">
        <f>IFERROR(__xludf.DUMMYFUNCTION("INDEX(SPLIT(A1393, ""/""), 2)"),"کانون‌های فرهنگی هنری")</f>
        <v>کانون‌های فرهنگی هنری</v>
      </c>
      <c r="U1393" s="1" t="str">
        <f>IFERROR(__xludf.DUMMYFUNCTION("INDEX(SPLIT(A1393, ""/""), 3)"),"روزنامه شریف")</f>
        <v>روزنامه شریف</v>
      </c>
      <c r="V1393" s="1" t="str">
        <f>IFERROR(__xludf.DUMMYFUNCTION("INDEX(SPLIT(A1393, ""/""), 4)"),"#REF!")</f>
        <v>#REF!</v>
      </c>
    </row>
    <row r="1394">
      <c r="A1394" s="1" t="s">
        <v>4070</v>
      </c>
      <c r="B1394" s="1" t="s">
        <v>1213</v>
      </c>
      <c r="C1394" s="1" t="s">
        <v>21</v>
      </c>
      <c r="D1394" s="4" t="s">
        <v>4402</v>
      </c>
      <c r="E1394" s="1" t="s">
        <v>4072</v>
      </c>
      <c r="F1394" s="1" t="s">
        <v>4073</v>
      </c>
      <c r="G1394" s="1" t="s">
        <v>4149</v>
      </c>
      <c r="H1394" s="1" t="s">
        <v>4403</v>
      </c>
      <c r="I1394" s="1" t="str">
        <f t="shared" si="1"/>
        <v>13</v>
      </c>
      <c r="J1394" s="5"/>
      <c r="K1394" s="1" t="str">
        <f t="shared" si="2"/>
        <v>8</v>
      </c>
      <c r="L1394" s="5"/>
      <c r="M1394" s="2" t="str">
        <f t="shared" si="3"/>
        <v>1382</v>
      </c>
      <c r="N1394" s="5"/>
      <c r="O1394" s="13">
        <v>151.0</v>
      </c>
      <c r="P1394" s="5"/>
      <c r="Q1394" s="5"/>
      <c r="R1394" s="6" t="s">
        <v>4403</v>
      </c>
      <c r="S1394" s="5"/>
      <c r="T1394" s="1" t="str">
        <f>IFERROR(__xludf.DUMMYFUNCTION("INDEX(SPLIT(A1394, ""/""), 2)"),"کانون‌های فرهنگی هنری")</f>
        <v>کانون‌های فرهنگی هنری</v>
      </c>
      <c r="U1394" s="1" t="str">
        <f>IFERROR(__xludf.DUMMYFUNCTION("INDEX(SPLIT(A1394, ""/""), 3)"),"روزنامه شریف")</f>
        <v>روزنامه شریف</v>
      </c>
      <c r="V1394" s="1" t="str">
        <f>IFERROR(__xludf.DUMMYFUNCTION("INDEX(SPLIT(A1394, ""/""), 4)"),"#REF!")</f>
        <v>#REF!</v>
      </c>
    </row>
    <row r="1395">
      <c r="A1395" s="1" t="s">
        <v>4070</v>
      </c>
      <c r="B1395" s="1" t="s">
        <v>4404</v>
      </c>
      <c r="C1395" s="1" t="s">
        <v>21</v>
      </c>
      <c r="D1395" s="4" t="s">
        <v>4405</v>
      </c>
      <c r="E1395" s="1" t="s">
        <v>4072</v>
      </c>
      <c r="F1395" s="1" t="s">
        <v>4073</v>
      </c>
      <c r="G1395" s="1" t="s">
        <v>4149</v>
      </c>
      <c r="H1395" s="1" t="s">
        <v>4406</v>
      </c>
      <c r="I1395" s="1" t="str">
        <f t="shared" si="1"/>
        <v>17</v>
      </c>
      <c r="J1395" s="5"/>
      <c r="K1395" s="1" t="str">
        <f t="shared" si="2"/>
        <v>8</v>
      </c>
      <c r="L1395" s="5"/>
      <c r="M1395" s="2" t="str">
        <f t="shared" si="3"/>
        <v>1382</v>
      </c>
      <c r="N1395" s="5"/>
      <c r="O1395" s="13">
        <v>152.0</v>
      </c>
      <c r="P1395" s="5"/>
      <c r="Q1395" s="5"/>
      <c r="R1395" s="6" t="s">
        <v>4406</v>
      </c>
      <c r="S1395" s="5"/>
      <c r="T1395" s="1" t="str">
        <f>IFERROR(__xludf.DUMMYFUNCTION("INDEX(SPLIT(A1395, ""/""), 2)"),"کانون‌های فرهنگی هنری")</f>
        <v>کانون‌های فرهنگی هنری</v>
      </c>
      <c r="U1395" s="1" t="str">
        <f>IFERROR(__xludf.DUMMYFUNCTION("INDEX(SPLIT(A1395, ""/""), 3)"),"روزنامه شریف")</f>
        <v>روزنامه شریف</v>
      </c>
      <c r="V1395" s="1" t="str">
        <f>IFERROR(__xludf.DUMMYFUNCTION("INDEX(SPLIT(A1395, ""/""), 4)"),"#REF!")</f>
        <v>#REF!</v>
      </c>
    </row>
    <row r="1396">
      <c r="A1396" s="1" t="s">
        <v>4070</v>
      </c>
      <c r="B1396" s="1" t="s">
        <v>1216</v>
      </c>
      <c r="C1396" s="1" t="s">
        <v>21</v>
      </c>
      <c r="D1396" s="4" t="s">
        <v>4407</v>
      </c>
      <c r="E1396" s="1" t="s">
        <v>4072</v>
      </c>
      <c r="F1396" s="1" t="s">
        <v>4073</v>
      </c>
      <c r="G1396" s="1" t="s">
        <v>4149</v>
      </c>
      <c r="H1396" s="1" t="s">
        <v>4408</v>
      </c>
      <c r="I1396" s="1" t="str">
        <f t="shared" si="1"/>
        <v>20</v>
      </c>
      <c r="J1396" s="5"/>
      <c r="K1396" s="1" t="str">
        <f t="shared" si="2"/>
        <v>8</v>
      </c>
      <c r="L1396" s="5"/>
      <c r="M1396" s="2" t="str">
        <f t="shared" si="3"/>
        <v>1382</v>
      </c>
      <c r="N1396" s="5"/>
      <c r="O1396" s="13">
        <v>153.0</v>
      </c>
      <c r="P1396" s="5"/>
      <c r="Q1396" s="5"/>
      <c r="R1396" s="6" t="s">
        <v>4408</v>
      </c>
      <c r="S1396" s="5"/>
      <c r="T1396" s="1" t="str">
        <f>IFERROR(__xludf.DUMMYFUNCTION("INDEX(SPLIT(A1396, ""/""), 2)"),"کانون‌های فرهنگی هنری")</f>
        <v>کانون‌های فرهنگی هنری</v>
      </c>
      <c r="U1396" s="1" t="str">
        <f>IFERROR(__xludf.DUMMYFUNCTION("INDEX(SPLIT(A1396, ""/""), 3)"),"روزنامه شریف")</f>
        <v>روزنامه شریف</v>
      </c>
      <c r="V1396" s="1" t="str">
        <f>IFERROR(__xludf.DUMMYFUNCTION("INDEX(SPLIT(A1396, ""/""), 4)"),"#REF!")</f>
        <v>#REF!</v>
      </c>
    </row>
    <row r="1397">
      <c r="A1397" s="1" t="s">
        <v>4070</v>
      </c>
      <c r="B1397" s="1" t="s">
        <v>1219</v>
      </c>
      <c r="C1397" s="1" t="s">
        <v>21</v>
      </c>
      <c r="D1397" s="4" t="s">
        <v>4409</v>
      </c>
      <c r="E1397" s="1" t="s">
        <v>4072</v>
      </c>
      <c r="F1397" s="1" t="s">
        <v>4073</v>
      </c>
      <c r="G1397" s="1" t="s">
        <v>4149</v>
      </c>
      <c r="H1397" s="1" t="s">
        <v>4410</v>
      </c>
      <c r="I1397" s="1" t="str">
        <f t="shared" si="1"/>
        <v>24</v>
      </c>
      <c r="J1397" s="5"/>
      <c r="K1397" s="1" t="str">
        <f t="shared" si="2"/>
        <v>8</v>
      </c>
      <c r="L1397" s="5"/>
      <c r="M1397" s="2" t="str">
        <f t="shared" si="3"/>
        <v>1382</v>
      </c>
      <c r="N1397" s="5"/>
      <c r="O1397" s="13">
        <v>154.0</v>
      </c>
      <c r="P1397" s="5"/>
      <c r="Q1397" s="5"/>
      <c r="R1397" s="6" t="s">
        <v>4410</v>
      </c>
      <c r="S1397" s="5"/>
      <c r="T1397" s="1" t="str">
        <f>IFERROR(__xludf.DUMMYFUNCTION("INDEX(SPLIT(A1397, ""/""), 2)"),"کانون‌های فرهنگی هنری")</f>
        <v>کانون‌های فرهنگی هنری</v>
      </c>
      <c r="U1397" s="1" t="str">
        <f>IFERROR(__xludf.DUMMYFUNCTION("INDEX(SPLIT(A1397, ""/""), 3)"),"روزنامه شریف")</f>
        <v>روزنامه شریف</v>
      </c>
      <c r="V1397" s="1" t="str">
        <f>IFERROR(__xludf.DUMMYFUNCTION("INDEX(SPLIT(A1397, ""/""), 4)"),"#REF!")</f>
        <v>#REF!</v>
      </c>
    </row>
    <row r="1398">
      <c r="A1398" s="1" t="s">
        <v>4070</v>
      </c>
      <c r="B1398" s="1" t="s">
        <v>1222</v>
      </c>
      <c r="C1398" s="1" t="s">
        <v>21</v>
      </c>
      <c r="D1398" s="4" t="s">
        <v>4411</v>
      </c>
      <c r="E1398" s="1" t="s">
        <v>4072</v>
      </c>
      <c r="F1398" s="1" t="s">
        <v>4073</v>
      </c>
      <c r="G1398" s="1" t="s">
        <v>4149</v>
      </c>
      <c r="H1398" s="7" t="s">
        <v>4412</v>
      </c>
      <c r="I1398" s="1" t="str">
        <f t="shared" si="1"/>
        <v>1</v>
      </c>
      <c r="J1398" s="5"/>
      <c r="K1398" s="1" t="str">
        <f t="shared" si="2"/>
        <v>9</v>
      </c>
      <c r="L1398" s="5"/>
      <c r="M1398" s="2" t="str">
        <f t="shared" si="3"/>
        <v>1382</v>
      </c>
      <c r="N1398" s="5"/>
      <c r="O1398" s="13">
        <v>155.0</v>
      </c>
      <c r="P1398" s="5"/>
      <c r="Q1398" s="5"/>
      <c r="R1398" s="8" t="s">
        <v>4412</v>
      </c>
      <c r="S1398" s="5"/>
      <c r="T1398" s="1" t="str">
        <f>IFERROR(__xludf.DUMMYFUNCTION("INDEX(SPLIT(A1398, ""/""), 2)"),"کانون‌های فرهنگی هنری")</f>
        <v>کانون‌های فرهنگی هنری</v>
      </c>
      <c r="U1398" s="1" t="str">
        <f>IFERROR(__xludf.DUMMYFUNCTION("INDEX(SPLIT(A1398, ""/""), 3)"),"روزنامه شریف")</f>
        <v>روزنامه شریف</v>
      </c>
      <c r="V1398" s="1" t="str">
        <f>IFERROR(__xludf.DUMMYFUNCTION("INDEX(SPLIT(A1398, ""/""), 4)"),"#REF!")</f>
        <v>#REF!</v>
      </c>
    </row>
    <row r="1399">
      <c r="A1399" s="1" t="s">
        <v>4070</v>
      </c>
      <c r="B1399" s="1" t="s">
        <v>1225</v>
      </c>
      <c r="C1399" s="1" t="s">
        <v>21</v>
      </c>
      <c r="D1399" s="4" t="s">
        <v>4413</v>
      </c>
      <c r="E1399" s="1" t="s">
        <v>4072</v>
      </c>
      <c r="F1399" s="1" t="s">
        <v>4073</v>
      </c>
      <c r="G1399" s="1" t="s">
        <v>4149</v>
      </c>
      <c r="H1399" s="7" t="s">
        <v>4414</v>
      </c>
      <c r="I1399" s="1" t="str">
        <f t="shared" si="1"/>
        <v>4</v>
      </c>
      <c r="J1399" s="5"/>
      <c r="K1399" s="1" t="str">
        <f t="shared" si="2"/>
        <v>9</v>
      </c>
      <c r="L1399" s="5"/>
      <c r="M1399" s="2" t="str">
        <f t="shared" si="3"/>
        <v>1382</v>
      </c>
      <c r="N1399" s="5"/>
      <c r="O1399" s="13">
        <v>156.0</v>
      </c>
      <c r="P1399" s="5"/>
      <c r="Q1399" s="5"/>
      <c r="R1399" s="8" t="s">
        <v>4414</v>
      </c>
      <c r="S1399" s="5"/>
      <c r="T1399" s="1" t="str">
        <f>IFERROR(__xludf.DUMMYFUNCTION("INDEX(SPLIT(A1399, ""/""), 2)"),"کانون‌های فرهنگی هنری")</f>
        <v>کانون‌های فرهنگی هنری</v>
      </c>
      <c r="U1399" s="1" t="str">
        <f>IFERROR(__xludf.DUMMYFUNCTION("INDEX(SPLIT(A1399, ""/""), 3)"),"روزنامه شریف")</f>
        <v>روزنامه شریف</v>
      </c>
      <c r="V1399" s="1" t="str">
        <f>IFERROR(__xludf.DUMMYFUNCTION("INDEX(SPLIT(A1399, ""/""), 4)"),"#REF!")</f>
        <v>#REF!</v>
      </c>
    </row>
    <row r="1400">
      <c r="A1400" s="1" t="s">
        <v>4070</v>
      </c>
      <c r="B1400" s="1" t="s">
        <v>1228</v>
      </c>
      <c r="C1400" s="1" t="s">
        <v>21</v>
      </c>
      <c r="D1400" s="4" t="s">
        <v>4415</v>
      </c>
      <c r="E1400" s="1" t="s">
        <v>4072</v>
      </c>
      <c r="F1400" s="1" t="s">
        <v>4073</v>
      </c>
      <c r="G1400" s="1" t="s">
        <v>4149</v>
      </c>
      <c r="H1400" s="7" t="s">
        <v>4416</v>
      </c>
      <c r="I1400" s="1" t="str">
        <f t="shared" si="1"/>
        <v>8</v>
      </c>
      <c r="J1400" s="5"/>
      <c r="K1400" s="1" t="str">
        <f t="shared" si="2"/>
        <v>9</v>
      </c>
      <c r="L1400" s="5"/>
      <c r="M1400" s="2" t="str">
        <f t="shared" si="3"/>
        <v>1382</v>
      </c>
      <c r="N1400" s="5"/>
      <c r="O1400" s="13">
        <v>157.0</v>
      </c>
      <c r="P1400" s="5"/>
      <c r="Q1400" s="5"/>
      <c r="R1400" s="8" t="s">
        <v>4416</v>
      </c>
      <c r="S1400" s="5"/>
      <c r="T1400" s="1" t="str">
        <f>IFERROR(__xludf.DUMMYFUNCTION("INDEX(SPLIT(A1400, ""/""), 2)"),"کانون‌های فرهنگی هنری")</f>
        <v>کانون‌های فرهنگی هنری</v>
      </c>
      <c r="U1400" s="1" t="str">
        <f>IFERROR(__xludf.DUMMYFUNCTION("INDEX(SPLIT(A1400, ""/""), 3)"),"روزنامه شریف")</f>
        <v>روزنامه شریف</v>
      </c>
      <c r="V1400" s="1" t="str">
        <f>IFERROR(__xludf.DUMMYFUNCTION("INDEX(SPLIT(A1400, ""/""), 4)"),"#REF!")</f>
        <v>#REF!</v>
      </c>
    </row>
    <row r="1401">
      <c r="A1401" s="1" t="s">
        <v>4070</v>
      </c>
      <c r="B1401" s="1" t="s">
        <v>1231</v>
      </c>
      <c r="C1401" s="1" t="s">
        <v>21</v>
      </c>
      <c r="D1401" s="4" t="s">
        <v>4417</v>
      </c>
      <c r="E1401" s="1" t="s">
        <v>4072</v>
      </c>
      <c r="F1401" s="1" t="s">
        <v>4073</v>
      </c>
      <c r="G1401" s="1" t="s">
        <v>4149</v>
      </c>
      <c r="H1401" s="7" t="s">
        <v>4418</v>
      </c>
      <c r="I1401" s="1" t="str">
        <f t="shared" si="1"/>
        <v>11</v>
      </c>
      <c r="J1401" s="5"/>
      <c r="K1401" s="1" t="str">
        <f t="shared" si="2"/>
        <v>9</v>
      </c>
      <c r="L1401" s="5"/>
      <c r="M1401" s="2" t="str">
        <f t="shared" si="3"/>
        <v>1382</v>
      </c>
      <c r="N1401" s="5"/>
      <c r="O1401" s="13">
        <v>158.0</v>
      </c>
      <c r="P1401" s="5"/>
      <c r="Q1401" s="5"/>
      <c r="R1401" s="8" t="s">
        <v>4418</v>
      </c>
      <c r="S1401" s="5"/>
      <c r="T1401" s="1" t="str">
        <f>IFERROR(__xludf.DUMMYFUNCTION("INDEX(SPLIT(A1401, ""/""), 2)"),"کانون‌های فرهنگی هنری")</f>
        <v>کانون‌های فرهنگی هنری</v>
      </c>
      <c r="U1401" s="1" t="str">
        <f>IFERROR(__xludf.DUMMYFUNCTION("INDEX(SPLIT(A1401, ""/""), 3)"),"روزنامه شریف")</f>
        <v>روزنامه شریف</v>
      </c>
      <c r="V1401" s="1" t="str">
        <f>IFERROR(__xludf.DUMMYFUNCTION("INDEX(SPLIT(A1401, ""/""), 4)"),"#REF!")</f>
        <v>#REF!</v>
      </c>
    </row>
    <row r="1402">
      <c r="A1402" s="1" t="s">
        <v>4070</v>
      </c>
      <c r="B1402" s="1" t="s">
        <v>1233</v>
      </c>
      <c r="C1402" s="1" t="s">
        <v>21</v>
      </c>
      <c r="D1402" s="4" t="s">
        <v>4419</v>
      </c>
      <c r="E1402" s="1" t="s">
        <v>4072</v>
      </c>
      <c r="F1402" s="1" t="s">
        <v>4073</v>
      </c>
      <c r="G1402" s="1" t="s">
        <v>4149</v>
      </c>
      <c r="H1402" s="1" t="s">
        <v>4420</v>
      </c>
      <c r="I1402" s="1" t="str">
        <f t="shared" si="1"/>
        <v>15</v>
      </c>
      <c r="J1402" s="5"/>
      <c r="K1402" s="1" t="str">
        <f t="shared" si="2"/>
        <v>9</v>
      </c>
      <c r="L1402" s="5"/>
      <c r="M1402" s="2" t="str">
        <f t="shared" si="3"/>
        <v>1382</v>
      </c>
      <c r="N1402" s="1"/>
      <c r="O1402" s="13">
        <v>159.0</v>
      </c>
      <c r="P1402" s="5"/>
      <c r="Q1402" s="5"/>
      <c r="R1402" s="6" t="s">
        <v>4420</v>
      </c>
      <c r="S1402" s="5"/>
      <c r="T1402" s="1" t="str">
        <f>IFERROR(__xludf.DUMMYFUNCTION("INDEX(SPLIT(A1402, ""/""), 2)"),"کانون‌های فرهنگی هنری")</f>
        <v>کانون‌های فرهنگی هنری</v>
      </c>
      <c r="U1402" s="1" t="str">
        <f>IFERROR(__xludf.DUMMYFUNCTION("INDEX(SPLIT(A1402, ""/""), 3)"),"روزنامه شریف")</f>
        <v>روزنامه شریف</v>
      </c>
      <c r="V1402" s="1" t="str">
        <f>IFERROR(__xludf.DUMMYFUNCTION("INDEX(SPLIT(A1402, ""/""), 4)"),"#REF!")</f>
        <v>#REF!</v>
      </c>
    </row>
    <row r="1403">
      <c r="A1403" s="1" t="s">
        <v>4070</v>
      </c>
      <c r="B1403" s="1" t="s">
        <v>1236</v>
      </c>
      <c r="C1403" s="1" t="s">
        <v>21</v>
      </c>
      <c r="D1403" s="4" t="s">
        <v>4421</v>
      </c>
      <c r="E1403" s="1" t="s">
        <v>4072</v>
      </c>
      <c r="F1403" s="1" t="s">
        <v>4073</v>
      </c>
      <c r="G1403" s="1" t="s">
        <v>4149</v>
      </c>
      <c r="H1403" s="1" t="s">
        <v>4422</v>
      </c>
      <c r="I1403" s="1" t="str">
        <f t="shared" si="1"/>
        <v>18</v>
      </c>
      <c r="J1403" s="5"/>
      <c r="K1403" s="1" t="str">
        <f t="shared" si="2"/>
        <v>9</v>
      </c>
      <c r="L1403" s="5"/>
      <c r="M1403" s="2" t="str">
        <f t="shared" si="3"/>
        <v>1382</v>
      </c>
      <c r="N1403" s="1"/>
      <c r="O1403" s="13">
        <v>160.0</v>
      </c>
      <c r="P1403" s="5"/>
      <c r="Q1403" s="5"/>
      <c r="R1403" s="6" t="s">
        <v>4422</v>
      </c>
      <c r="S1403" s="5"/>
      <c r="T1403" s="1" t="str">
        <f>IFERROR(__xludf.DUMMYFUNCTION("INDEX(SPLIT(A1403, ""/""), 2)"),"کانون‌های فرهنگی هنری")</f>
        <v>کانون‌های فرهنگی هنری</v>
      </c>
      <c r="U1403" s="1" t="str">
        <f>IFERROR(__xludf.DUMMYFUNCTION("INDEX(SPLIT(A1403, ""/""), 3)"),"روزنامه شریف")</f>
        <v>روزنامه شریف</v>
      </c>
      <c r="V1403" s="1" t="str">
        <f>IFERROR(__xludf.DUMMYFUNCTION("INDEX(SPLIT(A1403, ""/""), 4)"),"#REF!")</f>
        <v>#REF!</v>
      </c>
    </row>
    <row r="1404">
      <c r="A1404" s="1" t="s">
        <v>4070</v>
      </c>
      <c r="B1404" s="1" t="s">
        <v>4423</v>
      </c>
      <c r="C1404" s="1" t="s">
        <v>21</v>
      </c>
      <c r="D1404" s="4" t="s">
        <v>4424</v>
      </c>
      <c r="E1404" s="1" t="s">
        <v>4072</v>
      </c>
      <c r="F1404" s="1" t="s">
        <v>4073</v>
      </c>
      <c r="G1404" s="1" t="s">
        <v>4149</v>
      </c>
      <c r="H1404" s="1" t="s">
        <v>4425</v>
      </c>
      <c r="I1404" s="1" t="str">
        <f t="shared" si="1"/>
        <v>22</v>
      </c>
      <c r="J1404" s="5"/>
      <c r="K1404" s="1" t="str">
        <f t="shared" si="2"/>
        <v>9</v>
      </c>
      <c r="L1404" s="5"/>
      <c r="M1404" s="2" t="str">
        <f t="shared" si="3"/>
        <v>1382</v>
      </c>
      <c r="N1404" s="1"/>
      <c r="O1404" s="13">
        <v>161.0</v>
      </c>
      <c r="P1404" s="5"/>
      <c r="Q1404" s="5"/>
      <c r="R1404" s="6" t="s">
        <v>4425</v>
      </c>
      <c r="S1404" s="5"/>
      <c r="T1404" s="1" t="str">
        <f>IFERROR(__xludf.DUMMYFUNCTION("INDEX(SPLIT(A1404, ""/""), 2)"),"کانون‌های فرهنگی هنری")</f>
        <v>کانون‌های فرهنگی هنری</v>
      </c>
      <c r="U1404" s="1" t="str">
        <f>IFERROR(__xludf.DUMMYFUNCTION("INDEX(SPLIT(A1404, ""/""), 3)"),"روزنامه شریف")</f>
        <v>روزنامه شریف</v>
      </c>
      <c r="V1404" s="1" t="str">
        <f>IFERROR(__xludf.DUMMYFUNCTION("INDEX(SPLIT(A1404, ""/""), 4)"),"#REF!")</f>
        <v>#REF!</v>
      </c>
    </row>
    <row r="1405">
      <c r="A1405" s="1" t="s">
        <v>4070</v>
      </c>
      <c r="B1405" s="1" t="s">
        <v>1239</v>
      </c>
      <c r="C1405" s="1" t="s">
        <v>21</v>
      </c>
      <c r="D1405" s="4" t="s">
        <v>4426</v>
      </c>
      <c r="E1405" s="1" t="s">
        <v>4072</v>
      </c>
      <c r="F1405" s="1" t="s">
        <v>4073</v>
      </c>
      <c r="G1405" s="1" t="s">
        <v>4149</v>
      </c>
      <c r="H1405" s="1" t="s">
        <v>4427</v>
      </c>
      <c r="I1405" s="1" t="str">
        <f t="shared" si="1"/>
        <v>25</v>
      </c>
      <c r="J1405" s="5"/>
      <c r="K1405" s="1" t="str">
        <f t="shared" si="2"/>
        <v>9</v>
      </c>
      <c r="L1405" s="5"/>
      <c r="M1405" s="2" t="str">
        <f t="shared" si="3"/>
        <v>1382</v>
      </c>
      <c r="N1405" s="1"/>
      <c r="O1405" s="13">
        <v>162.0</v>
      </c>
      <c r="P1405" s="5"/>
      <c r="Q1405" s="5"/>
      <c r="R1405" s="6" t="s">
        <v>4427</v>
      </c>
      <c r="S1405" s="5"/>
      <c r="T1405" s="1" t="str">
        <f>IFERROR(__xludf.DUMMYFUNCTION("INDEX(SPLIT(A1405, ""/""), 2)"),"کانون‌های فرهنگی هنری")</f>
        <v>کانون‌های فرهنگی هنری</v>
      </c>
      <c r="U1405" s="1" t="str">
        <f>IFERROR(__xludf.DUMMYFUNCTION("INDEX(SPLIT(A1405, ""/""), 3)"),"روزنامه شریف")</f>
        <v>روزنامه شریف</v>
      </c>
      <c r="V1405" s="1" t="str">
        <f>IFERROR(__xludf.DUMMYFUNCTION("INDEX(SPLIT(A1405, ""/""), 4)"),"#REF!")</f>
        <v>#REF!</v>
      </c>
    </row>
    <row r="1406">
      <c r="A1406" s="1" t="s">
        <v>4070</v>
      </c>
      <c r="B1406" s="1" t="s">
        <v>1242</v>
      </c>
      <c r="C1406" s="1" t="s">
        <v>21</v>
      </c>
      <c r="D1406" s="4" t="s">
        <v>4428</v>
      </c>
      <c r="E1406" s="1" t="s">
        <v>4072</v>
      </c>
      <c r="F1406" s="1" t="s">
        <v>4073</v>
      </c>
      <c r="G1406" s="1" t="s">
        <v>4149</v>
      </c>
      <c r="H1406" s="7" t="s">
        <v>4429</v>
      </c>
      <c r="I1406" s="1" t="str">
        <f t="shared" si="1"/>
        <v>2</v>
      </c>
      <c r="J1406" s="5"/>
      <c r="K1406" s="1" t="str">
        <f t="shared" si="2"/>
        <v>10</v>
      </c>
      <c r="L1406" s="5"/>
      <c r="M1406" s="2" t="str">
        <f t="shared" si="3"/>
        <v>1382</v>
      </c>
      <c r="N1406" s="1"/>
      <c r="O1406" s="13">
        <v>163.0</v>
      </c>
      <c r="P1406" s="5"/>
      <c r="Q1406" s="5"/>
      <c r="R1406" s="8" t="s">
        <v>4429</v>
      </c>
      <c r="S1406" s="5"/>
      <c r="T1406" s="1" t="str">
        <f>IFERROR(__xludf.DUMMYFUNCTION("INDEX(SPLIT(A1406, ""/""), 2)"),"کانون‌های فرهنگی هنری")</f>
        <v>کانون‌های فرهنگی هنری</v>
      </c>
      <c r="U1406" s="1" t="str">
        <f>IFERROR(__xludf.DUMMYFUNCTION("INDEX(SPLIT(A1406, ""/""), 3)"),"روزنامه شریف")</f>
        <v>روزنامه شریف</v>
      </c>
      <c r="V1406" s="1" t="str">
        <f>IFERROR(__xludf.DUMMYFUNCTION("INDEX(SPLIT(A1406, ""/""), 4)"),"#REF!")</f>
        <v>#REF!</v>
      </c>
    </row>
    <row r="1407">
      <c r="A1407" s="1" t="s">
        <v>4070</v>
      </c>
      <c r="B1407" s="1" t="s">
        <v>1245</v>
      </c>
      <c r="C1407" s="1" t="s">
        <v>21</v>
      </c>
      <c r="D1407" s="4" t="s">
        <v>4430</v>
      </c>
      <c r="E1407" s="1" t="s">
        <v>4072</v>
      </c>
      <c r="F1407" s="1" t="s">
        <v>4073</v>
      </c>
      <c r="G1407" s="1" t="s">
        <v>4149</v>
      </c>
      <c r="H1407" s="7" t="s">
        <v>4431</v>
      </c>
      <c r="I1407" s="1" t="str">
        <f t="shared" si="1"/>
        <v>6</v>
      </c>
      <c r="J1407" s="5"/>
      <c r="K1407" s="1" t="str">
        <f t="shared" si="2"/>
        <v>10</v>
      </c>
      <c r="L1407" s="5"/>
      <c r="M1407" s="2" t="str">
        <f t="shared" si="3"/>
        <v>1382</v>
      </c>
      <c r="N1407" s="1"/>
      <c r="O1407" s="13">
        <v>164.0</v>
      </c>
      <c r="P1407" s="5"/>
      <c r="Q1407" s="5"/>
      <c r="R1407" s="8" t="s">
        <v>4431</v>
      </c>
      <c r="S1407" s="5"/>
      <c r="T1407" s="1" t="str">
        <f>IFERROR(__xludf.DUMMYFUNCTION("INDEX(SPLIT(A1407, ""/""), 2)"),"کانون‌های فرهنگی هنری")</f>
        <v>کانون‌های فرهنگی هنری</v>
      </c>
      <c r="U1407" s="1" t="str">
        <f>IFERROR(__xludf.DUMMYFUNCTION("INDEX(SPLIT(A1407, ""/""), 3)"),"روزنامه شریف")</f>
        <v>روزنامه شریف</v>
      </c>
      <c r="V1407" s="1" t="str">
        <f>IFERROR(__xludf.DUMMYFUNCTION("INDEX(SPLIT(A1407, ""/""), 4)"),"#REF!")</f>
        <v>#REF!</v>
      </c>
    </row>
    <row r="1408">
      <c r="A1408" s="1" t="s">
        <v>4070</v>
      </c>
      <c r="B1408" s="1" t="s">
        <v>1249</v>
      </c>
      <c r="C1408" s="1" t="s">
        <v>21</v>
      </c>
      <c r="D1408" s="4" t="s">
        <v>4432</v>
      </c>
      <c r="E1408" s="1" t="s">
        <v>4072</v>
      </c>
      <c r="F1408" s="1" t="s">
        <v>4073</v>
      </c>
      <c r="G1408" s="1" t="s">
        <v>4149</v>
      </c>
      <c r="H1408" s="7" t="s">
        <v>4433</v>
      </c>
      <c r="I1408" s="1" t="str">
        <f t="shared" si="1"/>
        <v>9</v>
      </c>
      <c r="J1408" s="5"/>
      <c r="K1408" s="1" t="str">
        <f t="shared" si="2"/>
        <v>10</v>
      </c>
      <c r="L1408" s="5"/>
      <c r="M1408" s="2" t="str">
        <f t="shared" si="3"/>
        <v>1382</v>
      </c>
      <c r="N1408" s="1"/>
      <c r="O1408" s="13">
        <v>165.0</v>
      </c>
      <c r="P1408" s="5"/>
      <c r="Q1408" s="5"/>
      <c r="R1408" s="8" t="s">
        <v>4433</v>
      </c>
      <c r="S1408" s="5"/>
      <c r="T1408" s="1" t="str">
        <f>IFERROR(__xludf.DUMMYFUNCTION("INDEX(SPLIT(A1408, ""/""), 2)"),"کانون‌های فرهنگی هنری")</f>
        <v>کانون‌های فرهنگی هنری</v>
      </c>
      <c r="U1408" s="1" t="str">
        <f>IFERROR(__xludf.DUMMYFUNCTION("INDEX(SPLIT(A1408, ""/""), 3)"),"روزنامه شریف")</f>
        <v>روزنامه شریف</v>
      </c>
      <c r="V1408" s="1" t="str">
        <f>IFERROR(__xludf.DUMMYFUNCTION("INDEX(SPLIT(A1408, ""/""), 4)"),"#REF!")</f>
        <v>#REF!</v>
      </c>
    </row>
    <row r="1409">
      <c r="A1409" s="1" t="s">
        <v>4070</v>
      </c>
      <c r="B1409" s="1" t="s">
        <v>1252</v>
      </c>
      <c r="C1409" s="1" t="s">
        <v>21</v>
      </c>
      <c r="D1409" s="4" t="s">
        <v>4434</v>
      </c>
      <c r="E1409" s="1" t="s">
        <v>4072</v>
      </c>
      <c r="F1409" s="1" t="s">
        <v>4073</v>
      </c>
      <c r="G1409" s="1" t="s">
        <v>4149</v>
      </c>
      <c r="H1409" s="7" t="s">
        <v>4435</v>
      </c>
      <c r="I1409" s="1" t="str">
        <f t="shared" si="1"/>
        <v>11</v>
      </c>
      <c r="J1409" s="5"/>
      <c r="K1409" s="1" t="str">
        <f t="shared" si="2"/>
        <v>11</v>
      </c>
      <c r="L1409" s="5"/>
      <c r="M1409" s="2" t="str">
        <f t="shared" si="3"/>
        <v>1382</v>
      </c>
      <c r="N1409" s="1"/>
      <c r="O1409" s="13">
        <v>166.0</v>
      </c>
      <c r="P1409" s="5"/>
      <c r="Q1409" s="5"/>
      <c r="R1409" s="8" t="s">
        <v>4435</v>
      </c>
      <c r="S1409" s="5"/>
      <c r="T1409" s="1" t="str">
        <f>IFERROR(__xludf.DUMMYFUNCTION("INDEX(SPLIT(A1409, ""/""), 2)"),"کانون‌های فرهنگی هنری")</f>
        <v>کانون‌های فرهنگی هنری</v>
      </c>
      <c r="U1409" s="1" t="str">
        <f>IFERROR(__xludf.DUMMYFUNCTION("INDEX(SPLIT(A1409, ""/""), 3)"),"روزنامه شریف")</f>
        <v>روزنامه شریف</v>
      </c>
      <c r="V1409" s="1" t="str">
        <f>IFERROR(__xludf.DUMMYFUNCTION("INDEX(SPLIT(A1409, ""/""), 4)"),"#REF!")</f>
        <v>#REF!</v>
      </c>
    </row>
    <row r="1410">
      <c r="A1410" s="1" t="s">
        <v>4070</v>
      </c>
      <c r="B1410" s="1" t="s">
        <v>1255</v>
      </c>
      <c r="C1410" s="1" t="s">
        <v>21</v>
      </c>
      <c r="D1410" s="4" t="s">
        <v>4436</v>
      </c>
      <c r="E1410" s="1" t="s">
        <v>4072</v>
      </c>
      <c r="F1410" s="1" t="s">
        <v>4073</v>
      </c>
      <c r="G1410" s="1" t="s">
        <v>4149</v>
      </c>
      <c r="H1410" s="1" t="s">
        <v>4437</v>
      </c>
      <c r="I1410" s="1" t="str">
        <f t="shared" si="1"/>
        <v>14</v>
      </c>
      <c r="J1410" s="5"/>
      <c r="K1410" s="1" t="str">
        <f t="shared" si="2"/>
        <v>11</v>
      </c>
      <c r="L1410" s="5"/>
      <c r="M1410" s="2" t="str">
        <f t="shared" si="3"/>
        <v>1382</v>
      </c>
      <c r="N1410" s="1"/>
      <c r="O1410" s="13">
        <v>167.0</v>
      </c>
      <c r="P1410" s="5"/>
      <c r="Q1410" s="5"/>
      <c r="R1410" s="6" t="s">
        <v>4437</v>
      </c>
      <c r="S1410" s="5"/>
      <c r="T1410" s="1" t="str">
        <f>IFERROR(__xludf.DUMMYFUNCTION("INDEX(SPLIT(A1410, ""/""), 2)"),"کانون‌های فرهنگی هنری")</f>
        <v>کانون‌های فرهنگی هنری</v>
      </c>
      <c r="U1410" s="1" t="str">
        <f>IFERROR(__xludf.DUMMYFUNCTION("INDEX(SPLIT(A1410, ""/""), 3)"),"روزنامه شریف")</f>
        <v>روزنامه شریف</v>
      </c>
      <c r="V1410" s="1" t="str">
        <f>IFERROR(__xludf.DUMMYFUNCTION("INDEX(SPLIT(A1410, ""/""), 4)"),"#REF!")</f>
        <v>#REF!</v>
      </c>
    </row>
    <row r="1411">
      <c r="A1411" s="1" t="s">
        <v>4070</v>
      </c>
      <c r="B1411" s="1" t="s">
        <v>1258</v>
      </c>
      <c r="C1411" s="1" t="s">
        <v>21</v>
      </c>
      <c r="D1411" s="4" t="s">
        <v>4438</v>
      </c>
      <c r="E1411" s="1" t="s">
        <v>4072</v>
      </c>
      <c r="F1411" s="1" t="s">
        <v>4073</v>
      </c>
      <c r="G1411" s="1" t="s">
        <v>4149</v>
      </c>
      <c r="H1411" s="1" t="s">
        <v>4439</v>
      </c>
      <c r="I1411" s="1" t="str">
        <f t="shared" si="1"/>
        <v>18</v>
      </c>
      <c r="J1411" s="5"/>
      <c r="K1411" s="1" t="str">
        <f t="shared" si="2"/>
        <v>11</v>
      </c>
      <c r="L1411" s="5"/>
      <c r="M1411" s="2" t="str">
        <f t="shared" si="3"/>
        <v>1382</v>
      </c>
      <c r="N1411" s="1"/>
      <c r="O1411" s="13">
        <v>168.0</v>
      </c>
      <c r="P1411" s="5"/>
      <c r="Q1411" s="5"/>
      <c r="R1411" s="6" t="s">
        <v>4439</v>
      </c>
      <c r="S1411" s="5"/>
      <c r="T1411" s="1" t="str">
        <f>IFERROR(__xludf.DUMMYFUNCTION("INDEX(SPLIT(A1411, ""/""), 2)"),"کانون‌های فرهنگی هنری")</f>
        <v>کانون‌های فرهنگی هنری</v>
      </c>
      <c r="U1411" s="1" t="str">
        <f>IFERROR(__xludf.DUMMYFUNCTION("INDEX(SPLIT(A1411, ""/""), 3)"),"روزنامه شریف")</f>
        <v>روزنامه شریف</v>
      </c>
      <c r="V1411" s="1" t="str">
        <f>IFERROR(__xludf.DUMMYFUNCTION("INDEX(SPLIT(A1411, ""/""), 4)"),"#REF!")</f>
        <v>#REF!</v>
      </c>
    </row>
    <row r="1412">
      <c r="A1412" s="1" t="s">
        <v>4070</v>
      </c>
      <c r="B1412" s="1" t="s">
        <v>1261</v>
      </c>
      <c r="C1412" s="1" t="s">
        <v>21</v>
      </c>
      <c r="D1412" s="4" t="s">
        <v>4440</v>
      </c>
      <c r="E1412" s="1" t="s">
        <v>4072</v>
      </c>
      <c r="F1412" s="1" t="s">
        <v>4073</v>
      </c>
      <c r="G1412" s="1" t="s">
        <v>4149</v>
      </c>
      <c r="H1412" s="1" t="s">
        <v>4441</v>
      </c>
      <c r="I1412" s="1" t="str">
        <f t="shared" si="1"/>
        <v>25</v>
      </c>
      <c r="J1412" s="5"/>
      <c r="K1412" s="1" t="str">
        <f t="shared" si="2"/>
        <v>11</v>
      </c>
      <c r="L1412" s="5"/>
      <c r="M1412" s="2" t="str">
        <f t="shared" si="3"/>
        <v>1382</v>
      </c>
      <c r="N1412" s="1"/>
      <c r="O1412" s="13">
        <v>169.0</v>
      </c>
      <c r="P1412" s="5"/>
      <c r="Q1412" s="5"/>
      <c r="R1412" s="6" t="s">
        <v>4441</v>
      </c>
      <c r="S1412" s="5"/>
      <c r="T1412" s="1" t="str">
        <f>IFERROR(__xludf.DUMMYFUNCTION("INDEX(SPLIT(A1412, ""/""), 2)"),"کانون‌های فرهنگی هنری")</f>
        <v>کانون‌های فرهنگی هنری</v>
      </c>
      <c r="U1412" s="1" t="str">
        <f>IFERROR(__xludf.DUMMYFUNCTION("INDEX(SPLIT(A1412, ""/""), 3)"),"روزنامه شریف")</f>
        <v>روزنامه شریف</v>
      </c>
      <c r="V1412" s="1" t="str">
        <f>IFERROR(__xludf.DUMMYFUNCTION("INDEX(SPLIT(A1412, ""/""), 4)"),"#REF!")</f>
        <v>#REF!</v>
      </c>
    </row>
    <row r="1413">
      <c r="A1413" s="1" t="s">
        <v>4070</v>
      </c>
      <c r="B1413" s="1" t="s">
        <v>1264</v>
      </c>
      <c r="C1413" s="1" t="s">
        <v>21</v>
      </c>
      <c r="D1413" s="4" t="s">
        <v>4442</v>
      </c>
      <c r="E1413" s="1" t="s">
        <v>4072</v>
      </c>
      <c r="F1413" s="1" t="s">
        <v>4073</v>
      </c>
      <c r="G1413" s="1" t="s">
        <v>4149</v>
      </c>
      <c r="H1413" s="1" t="s">
        <v>4443</v>
      </c>
      <c r="I1413" s="1" t="str">
        <f t="shared" si="1"/>
        <v>28</v>
      </c>
      <c r="J1413" s="5"/>
      <c r="K1413" s="1" t="str">
        <f t="shared" si="2"/>
        <v>11</v>
      </c>
      <c r="L1413" s="5"/>
      <c r="M1413" s="2" t="str">
        <f t="shared" si="3"/>
        <v>1382</v>
      </c>
      <c r="N1413" s="1"/>
      <c r="O1413" s="13">
        <v>170.0</v>
      </c>
      <c r="P1413" s="5"/>
      <c r="Q1413" s="5"/>
      <c r="R1413" s="6" t="s">
        <v>4443</v>
      </c>
      <c r="S1413" s="5"/>
      <c r="T1413" s="1" t="str">
        <f>IFERROR(__xludf.DUMMYFUNCTION("INDEX(SPLIT(A1413, ""/""), 2)"),"کانون‌های فرهنگی هنری")</f>
        <v>کانون‌های فرهنگی هنری</v>
      </c>
      <c r="U1413" s="1" t="str">
        <f>IFERROR(__xludf.DUMMYFUNCTION("INDEX(SPLIT(A1413, ""/""), 3)"),"روزنامه شریف")</f>
        <v>روزنامه شریف</v>
      </c>
      <c r="V1413" s="1" t="str">
        <f>IFERROR(__xludf.DUMMYFUNCTION("INDEX(SPLIT(A1413, ""/""), 4)"),"#REF!")</f>
        <v>#REF!</v>
      </c>
    </row>
    <row r="1414">
      <c r="A1414" s="1" t="s">
        <v>4070</v>
      </c>
      <c r="B1414" s="1" t="s">
        <v>1267</v>
      </c>
      <c r="C1414" s="1" t="s">
        <v>21</v>
      </c>
      <c r="D1414" s="4" t="s">
        <v>4444</v>
      </c>
      <c r="E1414" s="1" t="s">
        <v>4072</v>
      </c>
      <c r="F1414" s="1" t="s">
        <v>4073</v>
      </c>
      <c r="G1414" s="1" t="s">
        <v>4149</v>
      </c>
      <c r="H1414" s="7" t="s">
        <v>4445</v>
      </c>
      <c r="I1414" s="1" t="str">
        <f t="shared" si="1"/>
        <v>2</v>
      </c>
      <c r="J1414" s="5"/>
      <c r="K1414" s="1" t="str">
        <f t="shared" si="2"/>
        <v>12</v>
      </c>
      <c r="L1414" s="5"/>
      <c r="M1414" s="2" t="str">
        <f t="shared" si="3"/>
        <v>1382</v>
      </c>
      <c r="N1414" s="1"/>
      <c r="O1414" s="13">
        <v>171.0</v>
      </c>
      <c r="P1414" s="5"/>
      <c r="Q1414" s="5"/>
      <c r="R1414" s="8" t="s">
        <v>4445</v>
      </c>
      <c r="S1414" s="5"/>
      <c r="T1414" s="1" t="str">
        <f>IFERROR(__xludf.DUMMYFUNCTION("INDEX(SPLIT(A1414, ""/""), 2)"),"کانون‌های فرهنگی هنری")</f>
        <v>کانون‌های فرهنگی هنری</v>
      </c>
      <c r="U1414" s="1" t="str">
        <f>IFERROR(__xludf.DUMMYFUNCTION("INDEX(SPLIT(A1414, ""/""), 3)"),"روزنامه شریف")</f>
        <v>روزنامه شریف</v>
      </c>
      <c r="V1414" s="1" t="str">
        <f>IFERROR(__xludf.DUMMYFUNCTION("INDEX(SPLIT(A1414, ""/""), 4)"),"#REF!")</f>
        <v>#REF!</v>
      </c>
    </row>
    <row r="1415">
      <c r="A1415" s="1" t="s">
        <v>4070</v>
      </c>
      <c r="B1415" s="1" t="s">
        <v>1270</v>
      </c>
      <c r="C1415" s="1" t="s">
        <v>21</v>
      </c>
      <c r="D1415" s="4" t="s">
        <v>4446</v>
      </c>
      <c r="E1415" s="1" t="s">
        <v>4072</v>
      </c>
      <c r="F1415" s="1" t="s">
        <v>4073</v>
      </c>
      <c r="G1415" s="1" t="s">
        <v>4149</v>
      </c>
      <c r="H1415" s="7" t="s">
        <v>4447</v>
      </c>
      <c r="I1415" s="1" t="str">
        <f t="shared" si="1"/>
        <v>5</v>
      </c>
      <c r="J1415" s="5"/>
      <c r="K1415" s="1" t="str">
        <f t="shared" si="2"/>
        <v>12</v>
      </c>
      <c r="L1415" s="5"/>
      <c r="M1415" s="2" t="str">
        <f t="shared" si="3"/>
        <v>1382</v>
      </c>
      <c r="N1415" s="1"/>
      <c r="O1415" s="13">
        <v>172.0</v>
      </c>
      <c r="P1415" s="5"/>
      <c r="Q1415" s="5"/>
      <c r="R1415" s="8" t="s">
        <v>4447</v>
      </c>
      <c r="S1415" s="5"/>
      <c r="T1415" s="1" t="str">
        <f>IFERROR(__xludf.DUMMYFUNCTION("INDEX(SPLIT(A1415, ""/""), 2)"),"کانون‌های فرهنگی هنری")</f>
        <v>کانون‌های فرهنگی هنری</v>
      </c>
      <c r="U1415" s="1" t="str">
        <f>IFERROR(__xludf.DUMMYFUNCTION("INDEX(SPLIT(A1415, ""/""), 3)"),"روزنامه شریف")</f>
        <v>روزنامه شریف</v>
      </c>
      <c r="V1415" s="1" t="str">
        <f>IFERROR(__xludf.DUMMYFUNCTION("INDEX(SPLIT(A1415, ""/""), 4)"),"#REF!")</f>
        <v>#REF!</v>
      </c>
    </row>
    <row r="1416">
      <c r="A1416" s="1" t="s">
        <v>4070</v>
      </c>
      <c r="B1416" s="1" t="s">
        <v>4448</v>
      </c>
      <c r="C1416" s="1" t="s">
        <v>21</v>
      </c>
      <c r="D1416" s="4" t="s">
        <v>4449</v>
      </c>
      <c r="E1416" s="1" t="s">
        <v>4072</v>
      </c>
      <c r="F1416" s="1" t="s">
        <v>4073</v>
      </c>
      <c r="G1416" s="1" t="s">
        <v>4149</v>
      </c>
      <c r="H1416" s="7" t="s">
        <v>4450</v>
      </c>
      <c r="I1416" s="1" t="str">
        <f t="shared" si="1"/>
        <v>9</v>
      </c>
      <c r="J1416" s="5"/>
      <c r="K1416" s="1" t="str">
        <f t="shared" si="2"/>
        <v>12</v>
      </c>
      <c r="L1416" s="5"/>
      <c r="M1416" s="2" t="str">
        <f t="shared" si="3"/>
        <v>1382</v>
      </c>
      <c r="N1416" s="1"/>
      <c r="O1416" s="13">
        <v>173.0</v>
      </c>
      <c r="P1416" s="5"/>
      <c r="Q1416" s="5"/>
      <c r="R1416" s="8" t="s">
        <v>4450</v>
      </c>
      <c r="S1416" s="5"/>
      <c r="T1416" s="1" t="str">
        <f>IFERROR(__xludf.DUMMYFUNCTION("INDEX(SPLIT(A1416, ""/""), 2)"),"کانون‌های فرهنگی هنری")</f>
        <v>کانون‌های فرهنگی هنری</v>
      </c>
      <c r="U1416" s="1" t="str">
        <f>IFERROR(__xludf.DUMMYFUNCTION("INDEX(SPLIT(A1416, ""/""), 3)"),"روزنامه شریف")</f>
        <v>روزنامه شریف</v>
      </c>
      <c r="V1416" s="1" t="str">
        <f>IFERROR(__xludf.DUMMYFUNCTION("INDEX(SPLIT(A1416, ""/""), 4)"),"#REF!")</f>
        <v>#REF!</v>
      </c>
    </row>
    <row r="1417">
      <c r="A1417" s="1" t="s">
        <v>4070</v>
      </c>
      <c r="B1417" s="1" t="s">
        <v>1273</v>
      </c>
      <c r="C1417" s="1" t="s">
        <v>21</v>
      </c>
      <c r="D1417" s="4" t="s">
        <v>4451</v>
      </c>
      <c r="E1417" s="1" t="s">
        <v>4072</v>
      </c>
      <c r="F1417" s="1" t="s">
        <v>4073</v>
      </c>
      <c r="G1417" s="1" t="s">
        <v>4149</v>
      </c>
      <c r="H1417" s="1" t="s">
        <v>4452</v>
      </c>
      <c r="I1417" s="1" t="str">
        <f t="shared" si="1"/>
        <v>16</v>
      </c>
      <c r="J1417" s="5"/>
      <c r="K1417" s="1" t="str">
        <f t="shared" si="2"/>
        <v>12</v>
      </c>
      <c r="L1417" s="5"/>
      <c r="M1417" s="2" t="str">
        <f t="shared" si="3"/>
        <v>1382</v>
      </c>
      <c r="N1417" s="1"/>
      <c r="O1417" s="13">
        <v>174.0</v>
      </c>
      <c r="P1417" s="5"/>
      <c r="Q1417" s="5"/>
      <c r="R1417" s="6" t="s">
        <v>4452</v>
      </c>
      <c r="S1417" s="5"/>
      <c r="T1417" s="1" t="str">
        <f>IFERROR(__xludf.DUMMYFUNCTION("INDEX(SPLIT(A1417, ""/""), 2)"),"کانون‌های فرهنگی هنری")</f>
        <v>کانون‌های فرهنگی هنری</v>
      </c>
      <c r="U1417" s="1" t="str">
        <f>IFERROR(__xludf.DUMMYFUNCTION("INDEX(SPLIT(A1417, ""/""), 3)"),"روزنامه شریف")</f>
        <v>روزنامه شریف</v>
      </c>
      <c r="V1417" s="1" t="str">
        <f>IFERROR(__xludf.DUMMYFUNCTION("INDEX(SPLIT(A1417, ""/""), 4)"),"#REF!")</f>
        <v>#REF!</v>
      </c>
    </row>
    <row r="1418">
      <c r="A1418" s="1" t="s">
        <v>4070</v>
      </c>
      <c r="B1418" s="1" t="s">
        <v>1277</v>
      </c>
      <c r="C1418" s="1" t="s">
        <v>21</v>
      </c>
      <c r="D1418" s="4" t="s">
        <v>4453</v>
      </c>
      <c r="E1418" s="1" t="s">
        <v>4072</v>
      </c>
      <c r="F1418" s="1" t="s">
        <v>4073</v>
      </c>
      <c r="G1418" s="1" t="s">
        <v>4149</v>
      </c>
      <c r="H1418" s="1" t="s">
        <v>4454</v>
      </c>
      <c r="I1418" s="1" t="str">
        <f t="shared" si="1"/>
        <v>19</v>
      </c>
      <c r="J1418" s="5"/>
      <c r="K1418" s="1" t="str">
        <f t="shared" si="2"/>
        <v>12</v>
      </c>
      <c r="L1418" s="5"/>
      <c r="M1418" s="2" t="str">
        <f t="shared" si="3"/>
        <v>1382</v>
      </c>
      <c r="N1418" s="1"/>
      <c r="O1418" s="13">
        <v>175.0</v>
      </c>
      <c r="P1418" s="5"/>
      <c r="Q1418" s="5"/>
      <c r="R1418" s="6" t="s">
        <v>4454</v>
      </c>
      <c r="S1418" s="5"/>
      <c r="T1418" s="1" t="str">
        <f>IFERROR(__xludf.DUMMYFUNCTION("INDEX(SPLIT(A1418, ""/""), 2)"),"کانون‌های فرهنگی هنری")</f>
        <v>کانون‌های فرهنگی هنری</v>
      </c>
      <c r="U1418" s="1" t="str">
        <f>IFERROR(__xludf.DUMMYFUNCTION("INDEX(SPLIT(A1418, ""/""), 3)"),"روزنامه شریف")</f>
        <v>روزنامه شریف</v>
      </c>
      <c r="V1418" s="1" t="str">
        <f>IFERROR(__xludf.DUMMYFUNCTION("INDEX(SPLIT(A1418, ""/""), 4)"),"#REF!")</f>
        <v>#REF!</v>
      </c>
    </row>
    <row r="1419">
      <c r="A1419" s="1" t="s">
        <v>4070</v>
      </c>
      <c r="B1419" s="1" t="s">
        <v>1280</v>
      </c>
      <c r="C1419" s="1" t="s">
        <v>21</v>
      </c>
      <c r="D1419" s="4" t="s">
        <v>4455</v>
      </c>
      <c r="E1419" s="1" t="s">
        <v>4072</v>
      </c>
      <c r="F1419" s="1" t="s">
        <v>4073</v>
      </c>
      <c r="G1419" s="1" t="s">
        <v>4149</v>
      </c>
      <c r="H1419" s="1" t="s">
        <v>4456</v>
      </c>
      <c r="I1419" s="1" t="str">
        <f t="shared" si="1"/>
        <v>23</v>
      </c>
      <c r="J1419" s="5"/>
      <c r="K1419" s="1" t="str">
        <f t="shared" si="2"/>
        <v>12</v>
      </c>
      <c r="L1419" s="5"/>
      <c r="M1419" s="2" t="str">
        <f t="shared" si="3"/>
        <v>1382</v>
      </c>
      <c r="N1419" s="1"/>
      <c r="O1419" s="13">
        <v>176.0</v>
      </c>
      <c r="P1419" s="5"/>
      <c r="Q1419" s="5"/>
      <c r="R1419" s="6" t="s">
        <v>4456</v>
      </c>
      <c r="S1419" s="5"/>
      <c r="T1419" s="1" t="str">
        <f>IFERROR(__xludf.DUMMYFUNCTION("INDEX(SPLIT(A1419, ""/""), 2)"),"کانون‌های فرهنگی هنری")</f>
        <v>کانون‌های فرهنگی هنری</v>
      </c>
      <c r="U1419" s="1" t="str">
        <f>IFERROR(__xludf.DUMMYFUNCTION("INDEX(SPLIT(A1419, ""/""), 3)"),"روزنامه شریف")</f>
        <v>روزنامه شریف</v>
      </c>
      <c r="V1419" s="1" t="str">
        <f>IFERROR(__xludf.DUMMYFUNCTION("INDEX(SPLIT(A1419, ""/""), 4)"),"#REF!")</f>
        <v>#REF!</v>
      </c>
    </row>
    <row r="1420">
      <c r="A1420" s="1" t="s">
        <v>4070</v>
      </c>
      <c r="B1420" s="1" t="s">
        <v>1283</v>
      </c>
      <c r="C1420" s="1" t="s">
        <v>21</v>
      </c>
      <c r="D1420" s="4" t="s">
        <v>4457</v>
      </c>
      <c r="E1420" s="1" t="s">
        <v>4072</v>
      </c>
      <c r="F1420" s="1" t="s">
        <v>4073</v>
      </c>
      <c r="G1420" s="1" t="s">
        <v>4149</v>
      </c>
      <c r="H1420" s="1" t="s">
        <v>4458</v>
      </c>
      <c r="I1420" s="1" t="str">
        <f t="shared" si="1"/>
        <v>18</v>
      </c>
      <c r="J1420" s="5"/>
      <c r="K1420" s="1" t="str">
        <f t="shared" si="2"/>
        <v>1</v>
      </c>
      <c r="L1420" s="5"/>
      <c r="M1420" s="2" t="str">
        <f t="shared" si="3"/>
        <v>1383</v>
      </c>
      <c r="N1420" s="1"/>
      <c r="O1420" s="13">
        <v>177.0</v>
      </c>
      <c r="P1420" s="5"/>
      <c r="Q1420" s="5"/>
      <c r="R1420" s="6" t="s">
        <v>4458</v>
      </c>
      <c r="S1420" s="5"/>
      <c r="T1420" s="1" t="str">
        <f>IFERROR(__xludf.DUMMYFUNCTION("INDEX(SPLIT(A1420, ""/""), 2)"),"کانون‌های فرهنگی هنری")</f>
        <v>کانون‌های فرهنگی هنری</v>
      </c>
      <c r="U1420" s="1" t="str">
        <f>IFERROR(__xludf.DUMMYFUNCTION("INDEX(SPLIT(A1420, ""/""), 3)"),"روزنامه شریف")</f>
        <v>روزنامه شریف</v>
      </c>
      <c r="V1420" s="1" t="str">
        <f>IFERROR(__xludf.DUMMYFUNCTION("INDEX(SPLIT(A1420, ""/""), 4)"),"#REF!")</f>
        <v>#REF!</v>
      </c>
    </row>
    <row r="1421">
      <c r="A1421" s="1" t="s">
        <v>4070</v>
      </c>
      <c r="B1421" s="1" t="s">
        <v>1285</v>
      </c>
      <c r="C1421" s="1" t="s">
        <v>21</v>
      </c>
      <c r="D1421" s="4" t="s">
        <v>4459</v>
      </c>
      <c r="E1421" s="1" t="s">
        <v>4072</v>
      </c>
      <c r="F1421" s="1" t="s">
        <v>4073</v>
      </c>
      <c r="G1421" s="1" t="s">
        <v>4149</v>
      </c>
      <c r="H1421" s="1" t="s">
        <v>4460</v>
      </c>
      <c r="I1421" s="1" t="str">
        <f t="shared" si="1"/>
        <v>22</v>
      </c>
      <c r="J1421" s="5"/>
      <c r="K1421" s="1" t="str">
        <f t="shared" si="2"/>
        <v>1</v>
      </c>
      <c r="L1421" s="5"/>
      <c r="M1421" s="2" t="str">
        <f t="shared" si="3"/>
        <v>1383</v>
      </c>
      <c r="N1421" s="1"/>
      <c r="O1421" s="13">
        <v>178.0</v>
      </c>
      <c r="P1421" s="5"/>
      <c r="Q1421" s="5"/>
      <c r="R1421" s="6" t="s">
        <v>4460</v>
      </c>
      <c r="S1421" s="5"/>
      <c r="T1421" s="1" t="str">
        <f>IFERROR(__xludf.DUMMYFUNCTION("INDEX(SPLIT(A1421, ""/""), 2)"),"کانون‌های فرهنگی هنری")</f>
        <v>کانون‌های فرهنگی هنری</v>
      </c>
      <c r="U1421" s="1" t="str">
        <f>IFERROR(__xludf.DUMMYFUNCTION("INDEX(SPLIT(A1421, ""/""), 3)"),"روزنامه شریف")</f>
        <v>روزنامه شریف</v>
      </c>
      <c r="V1421" s="1" t="str">
        <f>IFERROR(__xludf.DUMMYFUNCTION("INDEX(SPLIT(A1421, ""/""), 4)"),"#REF!")</f>
        <v>#REF!</v>
      </c>
    </row>
    <row r="1422">
      <c r="A1422" s="1" t="s">
        <v>4070</v>
      </c>
      <c r="B1422" s="1" t="s">
        <v>1288</v>
      </c>
      <c r="C1422" s="1" t="s">
        <v>21</v>
      </c>
      <c r="D1422" s="4" t="s">
        <v>4461</v>
      </c>
      <c r="E1422" s="1" t="s">
        <v>4072</v>
      </c>
      <c r="F1422" s="1" t="s">
        <v>71</v>
      </c>
      <c r="G1422" s="1" t="s">
        <v>4149</v>
      </c>
      <c r="H1422" s="1" t="s">
        <v>4462</v>
      </c>
      <c r="I1422" s="1" t="str">
        <f t="shared" si="1"/>
        <v>25</v>
      </c>
      <c r="J1422" s="5"/>
      <c r="K1422" s="1" t="str">
        <f t="shared" si="2"/>
        <v>1</v>
      </c>
      <c r="L1422" s="5"/>
      <c r="M1422" s="2" t="str">
        <f t="shared" si="3"/>
        <v>1383</v>
      </c>
      <c r="N1422" s="1"/>
      <c r="O1422" s="13">
        <v>179.0</v>
      </c>
      <c r="P1422" s="5"/>
      <c r="Q1422" s="5"/>
      <c r="R1422" s="6" t="s">
        <v>4462</v>
      </c>
      <c r="S1422" s="5"/>
      <c r="T1422" s="1" t="str">
        <f>IFERROR(__xludf.DUMMYFUNCTION("INDEX(SPLIT(A1422, ""/""), 2)"),"کانون‌های فرهنگی هنری")</f>
        <v>کانون‌های فرهنگی هنری</v>
      </c>
      <c r="U1422" s="1" t="str">
        <f>IFERROR(__xludf.DUMMYFUNCTION("INDEX(SPLIT(A1422, ""/""), 3)"),"روزنامه شریف")</f>
        <v>روزنامه شریف</v>
      </c>
      <c r="V1422" s="1" t="str">
        <f>IFERROR(__xludf.DUMMYFUNCTION("INDEX(SPLIT(A1422, ""/""), 4)"),"#REF!")</f>
        <v>#REF!</v>
      </c>
    </row>
    <row r="1423">
      <c r="A1423" s="1" t="s">
        <v>4070</v>
      </c>
      <c r="B1423" s="1" t="s">
        <v>1291</v>
      </c>
      <c r="C1423" s="1" t="s">
        <v>21</v>
      </c>
      <c r="D1423" s="4" t="s">
        <v>4463</v>
      </c>
      <c r="E1423" s="1" t="s">
        <v>4072</v>
      </c>
      <c r="F1423" s="1" t="s">
        <v>71</v>
      </c>
      <c r="G1423" s="1" t="s">
        <v>4149</v>
      </c>
      <c r="H1423" s="1" t="s">
        <v>4464</v>
      </c>
      <c r="I1423" s="1" t="str">
        <f t="shared" si="1"/>
        <v>29</v>
      </c>
      <c r="J1423" s="5"/>
      <c r="K1423" s="1" t="str">
        <f t="shared" si="2"/>
        <v>1</v>
      </c>
      <c r="L1423" s="5"/>
      <c r="M1423" s="2" t="str">
        <f t="shared" si="3"/>
        <v>1383</v>
      </c>
      <c r="N1423" s="1"/>
      <c r="O1423" s="13">
        <v>180.0</v>
      </c>
      <c r="P1423" s="5"/>
      <c r="Q1423" s="5"/>
      <c r="R1423" s="6" t="s">
        <v>4464</v>
      </c>
      <c r="S1423" s="5"/>
      <c r="T1423" s="1" t="str">
        <f>IFERROR(__xludf.DUMMYFUNCTION("INDEX(SPLIT(A1423, ""/""), 2)"),"کانون‌های فرهنگی هنری")</f>
        <v>کانون‌های فرهنگی هنری</v>
      </c>
      <c r="U1423" s="1" t="str">
        <f>IFERROR(__xludf.DUMMYFUNCTION("INDEX(SPLIT(A1423, ""/""), 3)"),"روزنامه شریف")</f>
        <v>روزنامه شریف</v>
      </c>
      <c r="V1423" s="1" t="str">
        <f>IFERROR(__xludf.DUMMYFUNCTION("INDEX(SPLIT(A1423, ""/""), 4)"),"#REF!")</f>
        <v>#REF!</v>
      </c>
    </row>
    <row r="1424">
      <c r="A1424" s="1" t="s">
        <v>4070</v>
      </c>
      <c r="B1424" s="1" t="s">
        <v>1295</v>
      </c>
      <c r="C1424" s="1" t="s">
        <v>21</v>
      </c>
      <c r="D1424" s="4" t="s">
        <v>4465</v>
      </c>
      <c r="E1424" s="1" t="s">
        <v>4072</v>
      </c>
      <c r="F1424" s="1" t="s">
        <v>71</v>
      </c>
      <c r="G1424" s="1" t="s">
        <v>4149</v>
      </c>
      <c r="H1424" s="7" t="s">
        <v>4466</v>
      </c>
      <c r="I1424" s="1" t="str">
        <f t="shared" si="1"/>
        <v>5</v>
      </c>
      <c r="J1424" s="5"/>
      <c r="K1424" s="1" t="str">
        <f t="shared" si="2"/>
        <v>2</v>
      </c>
      <c r="L1424" s="5"/>
      <c r="M1424" s="2" t="str">
        <f t="shared" si="3"/>
        <v>1383</v>
      </c>
      <c r="N1424" s="1"/>
      <c r="O1424" s="13">
        <v>181.0</v>
      </c>
      <c r="P1424" s="5"/>
      <c r="Q1424" s="5"/>
      <c r="R1424" s="8" t="s">
        <v>4466</v>
      </c>
      <c r="S1424" s="5"/>
      <c r="T1424" s="1" t="str">
        <f>IFERROR(__xludf.DUMMYFUNCTION("INDEX(SPLIT(A1424, ""/""), 2)"),"کانون‌های فرهنگی هنری")</f>
        <v>کانون‌های فرهنگی هنری</v>
      </c>
      <c r="U1424" s="1" t="str">
        <f>IFERROR(__xludf.DUMMYFUNCTION("INDEX(SPLIT(A1424, ""/""), 3)"),"روزنامه شریف")</f>
        <v>روزنامه شریف</v>
      </c>
      <c r="V1424" s="1" t="str">
        <f>IFERROR(__xludf.DUMMYFUNCTION("INDEX(SPLIT(A1424, ""/""), 4)"),"#REF!")</f>
        <v>#REF!</v>
      </c>
    </row>
    <row r="1425">
      <c r="A1425" s="1" t="s">
        <v>4070</v>
      </c>
      <c r="B1425" s="1" t="s">
        <v>1298</v>
      </c>
      <c r="C1425" s="1" t="s">
        <v>21</v>
      </c>
      <c r="D1425" s="4" t="s">
        <v>4467</v>
      </c>
      <c r="E1425" s="1" t="s">
        <v>4072</v>
      </c>
      <c r="F1425" s="1" t="s">
        <v>71</v>
      </c>
      <c r="G1425" s="1" t="s">
        <v>4149</v>
      </c>
      <c r="H1425" s="7" t="s">
        <v>4468</v>
      </c>
      <c r="I1425" s="1" t="str">
        <f t="shared" si="1"/>
        <v>8</v>
      </c>
      <c r="J1425" s="5"/>
      <c r="K1425" s="1" t="str">
        <f t="shared" si="2"/>
        <v>2</v>
      </c>
      <c r="L1425" s="5"/>
      <c r="M1425" s="2" t="str">
        <f t="shared" si="3"/>
        <v>1383</v>
      </c>
      <c r="N1425" s="1"/>
      <c r="O1425" s="13">
        <v>182.0</v>
      </c>
      <c r="P1425" s="5"/>
      <c r="Q1425" s="5"/>
      <c r="R1425" s="8" t="s">
        <v>4468</v>
      </c>
      <c r="S1425" s="5"/>
      <c r="T1425" s="1" t="str">
        <f>IFERROR(__xludf.DUMMYFUNCTION("INDEX(SPLIT(A1425, ""/""), 2)"),"کانون‌های فرهنگی هنری")</f>
        <v>کانون‌های فرهنگی هنری</v>
      </c>
      <c r="U1425" s="1" t="str">
        <f>IFERROR(__xludf.DUMMYFUNCTION("INDEX(SPLIT(A1425, ""/""), 3)"),"روزنامه شریف")</f>
        <v>روزنامه شریف</v>
      </c>
      <c r="V1425" s="1" t="str">
        <f>IFERROR(__xludf.DUMMYFUNCTION("INDEX(SPLIT(A1425, ""/""), 4)"),"#REF!")</f>
        <v>#REF!</v>
      </c>
    </row>
    <row r="1426">
      <c r="A1426" s="1" t="s">
        <v>4070</v>
      </c>
      <c r="B1426" s="1" t="s">
        <v>1301</v>
      </c>
      <c r="C1426" s="1" t="s">
        <v>21</v>
      </c>
      <c r="D1426" s="4" t="s">
        <v>4469</v>
      </c>
      <c r="E1426" s="1" t="s">
        <v>4072</v>
      </c>
      <c r="F1426" s="1" t="s">
        <v>71</v>
      </c>
      <c r="G1426" s="1" t="s">
        <v>4149</v>
      </c>
      <c r="H1426" s="7" t="s">
        <v>4470</v>
      </c>
      <c r="I1426" s="1" t="str">
        <f t="shared" si="1"/>
        <v>12</v>
      </c>
      <c r="J1426" s="5"/>
      <c r="K1426" s="1" t="str">
        <f t="shared" si="2"/>
        <v>2</v>
      </c>
      <c r="L1426" s="5"/>
      <c r="M1426" s="2" t="str">
        <f t="shared" si="3"/>
        <v>1383</v>
      </c>
      <c r="N1426" s="1"/>
      <c r="O1426" s="13">
        <v>183.0</v>
      </c>
      <c r="P1426" s="5"/>
      <c r="Q1426" s="5"/>
      <c r="R1426" s="8" t="s">
        <v>4470</v>
      </c>
      <c r="S1426" s="5"/>
      <c r="T1426" s="1" t="str">
        <f>IFERROR(__xludf.DUMMYFUNCTION("INDEX(SPLIT(A1426, ""/""), 2)"),"کانون‌های فرهنگی هنری")</f>
        <v>کانون‌های فرهنگی هنری</v>
      </c>
      <c r="U1426" s="1" t="str">
        <f>IFERROR(__xludf.DUMMYFUNCTION("INDEX(SPLIT(A1426, ""/""), 3)"),"روزنامه شریف")</f>
        <v>روزنامه شریف</v>
      </c>
      <c r="V1426" s="1" t="str">
        <f>IFERROR(__xludf.DUMMYFUNCTION("INDEX(SPLIT(A1426, ""/""), 4)"),"#REF!")</f>
        <v>#REF!</v>
      </c>
    </row>
    <row r="1427">
      <c r="A1427" s="1" t="s">
        <v>4070</v>
      </c>
      <c r="B1427" s="1" t="s">
        <v>1304</v>
      </c>
      <c r="C1427" s="1" t="s">
        <v>21</v>
      </c>
      <c r="D1427" s="4" t="s">
        <v>4471</v>
      </c>
      <c r="E1427" s="1" t="s">
        <v>4072</v>
      </c>
      <c r="F1427" s="1" t="s">
        <v>71</v>
      </c>
      <c r="G1427" s="1" t="s">
        <v>4149</v>
      </c>
      <c r="H1427" s="1" t="s">
        <v>857</v>
      </c>
      <c r="I1427" s="1" t="str">
        <f t="shared" si="1"/>
        <v>15</v>
      </c>
      <c r="J1427" s="5"/>
      <c r="K1427" s="1" t="str">
        <f t="shared" si="2"/>
        <v>2</v>
      </c>
      <c r="L1427" s="5"/>
      <c r="M1427" s="2" t="str">
        <f t="shared" si="3"/>
        <v>1383</v>
      </c>
      <c r="N1427" s="1"/>
      <c r="O1427" s="13">
        <v>184.0</v>
      </c>
      <c r="P1427" s="5"/>
      <c r="Q1427" s="5"/>
      <c r="R1427" s="6" t="s">
        <v>857</v>
      </c>
      <c r="S1427" s="5"/>
      <c r="T1427" s="1" t="str">
        <f>IFERROR(__xludf.DUMMYFUNCTION("INDEX(SPLIT(A1427, ""/""), 2)"),"کانون‌های فرهنگی هنری")</f>
        <v>کانون‌های فرهنگی هنری</v>
      </c>
      <c r="U1427" s="1" t="str">
        <f>IFERROR(__xludf.DUMMYFUNCTION("INDEX(SPLIT(A1427, ""/""), 3)"),"روزنامه شریف")</f>
        <v>روزنامه شریف</v>
      </c>
      <c r="V1427" s="1" t="str">
        <f>IFERROR(__xludf.DUMMYFUNCTION("INDEX(SPLIT(A1427, ""/""), 4)"),"#REF!")</f>
        <v>#REF!</v>
      </c>
    </row>
    <row r="1428">
      <c r="A1428" s="1" t="s">
        <v>4070</v>
      </c>
      <c r="B1428" s="1" t="s">
        <v>1307</v>
      </c>
      <c r="C1428" s="1" t="s">
        <v>21</v>
      </c>
      <c r="D1428" s="4" t="s">
        <v>4472</v>
      </c>
      <c r="E1428" s="1" t="s">
        <v>4072</v>
      </c>
      <c r="F1428" s="1" t="s">
        <v>71</v>
      </c>
      <c r="G1428" s="1" t="s">
        <v>4149</v>
      </c>
      <c r="H1428" s="1" t="s">
        <v>4473</v>
      </c>
      <c r="I1428" s="1" t="str">
        <f t="shared" si="1"/>
        <v>19</v>
      </c>
      <c r="J1428" s="5"/>
      <c r="K1428" s="1" t="str">
        <f t="shared" si="2"/>
        <v>2</v>
      </c>
      <c r="L1428" s="5"/>
      <c r="M1428" s="2" t="str">
        <f t="shared" si="3"/>
        <v>1383</v>
      </c>
      <c r="N1428" s="1"/>
      <c r="O1428" s="13">
        <v>185.0</v>
      </c>
      <c r="P1428" s="5"/>
      <c r="Q1428" s="5"/>
      <c r="R1428" s="6" t="s">
        <v>4473</v>
      </c>
      <c r="S1428" s="5"/>
      <c r="T1428" s="1" t="str">
        <f>IFERROR(__xludf.DUMMYFUNCTION("INDEX(SPLIT(A1428, ""/""), 2)"),"کانون‌های فرهنگی هنری")</f>
        <v>کانون‌های فرهنگی هنری</v>
      </c>
      <c r="U1428" s="1" t="str">
        <f>IFERROR(__xludf.DUMMYFUNCTION("INDEX(SPLIT(A1428, ""/""), 3)"),"روزنامه شریف")</f>
        <v>روزنامه شریف</v>
      </c>
      <c r="V1428" s="1" t="str">
        <f>IFERROR(__xludf.DUMMYFUNCTION("INDEX(SPLIT(A1428, ""/""), 4)"),"#REF!")</f>
        <v>#REF!</v>
      </c>
    </row>
    <row r="1429">
      <c r="A1429" s="1" t="s">
        <v>4070</v>
      </c>
      <c r="B1429" s="1" t="s">
        <v>1310</v>
      </c>
      <c r="C1429" s="1" t="s">
        <v>21</v>
      </c>
      <c r="D1429" s="4" t="s">
        <v>4474</v>
      </c>
      <c r="E1429" s="1" t="s">
        <v>4072</v>
      </c>
      <c r="F1429" s="1" t="s">
        <v>71</v>
      </c>
      <c r="G1429" s="1" t="s">
        <v>4149</v>
      </c>
      <c r="H1429" s="1" t="s">
        <v>4475</v>
      </c>
      <c r="I1429" s="1" t="str">
        <f t="shared" si="1"/>
        <v>22</v>
      </c>
      <c r="J1429" s="5"/>
      <c r="K1429" s="1" t="str">
        <f t="shared" si="2"/>
        <v>2</v>
      </c>
      <c r="L1429" s="5"/>
      <c r="M1429" s="2" t="str">
        <f t="shared" si="3"/>
        <v>1383</v>
      </c>
      <c r="N1429" s="1"/>
      <c r="O1429" s="13">
        <v>186.0</v>
      </c>
      <c r="P1429" s="5"/>
      <c r="Q1429" s="5"/>
      <c r="R1429" s="6" t="s">
        <v>4475</v>
      </c>
      <c r="S1429" s="5"/>
      <c r="T1429" s="1" t="str">
        <f>IFERROR(__xludf.DUMMYFUNCTION("INDEX(SPLIT(A1429, ""/""), 2)"),"کانون‌های فرهنگی هنری")</f>
        <v>کانون‌های فرهنگی هنری</v>
      </c>
      <c r="U1429" s="1" t="str">
        <f>IFERROR(__xludf.DUMMYFUNCTION("INDEX(SPLIT(A1429, ""/""), 3)"),"روزنامه شریف")</f>
        <v>روزنامه شریف</v>
      </c>
      <c r="V1429" s="1" t="str">
        <f>IFERROR(__xludf.DUMMYFUNCTION("INDEX(SPLIT(A1429, ""/""), 4)"),"#REF!")</f>
        <v>#REF!</v>
      </c>
    </row>
    <row r="1430">
      <c r="A1430" s="1" t="s">
        <v>4070</v>
      </c>
      <c r="B1430" s="1" t="s">
        <v>1313</v>
      </c>
      <c r="C1430" s="1" t="s">
        <v>21</v>
      </c>
      <c r="D1430" s="4" t="s">
        <v>4476</v>
      </c>
      <c r="E1430" s="1" t="s">
        <v>4072</v>
      </c>
      <c r="F1430" s="1" t="s">
        <v>71</v>
      </c>
      <c r="G1430" s="1" t="s">
        <v>4149</v>
      </c>
      <c r="H1430" s="1" t="s">
        <v>4477</v>
      </c>
      <c r="I1430" s="1" t="str">
        <f t="shared" si="1"/>
        <v>26</v>
      </c>
      <c r="J1430" s="5"/>
      <c r="K1430" s="1" t="str">
        <f t="shared" si="2"/>
        <v>2</v>
      </c>
      <c r="L1430" s="5"/>
      <c r="M1430" s="2" t="str">
        <f t="shared" si="3"/>
        <v>1383</v>
      </c>
      <c r="N1430" s="1"/>
      <c r="O1430" s="13">
        <v>187.0</v>
      </c>
      <c r="P1430" s="5"/>
      <c r="Q1430" s="5"/>
      <c r="R1430" s="6" t="s">
        <v>4477</v>
      </c>
      <c r="S1430" s="5"/>
      <c r="T1430" s="1" t="str">
        <f>IFERROR(__xludf.DUMMYFUNCTION("INDEX(SPLIT(A1430, ""/""), 2)"),"کانون‌های فرهنگی هنری")</f>
        <v>کانون‌های فرهنگی هنری</v>
      </c>
      <c r="U1430" s="1" t="str">
        <f>IFERROR(__xludf.DUMMYFUNCTION("INDEX(SPLIT(A1430, ""/""), 3)"),"روزنامه شریف")</f>
        <v>روزنامه شریف</v>
      </c>
      <c r="V1430" s="1" t="str">
        <f>IFERROR(__xludf.DUMMYFUNCTION("INDEX(SPLIT(A1430, ""/""), 4)"),"#REF!")</f>
        <v>#REF!</v>
      </c>
    </row>
    <row r="1431">
      <c r="A1431" s="1" t="s">
        <v>4070</v>
      </c>
      <c r="B1431" s="1" t="s">
        <v>1316</v>
      </c>
      <c r="C1431" s="1" t="s">
        <v>21</v>
      </c>
      <c r="D1431" s="4" t="s">
        <v>4478</v>
      </c>
      <c r="E1431" s="1" t="s">
        <v>4072</v>
      </c>
      <c r="F1431" s="1" t="s">
        <v>71</v>
      </c>
      <c r="G1431" s="1" t="s">
        <v>4149</v>
      </c>
      <c r="H1431" s="1" t="s">
        <v>4479</v>
      </c>
      <c r="I1431" s="1" t="str">
        <f t="shared" si="1"/>
        <v>29</v>
      </c>
      <c r="J1431" s="5"/>
      <c r="K1431" s="1" t="str">
        <f t="shared" si="2"/>
        <v>2</v>
      </c>
      <c r="L1431" s="5"/>
      <c r="M1431" s="2" t="str">
        <f t="shared" si="3"/>
        <v>1383</v>
      </c>
      <c r="N1431" s="1"/>
      <c r="O1431" s="13">
        <v>188.0</v>
      </c>
      <c r="P1431" s="5"/>
      <c r="Q1431" s="5"/>
      <c r="R1431" s="6" t="s">
        <v>4479</v>
      </c>
      <c r="S1431" s="5"/>
      <c r="T1431" s="1" t="str">
        <f>IFERROR(__xludf.DUMMYFUNCTION("INDEX(SPLIT(A1431, ""/""), 2)"),"کانون‌های فرهنگی هنری")</f>
        <v>کانون‌های فرهنگی هنری</v>
      </c>
      <c r="U1431" s="1" t="str">
        <f>IFERROR(__xludf.DUMMYFUNCTION("INDEX(SPLIT(A1431, ""/""), 3)"),"روزنامه شریف")</f>
        <v>روزنامه شریف</v>
      </c>
      <c r="V1431" s="1" t="str">
        <f>IFERROR(__xludf.DUMMYFUNCTION("INDEX(SPLIT(A1431, ""/""), 4)"),"#REF!")</f>
        <v>#REF!</v>
      </c>
    </row>
    <row r="1432">
      <c r="A1432" s="1" t="s">
        <v>4070</v>
      </c>
      <c r="B1432" s="1" t="s">
        <v>1319</v>
      </c>
      <c r="C1432" s="1" t="s">
        <v>21</v>
      </c>
      <c r="D1432" s="4" t="s">
        <v>4480</v>
      </c>
      <c r="E1432" s="1" t="s">
        <v>4072</v>
      </c>
      <c r="F1432" s="1" t="s">
        <v>71</v>
      </c>
      <c r="G1432" s="1" t="s">
        <v>4149</v>
      </c>
      <c r="H1432" s="7" t="s">
        <v>4481</v>
      </c>
      <c r="I1432" s="1" t="str">
        <f t="shared" si="1"/>
        <v>2</v>
      </c>
      <c r="J1432" s="5"/>
      <c r="K1432" s="1" t="str">
        <f t="shared" si="2"/>
        <v>3</v>
      </c>
      <c r="L1432" s="5"/>
      <c r="M1432" s="2" t="str">
        <f t="shared" si="3"/>
        <v>1383</v>
      </c>
      <c r="N1432" s="1"/>
      <c r="O1432" s="13">
        <v>189.0</v>
      </c>
      <c r="P1432" s="5"/>
      <c r="Q1432" s="5"/>
      <c r="R1432" s="8" t="s">
        <v>4481</v>
      </c>
      <c r="S1432" s="5"/>
      <c r="T1432" s="1" t="str">
        <f>IFERROR(__xludf.DUMMYFUNCTION("INDEX(SPLIT(A1432, ""/""), 2)"),"کانون‌های فرهنگی هنری")</f>
        <v>کانون‌های فرهنگی هنری</v>
      </c>
      <c r="U1432" s="1" t="str">
        <f>IFERROR(__xludf.DUMMYFUNCTION("INDEX(SPLIT(A1432, ""/""), 3)"),"روزنامه شریف")</f>
        <v>روزنامه شریف</v>
      </c>
      <c r="V1432" s="1" t="str">
        <f>IFERROR(__xludf.DUMMYFUNCTION("INDEX(SPLIT(A1432, ""/""), 4)"),"#REF!")</f>
        <v>#REF!</v>
      </c>
    </row>
    <row r="1433">
      <c r="A1433" s="1" t="s">
        <v>4070</v>
      </c>
      <c r="B1433" s="1" t="s">
        <v>1321</v>
      </c>
      <c r="C1433" s="1" t="s">
        <v>21</v>
      </c>
      <c r="D1433" s="4" t="s">
        <v>4482</v>
      </c>
      <c r="E1433" s="1" t="s">
        <v>4072</v>
      </c>
      <c r="F1433" s="1" t="s">
        <v>71</v>
      </c>
      <c r="G1433" s="1" t="s">
        <v>4149</v>
      </c>
      <c r="H1433" s="7" t="s">
        <v>4483</v>
      </c>
      <c r="I1433" s="1" t="str">
        <f t="shared" si="1"/>
        <v>5</v>
      </c>
      <c r="J1433" s="5"/>
      <c r="K1433" s="1" t="str">
        <f t="shared" si="2"/>
        <v>3</v>
      </c>
      <c r="L1433" s="5"/>
      <c r="M1433" s="2" t="str">
        <f t="shared" si="3"/>
        <v>1383</v>
      </c>
      <c r="N1433" s="1"/>
      <c r="O1433" s="13">
        <v>190.0</v>
      </c>
      <c r="P1433" s="5"/>
      <c r="Q1433" s="5"/>
      <c r="R1433" s="8" t="s">
        <v>4483</v>
      </c>
      <c r="S1433" s="5"/>
      <c r="T1433" s="1" t="str">
        <f>IFERROR(__xludf.DUMMYFUNCTION("INDEX(SPLIT(A1433, ""/""), 2)"),"کانون‌های فرهنگی هنری")</f>
        <v>کانون‌های فرهنگی هنری</v>
      </c>
      <c r="U1433" s="1" t="str">
        <f>IFERROR(__xludf.DUMMYFUNCTION("INDEX(SPLIT(A1433, ""/""), 3)"),"روزنامه شریف")</f>
        <v>روزنامه شریف</v>
      </c>
      <c r="V1433" s="1" t="str">
        <f>IFERROR(__xludf.DUMMYFUNCTION("INDEX(SPLIT(A1433, ""/""), 4)"),"#REF!")</f>
        <v>#REF!</v>
      </c>
    </row>
    <row r="1434">
      <c r="A1434" s="1" t="s">
        <v>4070</v>
      </c>
      <c r="B1434" s="1" t="s">
        <v>1324</v>
      </c>
      <c r="C1434" s="1" t="s">
        <v>21</v>
      </c>
      <c r="D1434" s="12" t="s">
        <v>4484</v>
      </c>
      <c r="E1434" s="1" t="s">
        <v>4072</v>
      </c>
      <c r="F1434" s="1" t="s">
        <v>71</v>
      </c>
      <c r="G1434" s="1" t="s">
        <v>4149</v>
      </c>
      <c r="H1434" s="7" t="s">
        <v>4485</v>
      </c>
      <c r="I1434" s="1" t="str">
        <f t="shared" si="1"/>
        <v>9</v>
      </c>
      <c r="J1434" s="5"/>
      <c r="K1434" s="1" t="str">
        <f t="shared" si="2"/>
        <v>3</v>
      </c>
      <c r="L1434" s="5"/>
      <c r="M1434" s="2" t="str">
        <f t="shared" si="3"/>
        <v>1383</v>
      </c>
      <c r="N1434" s="1"/>
      <c r="O1434" s="13">
        <v>191.0</v>
      </c>
      <c r="P1434" s="5"/>
      <c r="Q1434" s="5"/>
      <c r="R1434" s="8" t="s">
        <v>4485</v>
      </c>
      <c r="S1434" s="5"/>
      <c r="T1434" s="1" t="str">
        <f>IFERROR(__xludf.DUMMYFUNCTION("INDEX(SPLIT(A1434, ""/""), 2)"),"کانون‌های فرهنگی هنری")</f>
        <v>کانون‌های فرهنگی هنری</v>
      </c>
      <c r="U1434" s="1" t="str">
        <f>IFERROR(__xludf.DUMMYFUNCTION("INDEX(SPLIT(A1434, ""/""), 3)"),"روزنامه شریف")</f>
        <v>روزنامه شریف</v>
      </c>
      <c r="V1434" s="1" t="str">
        <f>IFERROR(__xludf.DUMMYFUNCTION("INDEX(SPLIT(A1434, ""/""), 4)"),"#REF!")</f>
        <v>#REF!</v>
      </c>
    </row>
    <row r="1435">
      <c r="A1435" s="1" t="s">
        <v>4070</v>
      </c>
      <c r="B1435" s="1" t="s">
        <v>1328</v>
      </c>
      <c r="C1435" s="1" t="s">
        <v>21</v>
      </c>
      <c r="D1435" s="4" t="s">
        <v>4486</v>
      </c>
      <c r="E1435" s="1" t="s">
        <v>4072</v>
      </c>
      <c r="F1435" s="1" t="s">
        <v>4487</v>
      </c>
      <c r="G1435" s="1" t="s">
        <v>4488</v>
      </c>
      <c r="H1435" s="1" t="s">
        <v>4489</v>
      </c>
      <c r="I1435" s="1" t="str">
        <f t="shared" si="1"/>
        <v>23</v>
      </c>
      <c r="J1435" s="5"/>
      <c r="K1435" s="1" t="str">
        <f t="shared" si="2"/>
        <v>4</v>
      </c>
      <c r="L1435" s="5"/>
      <c r="M1435" s="2" t="str">
        <f t="shared" si="3"/>
        <v>1383</v>
      </c>
      <c r="N1435" s="1"/>
      <c r="O1435" s="13">
        <v>192.0</v>
      </c>
      <c r="P1435" s="5"/>
      <c r="Q1435" s="5"/>
      <c r="R1435" s="6" t="s">
        <v>4489</v>
      </c>
      <c r="S1435" s="5"/>
      <c r="T1435" s="1" t="str">
        <f>IFERROR(__xludf.DUMMYFUNCTION("INDEX(SPLIT(A1435, ""/""), 2)"),"کانون‌های فرهنگی هنری")</f>
        <v>کانون‌های فرهنگی هنری</v>
      </c>
      <c r="U1435" s="1" t="str">
        <f>IFERROR(__xludf.DUMMYFUNCTION("INDEX(SPLIT(A1435, ""/""), 3)"),"روزنامه شریف")</f>
        <v>روزنامه شریف</v>
      </c>
      <c r="V1435" s="1" t="str">
        <f>IFERROR(__xludf.DUMMYFUNCTION("INDEX(SPLIT(A1435, ""/""), 4)"),"#REF!")</f>
        <v>#REF!</v>
      </c>
    </row>
    <row r="1436">
      <c r="A1436" s="1" t="s">
        <v>4070</v>
      </c>
      <c r="B1436" s="1" t="s">
        <v>1330</v>
      </c>
      <c r="C1436" s="1" t="s">
        <v>21</v>
      </c>
      <c r="D1436" s="4" t="s">
        <v>4490</v>
      </c>
      <c r="E1436" s="1" t="s">
        <v>4072</v>
      </c>
      <c r="F1436" s="1" t="s">
        <v>4487</v>
      </c>
      <c r="G1436" s="1" t="s">
        <v>752</v>
      </c>
      <c r="H1436" s="1" t="s">
        <v>4491</v>
      </c>
      <c r="I1436" s="1" t="str">
        <f t="shared" si="1"/>
        <v>30</v>
      </c>
      <c r="J1436" s="5"/>
      <c r="K1436" s="1" t="str">
        <f t="shared" si="2"/>
        <v>4</v>
      </c>
      <c r="L1436" s="5"/>
      <c r="M1436" s="2" t="str">
        <f t="shared" si="3"/>
        <v>1383</v>
      </c>
      <c r="N1436" s="1"/>
      <c r="O1436" s="13">
        <v>193.0</v>
      </c>
      <c r="P1436" s="5"/>
      <c r="Q1436" s="5"/>
      <c r="R1436" s="6" t="s">
        <v>4491</v>
      </c>
      <c r="S1436" s="5"/>
      <c r="T1436" s="1" t="str">
        <f>IFERROR(__xludf.DUMMYFUNCTION("INDEX(SPLIT(A1436, ""/""), 2)"),"کانون‌های فرهنگی هنری")</f>
        <v>کانون‌های فرهنگی هنری</v>
      </c>
      <c r="U1436" s="1" t="str">
        <f>IFERROR(__xludf.DUMMYFUNCTION("INDEX(SPLIT(A1436, ""/""), 3)"),"روزنامه شریف")</f>
        <v>روزنامه شریف</v>
      </c>
      <c r="V1436" s="1" t="str">
        <f>IFERROR(__xludf.DUMMYFUNCTION("INDEX(SPLIT(A1436, ""/""), 4)"),"#REF!")</f>
        <v>#REF!</v>
      </c>
    </row>
    <row r="1437">
      <c r="A1437" s="1" t="s">
        <v>4070</v>
      </c>
      <c r="B1437" s="1" t="s">
        <v>1333</v>
      </c>
      <c r="C1437" s="1" t="s">
        <v>21</v>
      </c>
      <c r="D1437" s="4" t="s">
        <v>4492</v>
      </c>
      <c r="E1437" s="1" t="s">
        <v>4072</v>
      </c>
      <c r="F1437" s="1" t="s">
        <v>4487</v>
      </c>
      <c r="G1437" s="1" t="s">
        <v>752</v>
      </c>
      <c r="H1437" s="7" t="s">
        <v>4493</v>
      </c>
      <c r="I1437" s="1" t="str">
        <f t="shared" si="1"/>
        <v>6</v>
      </c>
      <c r="J1437" s="5"/>
      <c r="K1437" s="1" t="str">
        <f t="shared" si="2"/>
        <v>5</v>
      </c>
      <c r="L1437" s="5"/>
      <c r="M1437" s="2" t="str">
        <f t="shared" si="3"/>
        <v>1383</v>
      </c>
      <c r="N1437" s="1"/>
      <c r="O1437" s="13">
        <v>194.0</v>
      </c>
      <c r="P1437" s="5"/>
      <c r="Q1437" s="5"/>
      <c r="R1437" s="8" t="s">
        <v>4493</v>
      </c>
      <c r="S1437" s="5"/>
      <c r="T1437" s="1" t="str">
        <f>IFERROR(__xludf.DUMMYFUNCTION("INDEX(SPLIT(A1437, ""/""), 2)"),"کانون‌های فرهنگی هنری")</f>
        <v>کانون‌های فرهنگی هنری</v>
      </c>
      <c r="U1437" s="1" t="str">
        <f>IFERROR(__xludf.DUMMYFUNCTION("INDEX(SPLIT(A1437, ""/""), 3)"),"روزنامه شریف")</f>
        <v>روزنامه شریف</v>
      </c>
      <c r="V1437" s="1" t="str">
        <f>IFERROR(__xludf.DUMMYFUNCTION("INDEX(SPLIT(A1437, ""/""), 4)"),"#REF!")</f>
        <v>#REF!</v>
      </c>
    </row>
    <row r="1438">
      <c r="A1438" s="1" t="s">
        <v>4070</v>
      </c>
      <c r="B1438" s="1" t="s">
        <v>1336</v>
      </c>
      <c r="C1438" s="1" t="s">
        <v>21</v>
      </c>
      <c r="D1438" s="4" t="s">
        <v>4494</v>
      </c>
      <c r="E1438" s="1" t="s">
        <v>4072</v>
      </c>
      <c r="F1438" s="1" t="s">
        <v>4487</v>
      </c>
      <c r="G1438" s="1" t="s">
        <v>752</v>
      </c>
      <c r="H1438" s="1" t="s">
        <v>4495</v>
      </c>
      <c r="I1438" s="1" t="str">
        <f t="shared" si="1"/>
        <v>13</v>
      </c>
      <c r="J1438" s="5"/>
      <c r="K1438" s="1" t="str">
        <f t="shared" si="2"/>
        <v>5</v>
      </c>
      <c r="L1438" s="5"/>
      <c r="M1438" s="2" t="str">
        <f t="shared" si="3"/>
        <v>1383</v>
      </c>
      <c r="N1438" s="1"/>
      <c r="O1438" s="13">
        <v>195.0</v>
      </c>
      <c r="P1438" s="5"/>
      <c r="Q1438" s="5"/>
      <c r="R1438" s="6" t="s">
        <v>4495</v>
      </c>
      <c r="S1438" s="5"/>
      <c r="T1438" s="1" t="str">
        <f>IFERROR(__xludf.DUMMYFUNCTION("INDEX(SPLIT(A1438, ""/""), 2)"),"کانون‌های فرهنگی هنری")</f>
        <v>کانون‌های فرهنگی هنری</v>
      </c>
      <c r="U1438" s="1" t="str">
        <f>IFERROR(__xludf.DUMMYFUNCTION("INDEX(SPLIT(A1438, ""/""), 3)"),"روزنامه شریف")</f>
        <v>روزنامه شریف</v>
      </c>
      <c r="V1438" s="1" t="str">
        <f>IFERROR(__xludf.DUMMYFUNCTION("INDEX(SPLIT(A1438, ""/""), 4)"),"#REF!")</f>
        <v>#REF!</v>
      </c>
    </row>
    <row r="1439">
      <c r="A1439" s="1" t="s">
        <v>4070</v>
      </c>
      <c r="B1439" s="1" t="s">
        <v>1339</v>
      </c>
      <c r="C1439" s="1" t="s">
        <v>21</v>
      </c>
      <c r="D1439" s="4" t="s">
        <v>4496</v>
      </c>
      <c r="E1439" s="1" t="s">
        <v>4072</v>
      </c>
      <c r="F1439" s="1" t="s">
        <v>4487</v>
      </c>
      <c r="G1439" s="1" t="s">
        <v>752</v>
      </c>
      <c r="H1439" s="1" t="s">
        <v>4497</v>
      </c>
      <c r="I1439" s="1" t="str">
        <f t="shared" si="1"/>
        <v>20</v>
      </c>
      <c r="J1439" s="5"/>
      <c r="K1439" s="1" t="str">
        <f t="shared" si="2"/>
        <v>5</v>
      </c>
      <c r="L1439" s="5"/>
      <c r="M1439" s="2" t="str">
        <f t="shared" si="3"/>
        <v>1383</v>
      </c>
      <c r="N1439" s="1"/>
      <c r="O1439" s="13">
        <v>196.0</v>
      </c>
      <c r="P1439" s="5"/>
      <c r="Q1439" s="5"/>
      <c r="R1439" s="6" t="s">
        <v>4497</v>
      </c>
      <c r="S1439" s="5"/>
      <c r="T1439" s="1" t="str">
        <f>IFERROR(__xludf.DUMMYFUNCTION("INDEX(SPLIT(A1439, ""/""), 2)"),"کانون‌های فرهنگی هنری")</f>
        <v>کانون‌های فرهنگی هنری</v>
      </c>
      <c r="U1439" s="1" t="str">
        <f>IFERROR(__xludf.DUMMYFUNCTION("INDEX(SPLIT(A1439, ""/""), 3)"),"روزنامه شریف")</f>
        <v>روزنامه شریف</v>
      </c>
      <c r="V1439" s="1" t="str">
        <f>IFERROR(__xludf.DUMMYFUNCTION("INDEX(SPLIT(A1439, ""/""), 4)"),"#REF!")</f>
        <v>#REF!</v>
      </c>
    </row>
    <row r="1440">
      <c r="A1440" s="1" t="s">
        <v>4070</v>
      </c>
      <c r="B1440" s="1" t="s">
        <v>1341</v>
      </c>
      <c r="C1440" s="1" t="s">
        <v>21</v>
      </c>
      <c r="D1440" s="4" t="s">
        <v>4498</v>
      </c>
      <c r="E1440" s="1" t="s">
        <v>4072</v>
      </c>
      <c r="F1440" s="1" t="s">
        <v>4487</v>
      </c>
      <c r="G1440" s="1" t="s">
        <v>752</v>
      </c>
      <c r="H1440" s="1" t="s">
        <v>4499</v>
      </c>
      <c r="I1440" s="1" t="str">
        <f t="shared" si="1"/>
        <v>27</v>
      </c>
      <c r="J1440" s="5"/>
      <c r="K1440" s="1" t="str">
        <f t="shared" si="2"/>
        <v>5</v>
      </c>
      <c r="L1440" s="5"/>
      <c r="M1440" s="2" t="str">
        <f t="shared" si="3"/>
        <v>1383</v>
      </c>
      <c r="N1440" s="1"/>
      <c r="O1440" s="13">
        <v>197.0</v>
      </c>
      <c r="P1440" s="5"/>
      <c r="Q1440" s="5"/>
      <c r="R1440" s="6" t="s">
        <v>4499</v>
      </c>
      <c r="S1440" s="5"/>
      <c r="T1440" s="1" t="str">
        <f>IFERROR(__xludf.DUMMYFUNCTION("INDEX(SPLIT(A1440, ""/""), 2)"),"کانون‌های فرهنگی هنری")</f>
        <v>کانون‌های فرهنگی هنری</v>
      </c>
      <c r="U1440" s="1" t="str">
        <f>IFERROR(__xludf.DUMMYFUNCTION("INDEX(SPLIT(A1440, ""/""), 3)"),"روزنامه شریف")</f>
        <v>روزنامه شریف</v>
      </c>
      <c r="V1440" s="1" t="str">
        <f>IFERROR(__xludf.DUMMYFUNCTION("INDEX(SPLIT(A1440, ""/""), 4)"),"#REF!")</f>
        <v>#REF!</v>
      </c>
    </row>
    <row r="1441">
      <c r="A1441" s="1" t="s">
        <v>4070</v>
      </c>
      <c r="B1441" s="1" t="s">
        <v>1343</v>
      </c>
      <c r="C1441" s="1" t="s">
        <v>21</v>
      </c>
      <c r="D1441" s="4" t="s">
        <v>4500</v>
      </c>
      <c r="E1441" s="1" t="s">
        <v>4072</v>
      </c>
      <c r="F1441" s="1" t="s">
        <v>4487</v>
      </c>
      <c r="G1441" s="1" t="s">
        <v>752</v>
      </c>
      <c r="H1441" s="7" t="s">
        <v>4501</v>
      </c>
      <c r="I1441" s="1" t="str">
        <f t="shared" si="1"/>
        <v>3</v>
      </c>
      <c r="J1441" s="5"/>
      <c r="K1441" s="1" t="str">
        <f t="shared" si="2"/>
        <v>6</v>
      </c>
      <c r="L1441" s="5"/>
      <c r="M1441" s="2" t="str">
        <f t="shared" si="3"/>
        <v>1383</v>
      </c>
      <c r="N1441" s="1"/>
      <c r="O1441" s="13">
        <v>198.0</v>
      </c>
      <c r="P1441" s="5"/>
      <c r="Q1441" s="5"/>
      <c r="R1441" s="8" t="s">
        <v>4501</v>
      </c>
      <c r="S1441" s="5"/>
      <c r="T1441" s="1" t="str">
        <f>IFERROR(__xludf.DUMMYFUNCTION("INDEX(SPLIT(A1441, ""/""), 2)"),"کانون‌های فرهنگی هنری")</f>
        <v>کانون‌های فرهنگی هنری</v>
      </c>
      <c r="U1441" s="1" t="str">
        <f>IFERROR(__xludf.DUMMYFUNCTION("INDEX(SPLIT(A1441, ""/""), 3)"),"روزنامه شریف")</f>
        <v>روزنامه شریف</v>
      </c>
      <c r="V1441" s="1" t="str">
        <f>IFERROR(__xludf.DUMMYFUNCTION("INDEX(SPLIT(A1441, ""/""), 4)"),"#REF!")</f>
        <v>#REF!</v>
      </c>
    </row>
    <row r="1442">
      <c r="A1442" s="1" t="s">
        <v>4070</v>
      </c>
      <c r="B1442" s="1" t="s">
        <v>1346</v>
      </c>
      <c r="C1442" s="1" t="s">
        <v>21</v>
      </c>
      <c r="D1442" s="4" t="s">
        <v>4502</v>
      </c>
      <c r="E1442" s="1" t="s">
        <v>4072</v>
      </c>
      <c r="F1442" s="1" t="s">
        <v>4487</v>
      </c>
      <c r="G1442" s="1" t="s">
        <v>752</v>
      </c>
      <c r="H1442" s="7" t="s">
        <v>4503</v>
      </c>
      <c r="I1442" s="1" t="str">
        <f t="shared" si="1"/>
        <v>10</v>
      </c>
      <c r="J1442" s="5"/>
      <c r="K1442" s="1" t="str">
        <f t="shared" si="2"/>
        <v>6</v>
      </c>
      <c r="L1442" s="5"/>
      <c r="M1442" s="2" t="str">
        <f t="shared" si="3"/>
        <v>1383</v>
      </c>
      <c r="N1442" s="1"/>
      <c r="O1442" s="13">
        <v>199.0</v>
      </c>
      <c r="P1442" s="5"/>
      <c r="Q1442" s="5"/>
      <c r="R1442" s="8" t="s">
        <v>4503</v>
      </c>
      <c r="S1442" s="5"/>
      <c r="T1442" s="1" t="str">
        <f>IFERROR(__xludf.DUMMYFUNCTION("INDEX(SPLIT(A1442, ""/""), 2)"),"کانون‌های فرهنگی هنری")</f>
        <v>کانون‌های فرهنگی هنری</v>
      </c>
      <c r="U1442" s="1" t="str">
        <f>IFERROR(__xludf.DUMMYFUNCTION("INDEX(SPLIT(A1442, ""/""), 3)"),"روزنامه شریف")</f>
        <v>روزنامه شریف</v>
      </c>
      <c r="V1442" s="1" t="str">
        <f>IFERROR(__xludf.DUMMYFUNCTION("INDEX(SPLIT(A1442, ""/""), 4)"),"#REF!")</f>
        <v>#REF!</v>
      </c>
    </row>
    <row r="1443">
      <c r="A1443" s="1" t="s">
        <v>4070</v>
      </c>
      <c r="B1443" s="1" t="s">
        <v>1348</v>
      </c>
      <c r="C1443" s="1" t="s">
        <v>21</v>
      </c>
      <c r="D1443" s="4" t="s">
        <v>4504</v>
      </c>
      <c r="E1443" s="1" t="s">
        <v>4072</v>
      </c>
      <c r="F1443" s="1" t="s">
        <v>4487</v>
      </c>
      <c r="G1443" s="1" t="s">
        <v>752</v>
      </c>
      <c r="H1443" s="1" t="s">
        <v>4505</v>
      </c>
      <c r="I1443" s="1" t="str">
        <f t="shared" si="1"/>
        <v>17</v>
      </c>
      <c r="J1443" s="5"/>
      <c r="K1443" s="1" t="str">
        <f t="shared" si="2"/>
        <v>6</v>
      </c>
      <c r="L1443" s="5"/>
      <c r="M1443" s="2" t="str">
        <f t="shared" si="3"/>
        <v>1383</v>
      </c>
      <c r="N1443" s="1"/>
      <c r="O1443" s="13">
        <v>200.0</v>
      </c>
      <c r="P1443" s="5"/>
      <c r="Q1443" s="5"/>
      <c r="R1443" s="6" t="s">
        <v>4505</v>
      </c>
      <c r="S1443" s="5"/>
      <c r="T1443" s="1" t="str">
        <f>IFERROR(__xludf.DUMMYFUNCTION("INDEX(SPLIT(A1443, ""/""), 2)"),"کانون‌های فرهنگی هنری")</f>
        <v>کانون‌های فرهنگی هنری</v>
      </c>
      <c r="U1443" s="1" t="str">
        <f>IFERROR(__xludf.DUMMYFUNCTION("INDEX(SPLIT(A1443, ""/""), 3)"),"روزنامه شریف")</f>
        <v>روزنامه شریف</v>
      </c>
      <c r="V1443" s="1" t="str">
        <f>IFERROR(__xludf.DUMMYFUNCTION("INDEX(SPLIT(A1443, ""/""), 4)"),"#REF!")</f>
        <v>#REF!</v>
      </c>
    </row>
    <row r="1444">
      <c r="A1444" s="1" t="s">
        <v>4070</v>
      </c>
      <c r="B1444" s="1" t="s">
        <v>1352</v>
      </c>
      <c r="C1444" s="1" t="s">
        <v>21</v>
      </c>
      <c r="D1444" s="4" t="s">
        <v>4506</v>
      </c>
      <c r="E1444" s="1" t="s">
        <v>4072</v>
      </c>
      <c r="F1444" s="1" t="s">
        <v>4487</v>
      </c>
      <c r="G1444" s="1" t="s">
        <v>752</v>
      </c>
      <c r="H1444" s="1" t="s">
        <v>4507</v>
      </c>
      <c r="I1444" s="1" t="str">
        <f t="shared" si="1"/>
        <v>24</v>
      </c>
      <c r="J1444" s="5"/>
      <c r="K1444" s="1" t="str">
        <f t="shared" si="2"/>
        <v>6</v>
      </c>
      <c r="L1444" s="5"/>
      <c r="M1444" s="2" t="str">
        <f t="shared" si="3"/>
        <v>1383</v>
      </c>
      <c r="N1444" s="1"/>
      <c r="O1444" s="13">
        <v>201.0</v>
      </c>
      <c r="P1444" s="5"/>
      <c r="Q1444" s="5"/>
      <c r="R1444" s="6" t="s">
        <v>4507</v>
      </c>
      <c r="S1444" s="5"/>
      <c r="T1444" s="1" t="str">
        <f>IFERROR(__xludf.DUMMYFUNCTION("INDEX(SPLIT(A1444, ""/""), 2)"),"کانون‌های فرهنگی هنری")</f>
        <v>کانون‌های فرهنگی هنری</v>
      </c>
      <c r="U1444" s="1" t="str">
        <f>IFERROR(__xludf.DUMMYFUNCTION("INDEX(SPLIT(A1444, ""/""), 3)"),"روزنامه شریف")</f>
        <v>روزنامه شریف</v>
      </c>
      <c r="V1444" s="1" t="str">
        <f>IFERROR(__xludf.DUMMYFUNCTION("INDEX(SPLIT(A1444, ""/""), 4)"),"#REF!")</f>
        <v>#REF!</v>
      </c>
    </row>
    <row r="1445">
      <c r="A1445" s="1" t="s">
        <v>4070</v>
      </c>
      <c r="B1445" s="1" t="s">
        <v>1354</v>
      </c>
      <c r="C1445" s="1" t="s">
        <v>21</v>
      </c>
      <c r="D1445" s="4" t="s">
        <v>4508</v>
      </c>
      <c r="E1445" s="1" t="s">
        <v>4072</v>
      </c>
      <c r="F1445" s="1" t="s">
        <v>4487</v>
      </c>
      <c r="G1445" s="1" t="s">
        <v>752</v>
      </c>
      <c r="H1445" s="1" t="s">
        <v>4509</v>
      </c>
      <c r="I1445" s="1" t="str">
        <f t="shared" si="1"/>
        <v>31</v>
      </c>
      <c r="J1445" s="5"/>
      <c r="K1445" s="1" t="str">
        <f t="shared" si="2"/>
        <v>6</v>
      </c>
      <c r="L1445" s="5"/>
      <c r="M1445" s="2" t="str">
        <f t="shared" si="3"/>
        <v>1383</v>
      </c>
      <c r="N1445" s="1"/>
      <c r="O1445" s="13">
        <v>202.0</v>
      </c>
      <c r="P1445" s="5"/>
      <c r="Q1445" s="5"/>
      <c r="R1445" s="6" t="s">
        <v>4509</v>
      </c>
      <c r="S1445" s="5"/>
      <c r="T1445" s="1" t="str">
        <f>IFERROR(__xludf.DUMMYFUNCTION("INDEX(SPLIT(A1445, ""/""), 2)"),"کانون‌های فرهنگی هنری")</f>
        <v>کانون‌های فرهنگی هنری</v>
      </c>
      <c r="U1445" s="1" t="str">
        <f>IFERROR(__xludf.DUMMYFUNCTION("INDEX(SPLIT(A1445, ""/""), 3)"),"روزنامه شریف")</f>
        <v>روزنامه شریف</v>
      </c>
      <c r="V1445" s="1" t="str">
        <f>IFERROR(__xludf.DUMMYFUNCTION("INDEX(SPLIT(A1445, ""/""), 4)"),"#REF!")</f>
        <v>#REF!</v>
      </c>
    </row>
    <row r="1446">
      <c r="A1446" s="1" t="s">
        <v>4070</v>
      </c>
      <c r="B1446" s="1" t="s">
        <v>1356</v>
      </c>
      <c r="C1446" s="1" t="s">
        <v>21</v>
      </c>
      <c r="D1446" s="4" t="s">
        <v>4510</v>
      </c>
      <c r="E1446" s="1" t="s">
        <v>4072</v>
      </c>
      <c r="F1446" s="1" t="s">
        <v>4487</v>
      </c>
      <c r="G1446" s="1" t="s">
        <v>752</v>
      </c>
      <c r="H1446" s="7" t="s">
        <v>4511</v>
      </c>
      <c r="I1446" s="1" t="str">
        <f t="shared" si="1"/>
        <v>4</v>
      </c>
      <c r="J1446" s="5"/>
      <c r="K1446" s="1" t="str">
        <f t="shared" si="2"/>
        <v>7</v>
      </c>
      <c r="L1446" s="5"/>
      <c r="M1446" s="2" t="str">
        <f t="shared" si="3"/>
        <v>1383</v>
      </c>
      <c r="N1446" s="1"/>
      <c r="O1446" s="13">
        <v>203.0</v>
      </c>
      <c r="P1446" s="5"/>
      <c r="Q1446" s="5"/>
      <c r="R1446" s="8" t="s">
        <v>4511</v>
      </c>
      <c r="S1446" s="5"/>
      <c r="T1446" s="1" t="str">
        <f>IFERROR(__xludf.DUMMYFUNCTION("INDEX(SPLIT(A1446, ""/""), 2)"),"کانون‌های فرهنگی هنری")</f>
        <v>کانون‌های فرهنگی هنری</v>
      </c>
      <c r="U1446" s="1" t="str">
        <f>IFERROR(__xludf.DUMMYFUNCTION("INDEX(SPLIT(A1446, ""/""), 3)"),"روزنامه شریف")</f>
        <v>روزنامه شریف</v>
      </c>
      <c r="V1446" s="1" t="str">
        <f>IFERROR(__xludf.DUMMYFUNCTION("INDEX(SPLIT(A1446, ""/""), 4)"),"#REF!")</f>
        <v>#REF!</v>
      </c>
    </row>
    <row r="1447">
      <c r="A1447" s="1" t="s">
        <v>4070</v>
      </c>
      <c r="B1447" s="1" t="s">
        <v>1359</v>
      </c>
      <c r="C1447" s="1" t="s">
        <v>21</v>
      </c>
      <c r="D1447" s="4" t="s">
        <v>4512</v>
      </c>
      <c r="E1447" s="1" t="s">
        <v>4072</v>
      </c>
      <c r="F1447" s="1" t="s">
        <v>4487</v>
      </c>
      <c r="G1447" s="1" t="s">
        <v>752</v>
      </c>
      <c r="H1447" s="7" t="s">
        <v>4513</v>
      </c>
      <c r="I1447" s="1" t="str">
        <f t="shared" si="1"/>
        <v>7</v>
      </c>
      <c r="J1447" s="5"/>
      <c r="K1447" s="1" t="str">
        <f t="shared" si="2"/>
        <v>7</v>
      </c>
      <c r="L1447" s="5"/>
      <c r="M1447" s="2" t="str">
        <f t="shared" si="3"/>
        <v>1383</v>
      </c>
      <c r="N1447" s="1"/>
      <c r="O1447" s="13">
        <v>204.0</v>
      </c>
      <c r="P1447" s="5"/>
      <c r="Q1447" s="5"/>
      <c r="R1447" s="8" t="s">
        <v>4513</v>
      </c>
      <c r="S1447" s="5"/>
      <c r="T1447" s="1" t="str">
        <f>IFERROR(__xludf.DUMMYFUNCTION("INDEX(SPLIT(A1447, ""/""), 2)"),"کانون‌های فرهنگی هنری")</f>
        <v>کانون‌های فرهنگی هنری</v>
      </c>
      <c r="U1447" s="1" t="str">
        <f>IFERROR(__xludf.DUMMYFUNCTION("INDEX(SPLIT(A1447, ""/""), 3)"),"روزنامه شریف")</f>
        <v>روزنامه شریف</v>
      </c>
      <c r="V1447" s="1" t="str">
        <f>IFERROR(__xludf.DUMMYFUNCTION("INDEX(SPLIT(A1447, ""/""), 4)"),"#REF!")</f>
        <v>#REF!</v>
      </c>
    </row>
    <row r="1448">
      <c r="A1448" s="1" t="s">
        <v>4070</v>
      </c>
      <c r="B1448" s="1" t="s">
        <v>1361</v>
      </c>
      <c r="C1448" s="1" t="s">
        <v>21</v>
      </c>
      <c r="D1448" s="4" t="s">
        <v>4514</v>
      </c>
      <c r="E1448" s="1" t="s">
        <v>4072</v>
      </c>
      <c r="F1448" s="1" t="s">
        <v>4487</v>
      </c>
      <c r="G1448" s="1" t="s">
        <v>752</v>
      </c>
      <c r="H1448" s="7" t="s">
        <v>4515</v>
      </c>
      <c r="I1448" s="1" t="str">
        <f t="shared" si="1"/>
        <v>11</v>
      </c>
      <c r="J1448" s="5"/>
      <c r="K1448" s="1" t="str">
        <f t="shared" si="2"/>
        <v>7</v>
      </c>
      <c r="L1448" s="5"/>
      <c r="M1448" s="2" t="str">
        <f t="shared" si="3"/>
        <v>1383</v>
      </c>
      <c r="N1448" s="1"/>
      <c r="O1448" s="13">
        <v>205.0</v>
      </c>
      <c r="P1448" s="5"/>
      <c r="Q1448" s="5"/>
      <c r="R1448" s="8" t="s">
        <v>4515</v>
      </c>
      <c r="S1448" s="5"/>
      <c r="T1448" s="1" t="str">
        <f>IFERROR(__xludf.DUMMYFUNCTION("INDEX(SPLIT(A1448, ""/""), 2)"),"کانون‌های فرهنگی هنری")</f>
        <v>کانون‌های فرهنگی هنری</v>
      </c>
      <c r="U1448" s="1" t="str">
        <f>IFERROR(__xludf.DUMMYFUNCTION("INDEX(SPLIT(A1448, ""/""), 3)"),"روزنامه شریف")</f>
        <v>روزنامه شریف</v>
      </c>
      <c r="V1448" s="1" t="str">
        <f>IFERROR(__xludf.DUMMYFUNCTION("INDEX(SPLIT(A1448, ""/""), 4)"),"#REF!")</f>
        <v>#REF!</v>
      </c>
    </row>
    <row r="1449">
      <c r="A1449" s="1" t="s">
        <v>4070</v>
      </c>
      <c r="B1449" s="1" t="s">
        <v>1366</v>
      </c>
      <c r="C1449" s="1" t="s">
        <v>21</v>
      </c>
      <c r="D1449" s="4" t="s">
        <v>4516</v>
      </c>
      <c r="E1449" s="1" t="s">
        <v>4072</v>
      </c>
      <c r="F1449" s="1" t="s">
        <v>4487</v>
      </c>
      <c r="G1449" s="1" t="s">
        <v>752</v>
      </c>
      <c r="H1449" s="1" t="s">
        <v>4517</v>
      </c>
      <c r="I1449" s="1" t="str">
        <f t="shared" si="1"/>
        <v>14</v>
      </c>
      <c r="J1449" s="5"/>
      <c r="K1449" s="1" t="str">
        <f t="shared" si="2"/>
        <v>7</v>
      </c>
      <c r="L1449" s="5"/>
      <c r="M1449" s="2" t="str">
        <f t="shared" si="3"/>
        <v>1383</v>
      </c>
      <c r="N1449" s="1"/>
      <c r="O1449" s="13">
        <v>206.0</v>
      </c>
      <c r="P1449" s="5"/>
      <c r="Q1449" s="5"/>
      <c r="R1449" s="6" t="s">
        <v>4517</v>
      </c>
      <c r="S1449" s="5"/>
      <c r="T1449" s="1" t="str">
        <f>IFERROR(__xludf.DUMMYFUNCTION("INDEX(SPLIT(A1449, ""/""), 2)"),"کانون‌های فرهنگی هنری")</f>
        <v>کانون‌های فرهنگی هنری</v>
      </c>
      <c r="U1449" s="1" t="str">
        <f>IFERROR(__xludf.DUMMYFUNCTION("INDEX(SPLIT(A1449, ""/""), 3)"),"روزنامه شریف")</f>
        <v>روزنامه شریف</v>
      </c>
      <c r="V1449" s="1" t="str">
        <f>IFERROR(__xludf.DUMMYFUNCTION("INDEX(SPLIT(A1449, ""/""), 4)"),"#REF!")</f>
        <v>#REF!</v>
      </c>
    </row>
    <row r="1450">
      <c r="A1450" s="1" t="s">
        <v>4070</v>
      </c>
      <c r="B1450" s="1" t="s">
        <v>1372</v>
      </c>
      <c r="C1450" s="1" t="s">
        <v>21</v>
      </c>
      <c r="D1450" s="12" t="s">
        <v>4518</v>
      </c>
      <c r="E1450" s="1" t="s">
        <v>4072</v>
      </c>
      <c r="F1450" s="1" t="s">
        <v>4487</v>
      </c>
      <c r="G1450" s="1" t="s">
        <v>752</v>
      </c>
      <c r="H1450" s="1" t="s">
        <v>4519</v>
      </c>
      <c r="I1450" s="1" t="str">
        <f t="shared" si="1"/>
        <v>18</v>
      </c>
      <c r="J1450" s="5"/>
      <c r="K1450" s="1" t="str">
        <f t="shared" si="2"/>
        <v>7</v>
      </c>
      <c r="L1450" s="5"/>
      <c r="M1450" s="2" t="str">
        <f t="shared" si="3"/>
        <v>1383</v>
      </c>
      <c r="N1450" s="1"/>
      <c r="O1450" s="13">
        <v>207.0</v>
      </c>
      <c r="P1450" s="5"/>
      <c r="Q1450" s="5"/>
      <c r="R1450" s="6" t="s">
        <v>4519</v>
      </c>
      <c r="S1450" s="5"/>
      <c r="T1450" s="1" t="str">
        <f>IFERROR(__xludf.DUMMYFUNCTION("INDEX(SPLIT(A1450, ""/""), 2)"),"کانون‌های فرهنگی هنری")</f>
        <v>کانون‌های فرهنگی هنری</v>
      </c>
      <c r="U1450" s="1" t="str">
        <f>IFERROR(__xludf.DUMMYFUNCTION("INDEX(SPLIT(A1450, ""/""), 3)"),"روزنامه شریف")</f>
        <v>روزنامه شریف</v>
      </c>
      <c r="V1450" s="1" t="str">
        <f>IFERROR(__xludf.DUMMYFUNCTION("INDEX(SPLIT(A1450, ""/""), 4)"),"#REF!")</f>
        <v>#REF!</v>
      </c>
    </row>
    <row r="1451">
      <c r="A1451" s="1" t="s">
        <v>4070</v>
      </c>
      <c r="B1451" s="1" t="s">
        <v>1374</v>
      </c>
      <c r="C1451" s="1" t="s">
        <v>21</v>
      </c>
      <c r="D1451" s="4" t="s">
        <v>4520</v>
      </c>
      <c r="E1451" s="1" t="s">
        <v>4072</v>
      </c>
      <c r="F1451" s="1" t="s">
        <v>4487</v>
      </c>
      <c r="G1451" s="1" t="s">
        <v>752</v>
      </c>
      <c r="H1451" s="1" t="s">
        <v>4521</v>
      </c>
      <c r="I1451" s="1" t="str">
        <f t="shared" si="1"/>
        <v>21</v>
      </c>
      <c r="J1451" s="5"/>
      <c r="K1451" s="1" t="str">
        <f t="shared" si="2"/>
        <v>7</v>
      </c>
      <c r="L1451" s="5"/>
      <c r="M1451" s="2" t="str">
        <f t="shared" si="3"/>
        <v>1383</v>
      </c>
      <c r="N1451" s="1"/>
      <c r="O1451" s="13">
        <v>208.0</v>
      </c>
      <c r="P1451" s="5"/>
      <c r="Q1451" s="5"/>
      <c r="R1451" s="6" t="s">
        <v>4521</v>
      </c>
      <c r="S1451" s="5"/>
      <c r="T1451" s="1" t="str">
        <f>IFERROR(__xludf.DUMMYFUNCTION("INDEX(SPLIT(A1451, ""/""), 2)"),"کانون‌های فرهنگی هنری")</f>
        <v>کانون‌های فرهنگی هنری</v>
      </c>
      <c r="U1451" s="1" t="str">
        <f>IFERROR(__xludf.DUMMYFUNCTION("INDEX(SPLIT(A1451, ""/""), 3)"),"روزنامه شریف")</f>
        <v>روزنامه شریف</v>
      </c>
      <c r="V1451" s="1" t="str">
        <f>IFERROR(__xludf.DUMMYFUNCTION("INDEX(SPLIT(A1451, ""/""), 4)"),"#REF!")</f>
        <v>#REF!</v>
      </c>
    </row>
    <row r="1452">
      <c r="A1452" s="1" t="s">
        <v>4070</v>
      </c>
      <c r="B1452" s="1" t="s">
        <v>1377</v>
      </c>
      <c r="C1452" s="1" t="s">
        <v>21</v>
      </c>
      <c r="D1452" s="4" t="s">
        <v>4522</v>
      </c>
      <c r="E1452" s="1" t="s">
        <v>4072</v>
      </c>
      <c r="F1452" s="1" t="s">
        <v>4487</v>
      </c>
      <c r="G1452" s="1" t="s">
        <v>752</v>
      </c>
      <c r="H1452" s="1" t="s">
        <v>4523</v>
      </c>
      <c r="I1452" s="1" t="str">
        <f t="shared" si="1"/>
        <v>25</v>
      </c>
      <c r="J1452" s="5"/>
      <c r="K1452" s="1" t="str">
        <f t="shared" si="2"/>
        <v>7</v>
      </c>
      <c r="L1452" s="5"/>
      <c r="M1452" s="2" t="str">
        <f t="shared" si="3"/>
        <v>1383</v>
      </c>
      <c r="N1452" s="1"/>
      <c r="O1452" s="13">
        <v>209.0</v>
      </c>
      <c r="P1452" s="5"/>
      <c r="Q1452" s="5"/>
      <c r="R1452" s="6" t="s">
        <v>4523</v>
      </c>
      <c r="S1452" s="5"/>
      <c r="T1452" s="1" t="str">
        <f>IFERROR(__xludf.DUMMYFUNCTION("INDEX(SPLIT(A1452, ""/""), 2)"),"کانون‌های فرهنگی هنری")</f>
        <v>کانون‌های فرهنگی هنری</v>
      </c>
      <c r="U1452" s="1" t="str">
        <f>IFERROR(__xludf.DUMMYFUNCTION("INDEX(SPLIT(A1452, ""/""), 3)"),"روزنامه شریف")</f>
        <v>روزنامه شریف</v>
      </c>
      <c r="V1452" s="1" t="str">
        <f>IFERROR(__xludf.DUMMYFUNCTION("INDEX(SPLIT(A1452, ""/""), 4)"),"#REF!")</f>
        <v>#REF!</v>
      </c>
    </row>
    <row r="1453">
      <c r="A1453" s="1" t="s">
        <v>4070</v>
      </c>
      <c r="B1453" s="1" t="s">
        <v>4524</v>
      </c>
      <c r="C1453" s="1" t="s">
        <v>21</v>
      </c>
      <c r="D1453" s="4" t="s">
        <v>4525</v>
      </c>
      <c r="E1453" s="1" t="s">
        <v>4072</v>
      </c>
      <c r="F1453" s="1" t="s">
        <v>4487</v>
      </c>
      <c r="G1453" s="1" t="s">
        <v>752</v>
      </c>
      <c r="H1453" s="1" t="s">
        <v>4526</v>
      </c>
      <c r="I1453" s="1" t="str">
        <f t="shared" si="1"/>
        <v>28</v>
      </c>
      <c r="J1453" s="5"/>
      <c r="K1453" s="1" t="str">
        <f t="shared" si="2"/>
        <v>7</v>
      </c>
      <c r="L1453" s="5"/>
      <c r="M1453" s="2" t="str">
        <f t="shared" si="3"/>
        <v>1383</v>
      </c>
      <c r="N1453" s="1"/>
      <c r="O1453" s="13">
        <v>210.0</v>
      </c>
      <c r="P1453" s="5"/>
      <c r="Q1453" s="5"/>
      <c r="R1453" s="6" t="s">
        <v>4526</v>
      </c>
      <c r="S1453" s="5"/>
      <c r="T1453" s="1" t="str">
        <f>IFERROR(__xludf.DUMMYFUNCTION("INDEX(SPLIT(A1453, ""/""), 2)"),"کانون‌های فرهنگی هنری")</f>
        <v>کانون‌های فرهنگی هنری</v>
      </c>
      <c r="U1453" s="1" t="str">
        <f>IFERROR(__xludf.DUMMYFUNCTION("INDEX(SPLIT(A1453, ""/""), 3)"),"روزنامه شریف")</f>
        <v>روزنامه شریف</v>
      </c>
      <c r="V1453" s="1" t="str">
        <f>IFERROR(__xludf.DUMMYFUNCTION("INDEX(SPLIT(A1453, ""/""), 4)"),"#REF!")</f>
        <v>#REF!</v>
      </c>
    </row>
    <row r="1454">
      <c r="A1454" s="1" t="s">
        <v>4070</v>
      </c>
      <c r="B1454" s="1" t="s">
        <v>4527</v>
      </c>
      <c r="C1454" s="1" t="s">
        <v>21</v>
      </c>
      <c r="D1454" s="4" t="s">
        <v>4528</v>
      </c>
      <c r="E1454" s="1" t="s">
        <v>4072</v>
      </c>
      <c r="F1454" s="1" t="s">
        <v>4487</v>
      </c>
      <c r="G1454" s="1" t="s">
        <v>752</v>
      </c>
      <c r="H1454" s="7" t="s">
        <v>4529</v>
      </c>
      <c r="I1454" s="1" t="str">
        <f t="shared" si="1"/>
        <v>2</v>
      </c>
      <c r="J1454" s="5"/>
      <c r="K1454" s="1" t="str">
        <f t="shared" si="2"/>
        <v>8</v>
      </c>
      <c r="L1454" s="5"/>
      <c r="M1454" s="2" t="str">
        <f t="shared" si="3"/>
        <v>1383</v>
      </c>
      <c r="N1454" s="1"/>
      <c r="O1454" s="13">
        <v>211.0</v>
      </c>
      <c r="P1454" s="5"/>
      <c r="Q1454" s="5"/>
      <c r="R1454" s="8" t="s">
        <v>4529</v>
      </c>
      <c r="S1454" s="5"/>
      <c r="T1454" s="1" t="str">
        <f>IFERROR(__xludf.DUMMYFUNCTION("INDEX(SPLIT(A1454, ""/""), 2)"),"کانون‌های فرهنگی هنری")</f>
        <v>کانون‌های فرهنگی هنری</v>
      </c>
      <c r="U1454" s="1" t="str">
        <f>IFERROR(__xludf.DUMMYFUNCTION("INDEX(SPLIT(A1454, ""/""), 3)"),"روزنامه شریف")</f>
        <v>روزنامه شریف</v>
      </c>
      <c r="V1454" s="1" t="str">
        <f>IFERROR(__xludf.DUMMYFUNCTION("INDEX(SPLIT(A1454, ""/""), 4)"),"#REF!")</f>
        <v>#REF!</v>
      </c>
    </row>
    <row r="1455">
      <c r="A1455" s="1" t="s">
        <v>4070</v>
      </c>
      <c r="B1455" s="1" t="s">
        <v>4530</v>
      </c>
      <c r="C1455" s="1" t="s">
        <v>21</v>
      </c>
      <c r="D1455" s="4" t="s">
        <v>4531</v>
      </c>
      <c r="E1455" s="1" t="s">
        <v>4072</v>
      </c>
      <c r="F1455" s="1" t="s">
        <v>4487</v>
      </c>
      <c r="G1455" s="1" t="s">
        <v>752</v>
      </c>
      <c r="H1455" s="7" t="s">
        <v>4532</v>
      </c>
      <c r="I1455" s="1" t="str">
        <f t="shared" si="1"/>
        <v>5</v>
      </c>
      <c r="J1455" s="5"/>
      <c r="K1455" s="1" t="str">
        <f t="shared" si="2"/>
        <v>8</v>
      </c>
      <c r="L1455" s="5"/>
      <c r="M1455" s="2" t="str">
        <f t="shared" si="3"/>
        <v>1383</v>
      </c>
      <c r="N1455" s="1"/>
      <c r="O1455" s="13">
        <v>212.0</v>
      </c>
      <c r="P1455" s="5"/>
      <c r="Q1455" s="5"/>
      <c r="R1455" s="8" t="s">
        <v>4532</v>
      </c>
      <c r="S1455" s="5"/>
      <c r="T1455" s="1" t="str">
        <f>IFERROR(__xludf.DUMMYFUNCTION("INDEX(SPLIT(A1455, ""/""), 2)"),"کانون‌های فرهنگی هنری")</f>
        <v>کانون‌های فرهنگی هنری</v>
      </c>
      <c r="U1455" s="1" t="str">
        <f>IFERROR(__xludf.DUMMYFUNCTION("INDEX(SPLIT(A1455, ""/""), 3)"),"روزنامه شریف")</f>
        <v>روزنامه شریف</v>
      </c>
      <c r="V1455" s="1" t="str">
        <f>IFERROR(__xludf.DUMMYFUNCTION("INDEX(SPLIT(A1455, ""/""), 4)"),"#REF!")</f>
        <v>#REF!</v>
      </c>
    </row>
    <row r="1456">
      <c r="A1456" s="1" t="s">
        <v>4070</v>
      </c>
      <c r="B1456" s="1" t="s">
        <v>4533</v>
      </c>
      <c r="C1456" s="1" t="s">
        <v>21</v>
      </c>
      <c r="D1456" s="4" t="s">
        <v>4534</v>
      </c>
      <c r="E1456" s="1" t="s">
        <v>4072</v>
      </c>
      <c r="F1456" s="1" t="s">
        <v>4487</v>
      </c>
      <c r="G1456" s="1" t="s">
        <v>752</v>
      </c>
      <c r="H1456" s="7" t="s">
        <v>4535</v>
      </c>
      <c r="I1456" s="1" t="str">
        <f t="shared" si="1"/>
        <v>9</v>
      </c>
      <c r="J1456" s="5"/>
      <c r="K1456" s="1" t="str">
        <f t="shared" si="2"/>
        <v>8</v>
      </c>
      <c r="L1456" s="5"/>
      <c r="M1456" s="2" t="str">
        <f t="shared" si="3"/>
        <v>1383</v>
      </c>
      <c r="N1456" s="1"/>
      <c r="O1456" s="13">
        <v>213.0</v>
      </c>
      <c r="P1456" s="5"/>
      <c r="Q1456" s="5"/>
      <c r="R1456" s="8" t="s">
        <v>4535</v>
      </c>
      <c r="S1456" s="5"/>
      <c r="T1456" s="1" t="str">
        <f>IFERROR(__xludf.DUMMYFUNCTION("INDEX(SPLIT(A1456, ""/""), 2)"),"کانون‌های فرهنگی هنری")</f>
        <v>کانون‌های فرهنگی هنری</v>
      </c>
      <c r="U1456" s="1" t="str">
        <f>IFERROR(__xludf.DUMMYFUNCTION("INDEX(SPLIT(A1456, ""/""), 3)"),"روزنامه شریف")</f>
        <v>روزنامه شریف</v>
      </c>
      <c r="V1456" s="1" t="str">
        <f>IFERROR(__xludf.DUMMYFUNCTION("INDEX(SPLIT(A1456, ""/""), 4)"),"#REF!")</f>
        <v>#REF!</v>
      </c>
    </row>
    <row r="1457">
      <c r="A1457" s="1" t="s">
        <v>4070</v>
      </c>
      <c r="B1457" s="1" t="s">
        <v>4536</v>
      </c>
      <c r="C1457" s="1" t="s">
        <v>21</v>
      </c>
      <c r="D1457" s="4" t="s">
        <v>4537</v>
      </c>
      <c r="E1457" s="1" t="s">
        <v>4072</v>
      </c>
      <c r="F1457" s="1" t="s">
        <v>4487</v>
      </c>
      <c r="G1457" s="1" t="s">
        <v>752</v>
      </c>
      <c r="H1457" s="7" t="s">
        <v>4538</v>
      </c>
      <c r="I1457" s="1" t="str">
        <f t="shared" si="1"/>
        <v>12</v>
      </c>
      <c r="J1457" s="5"/>
      <c r="K1457" s="1" t="str">
        <f t="shared" si="2"/>
        <v>8</v>
      </c>
      <c r="L1457" s="5"/>
      <c r="M1457" s="2" t="str">
        <f t="shared" si="3"/>
        <v>1383</v>
      </c>
      <c r="N1457" s="5"/>
      <c r="O1457" s="13">
        <v>214.0</v>
      </c>
      <c r="P1457" s="5"/>
      <c r="Q1457" s="5"/>
      <c r="R1457" s="8" t="s">
        <v>4538</v>
      </c>
      <c r="S1457" s="5"/>
      <c r="T1457" s="1" t="str">
        <f>IFERROR(__xludf.DUMMYFUNCTION("INDEX(SPLIT(A1457, ""/""), 2)"),"کانون‌های فرهنگی هنری")</f>
        <v>کانون‌های فرهنگی هنری</v>
      </c>
      <c r="U1457" s="1" t="str">
        <f>IFERROR(__xludf.DUMMYFUNCTION("INDEX(SPLIT(A1457, ""/""), 3)"),"روزنامه شریف")</f>
        <v>روزنامه شریف</v>
      </c>
      <c r="V1457" s="1" t="str">
        <f>IFERROR(__xludf.DUMMYFUNCTION("INDEX(SPLIT(A1457, ""/""), 4)"),"#REF!")</f>
        <v>#REF!</v>
      </c>
    </row>
    <row r="1458">
      <c r="A1458" s="1" t="s">
        <v>4070</v>
      </c>
      <c r="B1458" s="1" t="s">
        <v>4539</v>
      </c>
      <c r="C1458" s="1" t="s">
        <v>21</v>
      </c>
      <c r="D1458" s="4" t="s">
        <v>4540</v>
      </c>
      <c r="E1458" s="1" t="s">
        <v>4072</v>
      </c>
      <c r="F1458" s="1" t="s">
        <v>4487</v>
      </c>
      <c r="G1458" s="1" t="s">
        <v>752</v>
      </c>
      <c r="H1458" s="1" t="s">
        <v>4541</v>
      </c>
      <c r="I1458" s="1" t="str">
        <f t="shared" si="1"/>
        <v>16</v>
      </c>
      <c r="J1458" s="5"/>
      <c r="K1458" s="1" t="str">
        <f t="shared" si="2"/>
        <v>8</v>
      </c>
      <c r="L1458" s="5"/>
      <c r="M1458" s="2" t="str">
        <f t="shared" si="3"/>
        <v>1383</v>
      </c>
      <c r="N1458" s="5"/>
      <c r="O1458" s="13">
        <v>215.0</v>
      </c>
      <c r="P1458" s="5"/>
      <c r="Q1458" s="5"/>
      <c r="R1458" s="6" t="s">
        <v>4541</v>
      </c>
      <c r="S1458" s="5"/>
      <c r="T1458" s="1" t="str">
        <f>IFERROR(__xludf.DUMMYFUNCTION("INDEX(SPLIT(A1458, ""/""), 2)"),"کانون‌های فرهنگی هنری")</f>
        <v>کانون‌های فرهنگی هنری</v>
      </c>
      <c r="U1458" s="1" t="str">
        <f>IFERROR(__xludf.DUMMYFUNCTION("INDEX(SPLIT(A1458, ""/""), 3)"),"روزنامه شریف")</f>
        <v>روزنامه شریف</v>
      </c>
      <c r="V1458" s="1" t="str">
        <f>IFERROR(__xludf.DUMMYFUNCTION("INDEX(SPLIT(A1458, ""/""), 4)"),"#REF!")</f>
        <v>#REF!</v>
      </c>
    </row>
    <row r="1459">
      <c r="A1459" s="1" t="s">
        <v>4070</v>
      </c>
      <c r="B1459" s="1" t="s">
        <v>4542</v>
      </c>
      <c r="C1459" s="1" t="s">
        <v>21</v>
      </c>
      <c r="D1459" s="4" t="s">
        <v>4543</v>
      </c>
      <c r="E1459" s="1" t="s">
        <v>4072</v>
      </c>
      <c r="F1459" s="1" t="s">
        <v>4487</v>
      </c>
      <c r="G1459" s="1" t="s">
        <v>752</v>
      </c>
      <c r="H1459" s="1" t="s">
        <v>4544</v>
      </c>
      <c r="I1459" s="1" t="str">
        <f t="shared" si="1"/>
        <v>19</v>
      </c>
      <c r="J1459" s="5"/>
      <c r="K1459" s="1" t="str">
        <f t="shared" si="2"/>
        <v>8</v>
      </c>
      <c r="L1459" s="5"/>
      <c r="M1459" s="2" t="str">
        <f t="shared" si="3"/>
        <v>1383</v>
      </c>
      <c r="N1459" s="5"/>
      <c r="O1459" s="13">
        <v>216.0</v>
      </c>
      <c r="P1459" s="5"/>
      <c r="Q1459" s="5"/>
      <c r="R1459" s="6" t="s">
        <v>4544</v>
      </c>
      <c r="S1459" s="5"/>
      <c r="T1459" s="1" t="str">
        <f>IFERROR(__xludf.DUMMYFUNCTION("INDEX(SPLIT(A1459, ""/""), 2)"),"کانون‌های فرهنگی هنری")</f>
        <v>کانون‌های فرهنگی هنری</v>
      </c>
      <c r="U1459" s="1" t="str">
        <f>IFERROR(__xludf.DUMMYFUNCTION("INDEX(SPLIT(A1459, ""/""), 3)"),"روزنامه شریف")</f>
        <v>روزنامه شریف</v>
      </c>
      <c r="V1459" s="1" t="str">
        <f>IFERROR(__xludf.DUMMYFUNCTION("INDEX(SPLIT(A1459, ""/""), 4)"),"#REF!")</f>
        <v>#REF!</v>
      </c>
    </row>
    <row r="1460">
      <c r="A1460" s="1" t="s">
        <v>4070</v>
      </c>
      <c r="B1460" s="1" t="s">
        <v>4545</v>
      </c>
      <c r="C1460" s="1" t="s">
        <v>21</v>
      </c>
      <c r="D1460" s="4" t="s">
        <v>4546</v>
      </c>
      <c r="E1460" s="1" t="s">
        <v>4072</v>
      </c>
      <c r="F1460" s="1" t="s">
        <v>4487</v>
      </c>
      <c r="G1460" s="1" t="s">
        <v>752</v>
      </c>
      <c r="H1460" s="1" t="s">
        <v>4547</v>
      </c>
      <c r="I1460" s="1" t="str">
        <f t="shared" si="1"/>
        <v>23</v>
      </c>
      <c r="J1460" s="5"/>
      <c r="K1460" s="1" t="str">
        <f t="shared" si="2"/>
        <v>8</v>
      </c>
      <c r="L1460" s="5"/>
      <c r="M1460" s="2" t="str">
        <f t="shared" si="3"/>
        <v>1383</v>
      </c>
      <c r="N1460" s="5"/>
      <c r="O1460" s="13">
        <v>217.0</v>
      </c>
      <c r="P1460" s="5"/>
      <c r="Q1460" s="5"/>
      <c r="R1460" s="6" t="s">
        <v>4547</v>
      </c>
      <c r="S1460" s="5"/>
      <c r="T1460" s="1" t="str">
        <f>IFERROR(__xludf.DUMMYFUNCTION("INDEX(SPLIT(A1460, ""/""), 2)"),"کانون‌های فرهنگی هنری")</f>
        <v>کانون‌های فرهنگی هنری</v>
      </c>
      <c r="U1460" s="1" t="str">
        <f>IFERROR(__xludf.DUMMYFUNCTION("INDEX(SPLIT(A1460, ""/""), 3)"),"روزنامه شریف")</f>
        <v>روزنامه شریف</v>
      </c>
      <c r="V1460" s="1" t="str">
        <f>IFERROR(__xludf.DUMMYFUNCTION("INDEX(SPLIT(A1460, ""/""), 4)"),"#REF!")</f>
        <v>#REF!</v>
      </c>
    </row>
    <row r="1461">
      <c r="A1461" s="1" t="s">
        <v>4070</v>
      </c>
      <c r="B1461" s="1" t="s">
        <v>4548</v>
      </c>
      <c r="C1461" s="1" t="s">
        <v>21</v>
      </c>
      <c r="D1461" s="4" t="s">
        <v>4549</v>
      </c>
      <c r="E1461" s="1" t="s">
        <v>4072</v>
      </c>
      <c r="F1461" s="1" t="s">
        <v>4487</v>
      </c>
      <c r="G1461" s="1" t="s">
        <v>752</v>
      </c>
      <c r="H1461" s="1" t="s">
        <v>4550</v>
      </c>
      <c r="I1461" s="1" t="str">
        <f t="shared" si="1"/>
        <v>30</v>
      </c>
      <c r="J1461" s="5"/>
      <c r="K1461" s="1" t="str">
        <f t="shared" si="2"/>
        <v>8</v>
      </c>
      <c r="L1461" s="5"/>
      <c r="M1461" s="2" t="str">
        <f t="shared" si="3"/>
        <v>1383</v>
      </c>
      <c r="N1461" s="1"/>
      <c r="O1461" s="13">
        <v>218.0</v>
      </c>
      <c r="P1461" s="5"/>
      <c r="Q1461" s="5"/>
      <c r="R1461" s="6" t="s">
        <v>4550</v>
      </c>
      <c r="S1461" s="5"/>
      <c r="T1461" s="1" t="str">
        <f>IFERROR(__xludf.DUMMYFUNCTION("INDEX(SPLIT(A1461, ""/""), 2)"),"کانون‌های فرهنگی هنری")</f>
        <v>کانون‌های فرهنگی هنری</v>
      </c>
      <c r="U1461" s="1" t="str">
        <f>IFERROR(__xludf.DUMMYFUNCTION("INDEX(SPLIT(A1461, ""/""), 3)"),"روزنامه شریف")</f>
        <v>روزنامه شریف</v>
      </c>
      <c r="V1461" s="1" t="str">
        <f>IFERROR(__xludf.DUMMYFUNCTION("INDEX(SPLIT(A1461, ""/""), 4)"),"#REF!")</f>
        <v>#REF!</v>
      </c>
    </row>
    <row r="1462">
      <c r="A1462" s="1" t="s">
        <v>4070</v>
      </c>
      <c r="B1462" s="1" t="s">
        <v>4551</v>
      </c>
      <c r="C1462" s="1" t="s">
        <v>21</v>
      </c>
      <c r="D1462" s="4" t="s">
        <v>4552</v>
      </c>
      <c r="E1462" s="1" t="s">
        <v>4072</v>
      </c>
      <c r="F1462" s="1" t="s">
        <v>4487</v>
      </c>
      <c r="G1462" s="1" t="s">
        <v>752</v>
      </c>
      <c r="H1462" s="7" t="s">
        <v>4553</v>
      </c>
      <c r="I1462" s="1" t="str">
        <f t="shared" si="1"/>
        <v>7</v>
      </c>
      <c r="J1462" s="5"/>
      <c r="K1462" s="1" t="str">
        <f t="shared" si="2"/>
        <v>9</v>
      </c>
      <c r="L1462" s="5"/>
      <c r="M1462" s="2" t="str">
        <f t="shared" si="3"/>
        <v>1383</v>
      </c>
      <c r="N1462" s="1"/>
      <c r="O1462" s="13">
        <v>219.0</v>
      </c>
      <c r="P1462" s="5"/>
      <c r="Q1462" s="5"/>
      <c r="R1462" s="8" t="s">
        <v>4553</v>
      </c>
      <c r="S1462" s="5"/>
      <c r="T1462" s="1" t="str">
        <f>IFERROR(__xludf.DUMMYFUNCTION("INDEX(SPLIT(A1462, ""/""), 2)"),"کانون‌های فرهنگی هنری")</f>
        <v>کانون‌های فرهنگی هنری</v>
      </c>
      <c r="U1462" s="1" t="str">
        <f>IFERROR(__xludf.DUMMYFUNCTION("INDEX(SPLIT(A1462, ""/""), 3)"),"روزنامه شریف")</f>
        <v>روزنامه شریف</v>
      </c>
      <c r="V1462" s="1" t="str">
        <f>IFERROR(__xludf.DUMMYFUNCTION("INDEX(SPLIT(A1462, ""/""), 4)"),"#REF!")</f>
        <v>#REF!</v>
      </c>
    </row>
    <row r="1463">
      <c r="A1463" s="1" t="s">
        <v>4070</v>
      </c>
      <c r="B1463" s="1" t="s">
        <v>4554</v>
      </c>
      <c r="C1463" s="1" t="s">
        <v>21</v>
      </c>
      <c r="D1463" s="4" t="s">
        <v>4555</v>
      </c>
      <c r="E1463" s="1" t="s">
        <v>4072</v>
      </c>
      <c r="F1463" s="1" t="s">
        <v>4487</v>
      </c>
      <c r="G1463" s="1" t="s">
        <v>752</v>
      </c>
      <c r="H1463" s="7" t="s">
        <v>4553</v>
      </c>
      <c r="I1463" s="1" t="str">
        <f t="shared" si="1"/>
        <v>7</v>
      </c>
      <c r="J1463" s="5"/>
      <c r="K1463" s="1" t="str">
        <f t="shared" si="2"/>
        <v>9</v>
      </c>
      <c r="L1463" s="5"/>
      <c r="M1463" s="2" t="str">
        <f t="shared" si="3"/>
        <v>1383</v>
      </c>
      <c r="N1463" s="1"/>
      <c r="O1463" s="13">
        <v>220.0</v>
      </c>
      <c r="P1463" s="5"/>
      <c r="Q1463" s="5"/>
      <c r="R1463" s="8" t="s">
        <v>4553</v>
      </c>
      <c r="S1463" s="5"/>
      <c r="T1463" s="1" t="str">
        <f>IFERROR(__xludf.DUMMYFUNCTION("INDEX(SPLIT(A1463, ""/""), 2)"),"کانون‌های فرهنگی هنری")</f>
        <v>کانون‌های فرهنگی هنری</v>
      </c>
      <c r="U1463" s="1" t="str">
        <f>IFERROR(__xludf.DUMMYFUNCTION("INDEX(SPLIT(A1463, ""/""), 3)"),"روزنامه شریف")</f>
        <v>روزنامه شریف</v>
      </c>
      <c r="V1463" s="1" t="str">
        <f>IFERROR(__xludf.DUMMYFUNCTION("INDEX(SPLIT(A1463, ""/""), 4)"),"#REF!")</f>
        <v>#REF!</v>
      </c>
    </row>
    <row r="1464">
      <c r="A1464" s="1" t="s">
        <v>4070</v>
      </c>
      <c r="B1464" s="1" t="s">
        <v>4556</v>
      </c>
      <c r="C1464" s="1" t="s">
        <v>21</v>
      </c>
      <c r="D1464" s="4" t="s">
        <v>4557</v>
      </c>
      <c r="E1464" s="1" t="s">
        <v>4072</v>
      </c>
      <c r="F1464" s="1" t="s">
        <v>4487</v>
      </c>
      <c r="G1464" s="1" t="s">
        <v>752</v>
      </c>
      <c r="H1464" s="7" t="s">
        <v>4558</v>
      </c>
      <c r="I1464" s="1" t="str">
        <f t="shared" si="1"/>
        <v>10</v>
      </c>
      <c r="J1464" s="5"/>
      <c r="K1464" s="1" t="str">
        <f t="shared" si="2"/>
        <v>9</v>
      </c>
      <c r="L1464" s="5"/>
      <c r="M1464" s="2" t="str">
        <f t="shared" si="3"/>
        <v>1383</v>
      </c>
      <c r="N1464" s="1"/>
      <c r="O1464" s="13">
        <v>221.0</v>
      </c>
      <c r="P1464" s="5"/>
      <c r="Q1464" s="5"/>
      <c r="R1464" s="8" t="s">
        <v>4558</v>
      </c>
      <c r="S1464" s="5"/>
      <c r="T1464" s="1" t="str">
        <f>IFERROR(__xludf.DUMMYFUNCTION("INDEX(SPLIT(A1464, ""/""), 2)"),"کانون‌های فرهنگی هنری")</f>
        <v>کانون‌های فرهنگی هنری</v>
      </c>
      <c r="U1464" s="1" t="str">
        <f>IFERROR(__xludf.DUMMYFUNCTION("INDEX(SPLIT(A1464, ""/""), 3)"),"روزنامه شریف")</f>
        <v>روزنامه شریف</v>
      </c>
      <c r="V1464" s="1" t="str">
        <f>IFERROR(__xludf.DUMMYFUNCTION("INDEX(SPLIT(A1464, ""/""), 4)"),"#REF!")</f>
        <v>#REF!</v>
      </c>
    </row>
    <row r="1465">
      <c r="A1465" s="1" t="s">
        <v>4070</v>
      </c>
      <c r="B1465" s="1" t="s">
        <v>4559</v>
      </c>
      <c r="C1465" s="1" t="s">
        <v>21</v>
      </c>
      <c r="D1465" s="4" t="s">
        <v>4560</v>
      </c>
      <c r="E1465" s="1" t="s">
        <v>4072</v>
      </c>
      <c r="F1465" s="1" t="s">
        <v>4487</v>
      </c>
      <c r="G1465" s="1" t="s">
        <v>752</v>
      </c>
      <c r="H1465" s="1" t="s">
        <v>4561</v>
      </c>
      <c r="I1465" s="1" t="str">
        <f t="shared" si="1"/>
        <v>14</v>
      </c>
      <c r="J1465" s="5"/>
      <c r="K1465" s="1" t="str">
        <f t="shared" si="2"/>
        <v>9</v>
      </c>
      <c r="L1465" s="5"/>
      <c r="M1465" s="2" t="str">
        <f t="shared" si="3"/>
        <v>1383</v>
      </c>
      <c r="N1465" s="1"/>
      <c r="O1465" s="13">
        <v>222.0</v>
      </c>
      <c r="P1465" s="5"/>
      <c r="Q1465" s="5"/>
      <c r="R1465" s="6" t="s">
        <v>4561</v>
      </c>
      <c r="S1465" s="5"/>
      <c r="T1465" s="1" t="str">
        <f>IFERROR(__xludf.DUMMYFUNCTION("INDEX(SPLIT(A1465, ""/""), 2)"),"کانون‌های فرهنگی هنری")</f>
        <v>کانون‌های فرهنگی هنری</v>
      </c>
      <c r="U1465" s="1" t="str">
        <f>IFERROR(__xludf.DUMMYFUNCTION("INDEX(SPLIT(A1465, ""/""), 3)"),"روزنامه شریف")</f>
        <v>روزنامه شریف</v>
      </c>
      <c r="V1465" s="1" t="str">
        <f>IFERROR(__xludf.DUMMYFUNCTION("INDEX(SPLIT(A1465, ""/""), 4)"),"#REF!")</f>
        <v>#REF!</v>
      </c>
    </row>
    <row r="1466">
      <c r="A1466" s="1" t="s">
        <v>4070</v>
      </c>
      <c r="B1466" s="1" t="s">
        <v>4562</v>
      </c>
      <c r="C1466" s="1" t="s">
        <v>21</v>
      </c>
      <c r="D1466" s="4" t="s">
        <v>4563</v>
      </c>
      <c r="E1466" s="1" t="s">
        <v>4072</v>
      </c>
      <c r="F1466" s="1" t="s">
        <v>4487</v>
      </c>
      <c r="G1466" s="1" t="s">
        <v>752</v>
      </c>
      <c r="H1466" s="1" t="s">
        <v>4564</v>
      </c>
      <c r="I1466" s="1" t="str">
        <f t="shared" si="1"/>
        <v>17</v>
      </c>
      <c r="J1466" s="5"/>
      <c r="K1466" s="1" t="str">
        <f t="shared" si="2"/>
        <v>9</v>
      </c>
      <c r="L1466" s="5"/>
      <c r="M1466" s="2" t="str">
        <f t="shared" si="3"/>
        <v>1383</v>
      </c>
      <c r="N1466" s="1"/>
      <c r="O1466" s="13">
        <v>223.0</v>
      </c>
      <c r="P1466" s="5"/>
      <c r="Q1466" s="5"/>
      <c r="R1466" s="6" t="s">
        <v>4564</v>
      </c>
      <c r="S1466" s="5"/>
      <c r="T1466" s="1" t="str">
        <f>IFERROR(__xludf.DUMMYFUNCTION("INDEX(SPLIT(A1466, ""/""), 2)"),"کانون‌های فرهنگی هنری")</f>
        <v>کانون‌های فرهنگی هنری</v>
      </c>
      <c r="U1466" s="1" t="str">
        <f>IFERROR(__xludf.DUMMYFUNCTION("INDEX(SPLIT(A1466, ""/""), 3)"),"روزنامه شریف")</f>
        <v>روزنامه شریف</v>
      </c>
      <c r="V1466" s="1" t="str">
        <f>IFERROR(__xludf.DUMMYFUNCTION("INDEX(SPLIT(A1466, ""/""), 4)"),"#REF!")</f>
        <v>#REF!</v>
      </c>
    </row>
    <row r="1467">
      <c r="A1467" s="1" t="s">
        <v>4070</v>
      </c>
      <c r="B1467" s="1" t="s">
        <v>4565</v>
      </c>
      <c r="C1467" s="1" t="s">
        <v>21</v>
      </c>
      <c r="D1467" s="4" t="s">
        <v>4566</v>
      </c>
      <c r="E1467" s="1" t="s">
        <v>4072</v>
      </c>
      <c r="F1467" s="1" t="s">
        <v>4487</v>
      </c>
      <c r="G1467" s="1" t="s">
        <v>752</v>
      </c>
      <c r="H1467" s="1" t="s">
        <v>4567</v>
      </c>
      <c r="I1467" s="1" t="str">
        <f t="shared" si="1"/>
        <v>21</v>
      </c>
      <c r="J1467" s="5"/>
      <c r="K1467" s="1" t="str">
        <f t="shared" si="2"/>
        <v>9</v>
      </c>
      <c r="L1467" s="5"/>
      <c r="M1467" s="2" t="str">
        <f t="shared" si="3"/>
        <v>1383</v>
      </c>
      <c r="N1467" s="1"/>
      <c r="O1467" s="13">
        <v>224.0</v>
      </c>
      <c r="P1467" s="5"/>
      <c r="Q1467" s="5"/>
      <c r="R1467" s="6" t="s">
        <v>4567</v>
      </c>
      <c r="S1467" s="5"/>
      <c r="T1467" s="1" t="str">
        <f>IFERROR(__xludf.DUMMYFUNCTION("INDEX(SPLIT(A1467, ""/""), 2)"),"کانون‌های فرهنگی هنری")</f>
        <v>کانون‌های فرهنگی هنری</v>
      </c>
      <c r="U1467" s="1" t="str">
        <f>IFERROR(__xludf.DUMMYFUNCTION("INDEX(SPLIT(A1467, ""/""), 3)"),"روزنامه شریف")</f>
        <v>روزنامه شریف</v>
      </c>
      <c r="V1467" s="1" t="str">
        <f>IFERROR(__xludf.DUMMYFUNCTION("INDEX(SPLIT(A1467, ""/""), 4)"),"#REF!")</f>
        <v>#REF!</v>
      </c>
    </row>
    <row r="1468">
      <c r="A1468" s="1" t="s">
        <v>4070</v>
      </c>
      <c r="B1468" s="1" t="s">
        <v>4568</v>
      </c>
      <c r="C1468" s="1" t="s">
        <v>21</v>
      </c>
      <c r="D1468" s="4" t="s">
        <v>4569</v>
      </c>
      <c r="E1468" s="1" t="s">
        <v>4072</v>
      </c>
      <c r="F1468" s="1" t="s">
        <v>4487</v>
      </c>
      <c r="G1468" s="1" t="s">
        <v>752</v>
      </c>
      <c r="H1468" s="1" t="s">
        <v>4570</v>
      </c>
      <c r="I1468" s="1" t="str">
        <f t="shared" si="1"/>
        <v>24</v>
      </c>
      <c r="J1468" s="5"/>
      <c r="K1468" s="1" t="str">
        <f t="shared" si="2"/>
        <v>9</v>
      </c>
      <c r="L1468" s="5"/>
      <c r="M1468" s="2" t="str">
        <f t="shared" si="3"/>
        <v>1383</v>
      </c>
      <c r="N1468" s="1"/>
      <c r="O1468" s="13">
        <v>225.0</v>
      </c>
      <c r="P1468" s="5"/>
      <c r="Q1468" s="5"/>
      <c r="R1468" s="6" t="s">
        <v>4570</v>
      </c>
      <c r="S1468" s="5"/>
      <c r="T1468" s="1" t="str">
        <f>IFERROR(__xludf.DUMMYFUNCTION("INDEX(SPLIT(A1468, ""/""), 2)"),"کانون‌های فرهنگی هنری")</f>
        <v>کانون‌های فرهنگی هنری</v>
      </c>
      <c r="U1468" s="1" t="str">
        <f>IFERROR(__xludf.DUMMYFUNCTION("INDEX(SPLIT(A1468, ""/""), 3)"),"روزنامه شریف")</f>
        <v>روزنامه شریف</v>
      </c>
      <c r="V1468" s="1" t="str">
        <f>IFERROR(__xludf.DUMMYFUNCTION("INDEX(SPLIT(A1468, ""/""), 4)"),"#REF!")</f>
        <v>#REF!</v>
      </c>
    </row>
    <row r="1469">
      <c r="A1469" s="1" t="s">
        <v>4070</v>
      </c>
      <c r="B1469" s="1" t="s">
        <v>4571</v>
      </c>
      <c r="C1469" s="1" t="s">
        <v>21</v>
      </c>
      <c r="D1469" s="4" t="s">
        <v>4572</v>
      </c>
      <c r="E1469" s="1" t="s">
        <v>4072</v>
      </c>
      <c r="F1469" s="1" t="s">
        <v>4487</v>
      </c>
      <c r="G1469" s="1" t="s">
        <v>752</v>
      </c>
      <c r="H1469" s="1" t="s">
        <v>4573</v>
      </c>
      <c r="I1469" s="1" t="str">
        <f t="shared" si="1"/>
        <v>28</v>
      </c>
      <c r="J1469" s="5"/>
      <c r="K1469" s="1" t="str">
        <f t="shared" si="2"/>
        <v>9</v>
      </c>
      <c r="L1469" s="5"/>
      <c r="M1469" s="2" t="str">
        <f t="shared" si="3"/>
        <v>1383</v>
      </c>
      <c r="N1469" s="1"/>
      <c r="O1469" s="13">
        <v>226.0</v>
      </c>
      <c r="P1469" s="5"/>
      <c r="Q1469" s="5"/>
      <c r="R1469" s="6" t="s">
        <v>4573</v>
      </c>
      <c r="S1469" s="5"/>
      <c r="T1469" s="1" t="str">
        <f>IFERROR(__xludf.DUMMYFUNCTION("INDEX(SPLIT(A1469, ""/""), 2)"),"کانون‌های فرهنگی هنری")</f>
        <v>کانون‌های فرهنگی هنری</v>
      </c>
      <c r="U1469" s="1" t="str">
        <f>IFERROR(__xludf.DUMMYFUNCTION("INDEX(SPLIT(A1469, ""/""), 3)"),"روزنامه شریف")</f>
        <v>روزنامه شریف</v>
      </c>
      <c r="V1469" s="1" t="str">
        <f>IFERROR(__xludf.DUMMYFUNCTION("INDEX(SPLIT(A1469, ""/""), 4)"),"#REF!")</f>
        <v>#REF!</v>
      </c>
    </row>
    <row r="1470">
      <c r="A1470" s="1" t="s">
        <v>4070</v>
      </c>
      <c r="B1470" s="1" t="s">
        <v>4574</v>
      </c>
      <c r="C1470" s="1" t="s">
        <v>21</v>
      </c>
      <c r="D1470" s="4" t="s">
        <v>4575</v>
      </c>
      <c r="E1470" s="1" t="s">
        <v>4072</v>
      </c>
      <c r="F1470" s="1" t="s">
        <v>4487</v>
      </c>
      <c r="G1470" s="1" t="s">
        <v>752</v>
      </c>
      <c r="H1470" s="7" t="s">
        <v>4576</v>
      </c>
      <c r="I1470" s="1" t="str">
        <f t="shared" si="1"/>
        <v>1</v>
      </c>
      <c r="J1470" s="5"/>
      <c r="K1470" s="1" t="str">
        <f t="shared" si="2"/>
        <v>10</v>
      </c>
      <c r="L1470" s="5"/>
      <c r="M1470" s="2" t="str">
        <f t="shared" si="3"/>
        <v>1383</v>
      </c>
      <c r="N1470" s="1"/>
      <c r="O1470" s="13">
        <v>227.0</v>
      </c>
      <c r="P1470" s="5"/>
      <c r="Q1470" s="5"/>
      <c r="R1470" s="8" t="s">
        <v>4576</v>
      </c>
      <c r="S1470" s="5"/>
      <c r="T1470" s="1" t="str">
        <f>IFERROR(__xludf.DUMMYFUNCTION("INDEX(SPLIT(A1470, ""/""), 2)"),"کانون‌های فرهنگی هنری")</f>
        <v>کانون‌های فرهنگی هنری</v>
      </c>
      <c r="U1470" s="1" t="str">
        <f>IFERROR(__xludf.DUMMYFUNCTION("INDEX(SPLIT(A1470, ""/""), 3)"),"روزنامه شریف")</f>
        <v>روزنامه شریف</v>
      </c>
      <c r="V1470" s="1" t="str">
        <f>IFERROR(__xludf.DUMMYFUNCTION("INDEX(SPLIT(A1470, ""/""), 4)"),"#REF!")</f>
        <v>#REF!</v>
      </c>
    </row>
    <row r="1471">
      <c r="A1471" s="1" t="s">
        <v>4070</v>
      </c>
      <c r="B1471" s="1" t="s">
        <v>4577</v>
      </c>
      <c r="C1471" s="1" t="s">
        <v>21</v>
      </c>
      <c r="D1471" s="4" t="s">
        <v>4578</v>
      </c>
      <c r="E1471" s="1" t="s">
        <v>4072</v>
      </c>
      <c r="F1471" s="1" t="s">
        <v>4487</v>
      </c>
      <c r="G1471" s="1" t="s">
        <v>752</v>
      </c>
      <c r="H1471" s="7" t="s">
        <v>4579</v>
      </c>
      <c r="I1471" s="1" t="str">
        <f t="shared" si="1"/>
        <v>5</v>
      </c>
      <c r="J1471" s="5"/>
      <c r="K1471" s="1" t="str">
        <f t="shared" si="2"/>
        <v>10</v>
      </c>
      <c r="L1471" s="5"/>
      <c r="M1471" s="2" t="str">
        <f t="shared" si="3"/>
        <v>1383</v>
      </c>
      <c r="N1471" s="1"/>
      <c r="O1471" s="13">
        <v>228.0</v>
      </c>
      <c r="P1471" s="5"/>
      <c r="Q1471" s="5"/>
      <c r="R1471" s="8" t="s">
        <v>4579</v>
      </c>
      <c r="S1471" s="5"/>
      <c r="T1471" s="1" t="str">
        <f>IFERROR(__xludf.DUMMYFUNCTION("INDEX(SPLIT(A1471, ""/""), 2)"),"کانون‌های فرهنگی هنری")</f>
        <v>کانون‌های فرهنگی هنری</v>
      </c>
      <c r="U1471" s="1" t="str">
        <f>IFERROR(__xludf.DUMMYFUNCTION("INDEX(SPLIT(A1471, ""/""), 3)"),"روزنامه شریف")</f>
        <v>روزنامه شریف</v>
      </c>
      <c r="V1471" s="1" t="str">
        <f>IFERROR(__xludf.DUMMYFUNCTION("INDEX(SPLIT(A1471, ""/""), 4)"),"#REF!")</f>
        <v>#REF!</v>
      </c>
    </row>
    <row r="1472">
      <c r="A1472" s="1" t="s">
        <v>4070</v>
      </c>
      <c r="B1472" s="1" t="s">
        <v>4580</v>
      </c>
      <c r="C1472" s="1" t="s">
        <v>21</v>
      </c>
      <c r="D1472" s="4" t="s">
        <v>4581</v>
      </c>
      <c r="E1472" s="1" t="s">
        <v>4072</v>
      </c>
      <c r="F1472" s="1" t="s">
        <v>4487</v>
      </c>
      <c r="G1472" s="1" t="s">
        <v>752</v>
      </c>
      <c r="H1472" s="7" t="s">
        <v>4582</v>
      </c>
      <c r="I1472" s="1" t="str">
        <f t="shared" si="1"/>
        <v>8</v>
      </c>
      <c r="J1472" s="5"/>
      <c r="K1472" s="1" t="str">
        <f t="shared" si="2"/>
        <v>10</v>
      </c>
      <c r="L1472" s="5"/>
      <c r="M1472" s="2" t="str">
        <f t="shared" si="3"/>
        <v>1383</v>
      </c>
      <c r="N1472" s="1"/>
      <c r="O1472" s="13">
        <v>229.0</v>
      </c>
      <c r="P1472" s="5"/>
      <c r="Q1472" s="5"/>
      <c r="R1472" s="8" t="s">
        <v>4582</v>
      </c>
      <c r="S1472" s="5"/>
      <c r="T1472" s="1" t="str">
        <f>IFERROR(__xludf.DUMMYFUNCTION("INDEX(SPLIT(A1472, ""/""), 2)"),"کانون‌های فرهنگی هنری")</f>
        <v>کانون‌های فرهنگی هنری</v>
      </c>
      <c r="U1472" s="1" t="str">
        <f>IFERROR(__xludf.DUMMYFUNCTION("INDEX(SPLIT(A1472, ""/""), 3)"),"روزنامه شریف")</f>
        <v>روزنامه شریف</v>
      </c>
      <c r="V1472" s="1" t="str">
        <f>IFERROR(__xludf.DUMMYFUNCTION("INDEX(SPLIT(A1472, ""/""), 4)"),"#REF!")</f>
        <v>#REF!</v>
      </c>
    </row>
    <row r="1473">
      <c r="A1473" s="1" t="s">
        <v>4070</v>
      </c>
      <c r="B1473" s="1" t="s">
        <v>4583</v>
      </c>
      <c r="C1473" s="1" t="s">
        <v>21</v>
      </c>
      <c r="D1473" s="4" t="s">
        <v>4584</v>
      </c>
      <c r="E1473" s="1" t="s">
        <v>4072</v>
      </c>
      <c r="F1473" s="1" t="s">
        <v>4487</v>
      </c>
      <c r="G1473" s="1" t="s">
        <v>752</v>
      </c>
      <c r="H1473" s="7" t="s">
        <v>4585</v>
      </c>
      <c r="I1473" s="1" t="str">
        <f t="shared" si="1"/>
        <v>12</v>
      </c>
      <c r="J1473" s="5"/>
      <c r="K1473" s="1" t="str">
        <f t="shared" si="2"/>
        <v>10</v>
      </c>
      <c r="L1473" s="5"/>
      <c r="M1473" s="2" t="str">
        <f t="shared" si="3"/>
        <v>1383</v>
      </c>
      <c r="N1473" s="1"/>
      <c r="O1473" s="13">
        <v>230.0</v>
      </c>
      <c r="P1473" s="5"/>
      <c r="Q1473" s="5"/>
      <c r="R1473" s="8" t="s">
        <v>4585</v>
      </c>
      <c r="S1473" s="5"/>
      <c r="T1473" s="1" t="str">
        <f>IFERROR(__xludf.DUMMYFUNCTION("INDEX(SPLIT(A1473, ""/""), 2)"),"کانون‌های فرهنگی هنری")</f>
        <v>کانون‌های فرهنگی هنری</v>
      </c>
      <c r="U1473" s="1" t="str">
        <f>IFERROR(__xludf.DUMMYFUNCTION("INDEX(SPLIT(A1473, ""/""), 3)"),"روزنامه شریف")</f>
        <v>روزنامه شریف</v>
      </c>
      <c r="V1473" s="1" t="str">
        <f>IFERROR(__xludf.DUMMYFUNCTION("INDEX(SPLIT(A1473, ""/""), 4)"),"#REF!")</f>
        <v>#REF!</v>
      </c>
    </row>
    <row r="1474">
      <c r="A1474" s="1" t="s">
        <v>4070</v>
      </c>
      <c r="B1474" s="1" t="s">
        <v>4586</v>
      </c>
      <c r="C1474" s="1" t="s">
        <v>21</v>
      </c>
      <c r="D1474" s="4" t="s">
        <v>4587</v>
      </c>
      <c r="E1474" s="1" t="s">
        <v>4072</v>
      </c>
      <c r="F1474" s="1" t="s">
        <v>4487</v>
      </c>
      <c r="G1474" s="1" t="s">
        <v>752</v>
      </c>
      <c r="H1474" s="1" t="s">
        <v>4588</v>
      </c>
      <c r="I1474" s="1" t="str">
        <f t="shared" si="1"/>
        <v>13</v>
      </c>
      <c r="J1474" s="5"/>
      <c r="K1474" s="1" t="str">
        <f t="shared" si="2"/>
        <v>11</v>
      </c>
      <c r="L1474" s="5"/>
      <c r="M1474" s="2" t="str">
        <f t="shared" si="3"/>
        <v>1383</v>
      </c>
      <c r="N1474" s="1"/>
      <c r="O1474" s="13">
        <v>231.0</v>
      </c>
      <c r="P1474" s="5"/>
      <c r="Q1474" s="5"/>
      <c r="R1474" s="6" t="s">
        <v>4588</v>
      </c>
      <c r="S1474" s="5"/>
      <c r="T1474" s="1" t="str">
        <f>IFERROR(__xludf.DUMMYFUNCTION("INDEX(SPLIT(A1474, ""/""), 2)"),"کانون‌های فرهنگی هنری")</f>
        <v>کانون‌های فرهنگی هنری</v>
      </c>
      <c r="U1474" s="1" t="str">
        <f>IFERROR(__xludf.DUMMYFUNCTION("INDEX(SPLIT(A1474, ""/""), 3)"),"روزنامه شریف")</f>
        <v>روزنامه شریف</v>
      </c>
      <c r="V1474" s="1" t="str">
        <f>IFERROR(__xludf.DUMMYFUNCTION("INDEX(SPLIT(A1474, ""/""), 4)"),"#REF!")</f>
        <v>#REF!</v>
      </c>
    </row>
    <row r="1475">
      <c r="A1475" s="1" t="s">
        <v>4070</v>
      </c>
      <c r="B1475" s="1" t="s">
        <v>4589</v>
      </c>
      <c r="C1475" s="1" t="s">
        <v>21</v>
      </c>
      <c r="D1475" s="4" t="s">
        <v>4590</v>
      </c>
      <c r="E1475" s="1" t="s">
        <v>4072</v>
      </c>
      <c r="F1475" s="1" t="s">
        <v>4487</v>
      </c>
      <c r="G1475" s="1" t="s">
        <v>752</v>
      </c>
      <c r="H1475" s="1" t="s">
        <v>4591</v>
      </c>
      <c r="I1475" s="1" t="str">
        <f t="shared" si="1"/>
        <v>17</v>
      </c>
      <c r="J1475" s="5"/>
      <c r="K1475" s="1" t="str">
        <f t="shared" si="2"/>
        <v>11</v>
      </c>
      <c r="L1475" s="5"/>
      <c r="M1475" s="2" t="str">
        <f t="shared" si="3"/>
        <v>1383</v>
      </c>
      <c r="N1475" s="1"/>
      <c r="O1475" s="13">
        <v>232.0</v>
      </c>
      <c r="P1475" s="5"/>
      <c r="Q1475" s="5"/>
      <c r="R1475" s="6" t="s">
        <v>4591</v>
      </c>
      <c r="S1475" s="5"/>
      <c r="T1475" s="1" t="str">
        <f>IFERROR(__xludf.DUMMYFUNCTION("INDEX(SPLIT(A1475, ""/""), 2)"),"کانون‌های فرهنگی هنری")</f>
        <v>کانون‌های فرهنگی هنری</v>
      </c>
      <c r="U1475" s="1" t="str">
        <f>IFERROR(__xludf.DUMMYFUNCTION("INDEX(SPLIT(A1475, ""/""), 3)"),"روزنامه شریف")</f>
        <v>روزنامه شریف</v>
      </c>
      <c r="V1475" s="1" t="str">
        <f>IFERROR(__xludf.DUMMYFUNCTION("INDEX(SPLIT(A1475, ""/""), 4)"),"#REF!")</f>
        <v>#REF!</v>
      </c>
    </row>
    <row r="1476">
      <c r="A1476" s="1" t="s">
        <v>4070</v>
      </c>
      <c r="B1476" s="1" t="s">
        <v>4592</v>
      </c>
      <c r="C1476" s="1" t="s">
        <v>21</v>
      </c>
      <c r="D1476" s="4" t="s">
        <v>4593</v>
      </c>
      <c r="E1476" s="1" t="s">
        <v>4072</v>
      </c>
      <c r="F1476" s="1" t="s">
        <v>4487</v>
      </c>
      <c r="G1476" s="1" t="s">
        <v>752</v>
      </c>
      <c r="H1476" s="1" t="s">
        <v>4594</v>
      </c>
      <c r="I1476" s="1" t="str">
        <f t="shared" si="1"/>
        <v>20</v>
      </c>
      <c r="J1476" s="5"/>
      <c r="K1476" s="1" t="str">
        <f t="shared" si="2"/>
        <v>11</v>
      </c>
      <c r="L1476" s="5"/>
      <c r="M1476" s="2" t="str">
        <f t="shared" si="3"/>
        <v>1383</v>
      </c>
      <c r="N1476" s="1"/>
      <c r="O1476" s="13">
        <v>233.0</v>
      </c>
      <c r="P1476" s="5"/>
      <c r="Q1476" s="5"/>
      <c r="R1476" s="6" t="s">
        <v>4594</v>
      </c>
      <c r="S1476" s="5"/>
      <c r="T1476" s="1" t="str">
        <f>IFERROR(__xludf.DUMMYFUNCTION("INDEX(SPLIT(A1476, ""/""), 2)"),"کانون‌های فرهنگی هنری")</f>
        <v>کانون‌های فرهنگی هنری</v>
      </c>
      <c r="U1476" s="1" t="str">
        <f>IFERROR(__xludf.DUMMYFUNCTION("INDEX(SPLIT(A1476, ""/""), 3)"),"روزنامه شریف")</f>
        <v>روزنامه شریف</v>
      </c>
      <c r="V1476" s="1" t="str">
        <f>IFERROR(__xludf.DUMMYFUNCTION("INDEX(SPLIT(A1476, ""/""), 4)"),"#REF!")</f>
        <v>#REF!</v>
      </c>
    </row>
    <row r="1477">
      <c r="A1477" s="1" t="s">
        <v>4070</v>
      </c>
      <c r="B1477" s="1" t="s">
        <v>4595</v>
      </c>
      <c r="C1477" s="1" t="s">
        <v>21</v>
      </c>
      <c r="D1477" s="4" t="s">
        <v>4596</v>
      </c>
      <c r="E1477" s="1" t="s">
        <v>4072</v>
      </c>
      <c r="F1477" s="1" t="s">
        <v>4487</v>
      </c>
      <c r="G1477" s="1" t="s">
        <v>752</v>
      </c>
      <c r="H1477" s="1" t="s">
        <v>4597</v>
      </c>
      <c r="I1477" s="1" t="str">
        <f t="shared" si="1"/>
        <v>24</v>
      </c>
      <c r="J1477" s="5"/>
      <c r="K1477" s="1" t="str">
        <f t="shared" si="2"/>
        <v>11</v>
      </c>
      <c r="L1477" s="5"/>
      <c r="M1477" s="2" t="str">
        <f t="shared" si="3"/>
        <v>1383</v>
      </c>
      <c r="N1477" s="1"/>
      <c r="O1477" s="13">
        <v>234.0</v>
      </c>
      <c r="P1477" s="5"/>
      <c r="Q1477" s="5"/>
      <c r="R1477" s="6" t="s">
        <v>4597</v>
      </c>
      <c r="S1477" s="5"/>
      <c r="T1477" s="1" t="str">
        <f>IFERROR(__xludf.DUMMYFUNCTION("INDEX(SPLIT(A1477, ""/""), 2)"),"کانون‌های فرهنگی هنری")</f>
        <v>کانون‌های فرهنگی هنری</v>
      </c>
      <c r="U1477" s="1" t="str">
        <f>IFERROR(__xludf.DUMMYFUNCTION("INDEX(SPLIT(A1477, ""/""), 3)"),"روزنامه شریف")</f>
        <v>روزنامه شریف</v>
      </c>
      <c r="V1477" s="1" t="str">
        <f>IFERROR(__xludf.DUMMYFUNCTION("INDEX(SPLIT(A1477, ""/""), 4)"),"#REF!")</f>
        <v>#REF!</v>
      </c>
    </row>
    <row r="1478">
      <c r="A1478" s="1" t="s">
        <v>4070</v>
      </c>
      <c r="B1478" s="1" t="s">
        <v>4598</v>
      </c>
      <c r="C1478" s="1" t="s">
        <v>21</v>
      </c>
      <c r="D1478" s="4" t="s">
        <v>4599</v>
      </c>
      <c r="E1478" s="1" t="s">
        <v>4072</v>
      </c>
      <c r="F1478" s="1" t="s">
        <v>4487</v>
      </c>
      <c r="G1478" s="1" t="s">
        <v>752</v>
      </c>
      <c r="H1478" s="1" t="s">
        <v>4600</v>
      </c>
      <c r="I1478" s="1" t="str">
        <f t="shared" si="1"/>
        <v>27</v>
      </c>
      <c r="J1478" s="5"/>
      <c r="K1478" s="1" t="str">
        <f t="shared" si="2"/>
        <v>11</v>
      </c>
      <c r="L1478" s="5"/>
      <c r="M1478" s="2" t="str">
        <f t="shared" si="3"/>
        <v>1383</v>
      </c>
      <c r="N1478" s="1"/>
      <c r="O1478" s="13">
        <v>235.0</v>
      </c>
      <c r="P1478" s="5"/>
      <c r="Q1478" s="5"/>
      <c r="R1478" s="6" t="s">
        <v>4600</v>
      </c>
      <c r="S1478" s="5"/>
      <c r="T1478" s="1" t="str">
        <f>IFERROR(__xludf.DUMMYFUNCTION("INDEX(SPLIT(A1478, ""/""), 2)"),"کانون‌های فرهنگی هنری")</f>
        <v>کانون‌های فرهنگی هنری</v>
      </c>
      <c r="U1478" s="1" t="str">
        <f>IFERROR(__xludf.DUMMYFUNCTION("INDEX(SPLIT(A1478, ""/""), 3)"),"روزنامه شریف")</f>
        <v>روزنامه شریف</v>
      </c>
      <c r="V1478" s="1" t="str">
        <f>IFERROR(__xludf.DUMMYFUNCTION("INDEX(SPLIT(A1478, ""/""), 4)"),"#REF!")</f>
        <v>#REF!</v>
      </c>
    </row>
    <row r="1479">
      <c r="A1479" s="1" t="s">
        <v>4070</v>
      </c>
      <c r="B1479" s="1" t="s">
        <v>4601</v>
      </c>
      <c r="C1479" s="1" t="s">
        <v>21</v>
      </c>
      <c r="D1479" s="4" t="s">
        <v>4602</v>
      </c>
      <c r="E1479" s="1" t="s">
        <v>4072</v>
      </c>
      <c r="F1479" s="1" t="s">
        <v>4487</v>
      </c>
      <c r="G1479" s="1" t="s">
        <v>752</v>
      </c>
      <c r="H1479" s="7" t="s">
        <v>4603</v>
      </c>
      <c r="I1479" s="1" t="str">
        <f t="shared" si="1"/>
        <v>4</v>
      </c>
      <c r="J1479" s="5"/>
      <c r="K1479" s="1" t="str">
        <f t="shared" si="2"/>
        <v>12</v>
      </c>
      <c r="L1479" s="5"/>
      <c r="M1479" s="2" t="str">
        <f t="shared" si="3"/>
        <v>1383</v>
      </c>
      <c r="N1479" s="1"/>
      <c r="O1479" s="13">
        <v>236.0</v>
      </c>
      <c r="P1479" s="5"/>
      <c r="Q1479" s="5"/>
      <c r="R1479" s="8" t="s">
        <v>4603</v>
      </c>
      <c r="S1479" s="5"/>
      <c r="T1479" s="1" t="str">
        <f>IFERROR(__xludf.DUMMYFUNCTION("INDEX(SPLIT(A1479, ""/""), 2)"),"کانون‌های فرهنگی هنری")</f>
        <v>کانون‌های فرهنگی هنری</v>
      </c>
      <c r="U1479" s="1" t="str">
        <f>IFERROR(__xludf.DUMMYFUNCTION("INDEX(SPLIT(A1479, ""/""), 3)"),"روزنامه شریف")</f>
        <v>روزنامه شریف</v>
      </c>
      <c r="V1479" s="1" t="str">
        <f>IFERROR(__xludf.DUMMYFUNCTION("INDEX(SPLIT(A1479, ""/""), 4)"),"#REF!")</f>
        <v>#REF!</v>
      </c>
    </row>
    <row r="1480">
      <c r="A1480" s="1" t="s">
        <v>4070</v>
      </c>
      <c r="B1480" s="1" t="s">
        <v>4604</v>
      </c>
      <c r="C1480" s="1" t="s">
        <v>21</v>
      </c>
      <c r="D1480" s="4" t="s">
        <v>4605</v>
      </c>
      <c r="E1480" s="1" t="s">
        <v>4072</v>
      </c>
      <c r="F1480" s="1" t="s">
        <v>4487</v>
      </c>
      <c r="G1480" s="1" t="s">
        <v>752</v>
      </c>
      <c r="H1480" s="7" t="s">
        <v>4606</v>
      </c>
      <c r="I1480" s="1" t="str">
        <f t="shared" si="1"/>
        <v>8</v>
      </c>
      <c r="J1480" s="5"/>
      <c r="K1480" s="1" t="str">
        <f t="shared" si="2"/>
        <v>12</v>
      </c>
      <c r="L1480" s="5"/>
      <c r="M1480" s="2" t="str">
        <f t="shared" si="3"/>
        <v>1383</v>
      </c>
      <c r="N1480" s="1"/>
      <c r="O1480" s="13">
        <v>237.0</v>
      </c>
      <c r="P1480" s="5"/>
      <c r="Q1480" s="5"/>
      <c r="R1480" s="8" t="s">
        <v>4606</v>
      </c>
      <c r="S1480" s="5"/>
      <c r="T1480" s="1" t="str">
        <f>IFERROR(__xludf.DUMMYFUNCTION("INDEX(SPLIT(A1480, ""/""), 2)"),"کانون‌های فرهنگی هنری")</f>
        <v>کانون‌های فرهنگی هنری</v>
      </c>
      <c r="U1480" s="1" t="str">
        <f>IFERROR(__xludf.DUMMYFUNCTION("INDEX(SPLIT(A1480, ""/""), 3)"),"روزنامه شریف")</f>
        <v>روزنامه شریف</v>
      </c>
      <c r="V1480" s="1" t="str">
        <f>IFERROR(__xludf.DUMMYFUNCTION("INDEX(SPLIT(A1480, ""/""), 4)"),"#REF!")</f>
        <v>#REF!</v>
      </c>
    </row>
    <row r="1481">
      <c r="A1481" s="1" t="s">
        <v>4070</v>
      </c>
      <c r="B1481" s="1" t="s">
        <v>4607</v>
      </c>
      <c r="C1481" s="1" t="s">
        <v>21</v>
      </c>
      <c r="D1481" s="4" t="s">
        <v>4608</v>
      </c>
      <c r="E1481" s="1" t="s">
        <v>4072</v>
      </c>
      <c r="F1481" s="1" t="s">
        <v>4487</v>
      </c>
      <c r="G1481" s="1" t="s">
        <v>752</v>
      </c>
      <c r="H1481" s="7" t="s">
        <v>4609</v>
      </c>
      <c r="I1481" s="1" t="str">
        <f t="shared" si="1"/>
        <v>11</v>
      </c>
      <c r="J1481" s="5"/>
      <c r="K1481" s="1" t="str">
        <f t="shared" si="2"/>
        <v>12</v>
      </c>
      <c r="L1481" s="5"/>
      <c r="M1481" s="2" t="str">
        <f t="shared" si="3"/>
        <v>1383</v>
      </c>
      <c r="N1481" s="1"/>
      <c r="O1481" s="13">
        <v>238.0</v>
      </c>
      <c r="P1481" s="5"/>
      <c r="Q1481" s="5"/>
      <c r="R1481" s="8" t="s">
        <v>4609</v>
      </c>
      <c r="S1481" s="5"/>
      <c r="T1481" s="1" t="str">
        <f>IFERROR(__xludf.DUMMYFUNCTION("INDEX(SPLIT(A1481, ""/""), 2)"),"کانون‌های فرهنگی هنری")</f>
        <v>کانون‌های فرهنگی هنری</v>
      </c>
      <c r="U1481" s="1" t="str">
        <f>IFERROR(__xludf.DUMMYFUNCTION("INDEX(SPLIT(A1481, ""/""), 3)"),"روزنامه شریف")</f>
        <v>روزنامه شریف</v>
      </c>
      <c r="V1481" s="1" t="str">
        <f>IFERROR(__xludf.DUMMYFUNCTION("INDEX(SPLIT(A1481, ""/""), 4)"),"#REF!")</f>
        <v>#REF!</v>
      </c>
    </row>
    <row r="1482">
      <c r="A1482" s="1" t="s">
        <v>4070</v>
      </c>
      <c r="B1482" s="1" t="s">
        <v>4610</v>
      </c>
      <c r="C1482" s="1" t="s">
        <v>21</v>
      </c>
      <c r="D1482" s="4" t="s">
        <v>4611</v>
      </c>
      <c r="E1482" s="1" t="s">
        <v>4072</v>
      </c>
      <c r="F1482" s="1" t="s">
        <v>4487</v>
      </c>
      <c r="G1482" s="1" t="s">
        <v>752</v>
      </c>
      <c r="H1482" s="1" t="s">
        <v>4612</v>
      </c>
      <c r="I1482" s="1" t="str">
        <f t="shared" si="1"/>
        <v>15</v>
      </c>
      <c r="J1482" s="5"/>
      <c r="K1482" s="1" t="str">
        <f t="shared" si="2"/>
        <v>12</v>
      </c>
      <c r="L1482" s="5"/>
      <c r="M1482" s="2" t="str">
        <f t="shared" si="3"/>
        <v>1383</v>
      </c>
      <c r="N1482" s="1"/>
      <c r="O1482" s="13">
        <v>239.0</v>
      </c>
      <c r="P1482" s="5"/>
      <c r="Q1482" s="5"/>
      <c r="R1482" s="6" t="s">
        <v>4612</v>
      </c>
      <c r="S1482" s="5"/>
      <c r="T1482" s="1" t="str">
        <f>IFERROR(__xludf.DUMMYFUNCTION("INDEX(SPLIT(A1482, ""/""), 2)"),"کانون‌های فرهنگی هنری")</f>
        <v>کانون‌های فرهنگی هنری</v>
      </c>
      <c r="U1482" s="1" t="str">
        <f>IFERROR(__xludf.DUMMYFUNCTION("INDEX(SPLIT(A1482, ""/""), 3)"),"روزنامه شریف")</f>
        <v>روزنامه شریف</v>
      </c>
      <c r="V1482" s="1" t="str">
        <f>IFERROR(__xludf.DUMMYFUNCTION("INDEX(SPLIT(A1482, ""/""), 4)"),"#REF!")</f>
        <v>#REF!</v>
      </c>
    </row>
    <row r="1483">
      <c r="A1483" s="1" t="s">
        <v>4070</v>
      </c>
      <c r="B1483" s="1" t="s">
        <v>4613</v>
      </c>
      <c r="C1483" s="1" t="s">
        <v>21</v>
      </c>
      <c r="D1483" s="4" t="s">
        <v>4614</v>
      </c>
      <c r="E1483" s="1" t="s">
        <v>4072</v>
      </c>
      <c r="F1483" s="1" t="s">
        <v>4487</v>
      </c>
      <c r="G1483" s="1" t="s">
        <v>752</v>
      </c>
      <c r="H1483" s="1" t="s">
        <v>4615</v>
      </c>
      <c r="I1483" s="1" t="str">
        <f t="shared" si="1"/>
        <v>18</v>
      </c>
      <c r="J1483" s="5"/>
      <c r="K1483" s="1" t="str">
        <f t="shared" si="2"/>
        <v>12</v>
      </c>
      <c r="L1483" s="5"/>
      <c r="M1483" s="2" t="str">
        <f t="shared" si="3"/>
        <v>1383</v>
      </c>
      <c r="N1483" s="1"/>
      <c r="O1483" s="13">
        <v>240.0</v>
      </c>
      <c r="P1483" s="5"/>
      <c r="Q1483" s="5"/>
      <c r="R1483" s="6" t="s">
        <v>4615</v>
      </c>
      <c r="S1483" s="5"/>
      <c r="T1483" s="1" t="str">
        <f>IFERROR(__xludf.DUMMYFUNCTION("INDEX(SPLIT(A1483, ""/""), 2)"),"کانون‌های فرهنگی هنری")</f>
        <v>کانون‌های فرهنگی هنری</v>
      </c>
      <c r="U1483" s="1" t="str">
        <f>IFERROR(__xludf.DUMMYFUNCTION("INDEX(SPLIT(A1483, ""/""), 3)"),"روزنامه شریف")</f>
        <v>روزنامه شریف</v>
      </c>
      <c r="V1483" s="1" t="str">
        <f>IFERROR(__xludf.DUMMYFUNCTION("INDEX(SPLIT(A1483, ""/""), 4)"),"#REF!")</f>
        <v>#REF!</v>
      </c>
    </row>
    <row r="1484">
      <c r="A1484" s="1" t="s">
        <v>4070</v>
      </c>
      <c r="B1484" s="1" t="s">
        <v>4616</v>
      </c>
      <c r="C1484" s="1" t="s">
        <v>21</v>
      </c>
      <c r="D1484" s="4" t="s">
        <v>4617</v>
      </c>
      <c r="E1484" s="1" t="s">
        <v>4072</v>
      </c>
      <c r="F1484" s="1" t="s">
        <v>4487</v>
      </c>
      <c r="G1484" s="1" t="s">
        <v>752</v>
      </c>
      <c r="H1484" s="1" t="s">
        <v>4618</v>
      </c>
      <c r="I1484" s="1" t="str">
        <f t="shared" si="1"/>
        <v>22</v>
      </c>
      <c r="J1484" s="5"/>
      <c r="K1484" s="1" t="str">
        <f t="shared" si="2"/>
        <v>12</v>
      </c>
      <c r="L1484" s="5"/>
      <c r="M1484" s="2" t="str">
        <f t="shared" si="3"/>
        <v>1383</v>
      </c>
      <c r="N1484" s="1"/>
      <c r="O1484" s="13">
        <v>241.0</v>
      </c>
      <c r="P1484" s="5"/>
      <c r="Q1484" s="5"/>
      <c r="R1484" s="6" t="s">
        <v>4618</v>
      </c>
      <c r="S1484" s="5"/>
      <c r="T1484" s="1" t="str">
        <f>IFERROR(__xludf.DUMMYFUNCTION("INDEX(SPLIT(A1484, ""/""), 2)"),"کانون‌های فرهنگی هنری")</f>
        <v>کانون‌های فرهنگی هنری</v>
      </c>
      <c r="U1484" s="1" t="str">
        <f>IFERROR(__xludf.DUMMYFUNCTION("INDEX(SPLIT(A1484, ""/""), 3)"),"روزنامه شریف")</f>
        <v>روزنامه شریف</v>
      </c>
      <c r="V1484" s="1" t="str">
        <f>IFERROR(__xludf.DUMMYFUNCTION("INDEX(SPLIT(A1484, ""/""), 4)"),"#REF!")</f>
        <v>#REF!</v>
      </c>
    </row>
    <row r="1485">
      <c r="A1485" s="1" t="s">
        <v>4070</v>
      </c>
      <c r="B1485" s="1" t="s">
        <v>4619</v>
      </c>
      <c r="C1485" s="1" t="s">
        <v>21</v>
      </c>
      <c r="D1485" s="4" t="s">
        <v>4620</v>
      </c>
      <c r="E1485" s="1" t="s">
        <v>4072</v>
      </c>
      <c r="F1485" s="1" t="s">
        <v>4487</v>
      </c>
      <c r="G1485" s="1" t="s">
        <v>752</v>
      </c>
      <c r="H1485" s="1" t="s">
        <v>4621</v>
      </c>
      <c r="I1485" s="1" t="str">
        <f t="shared" si="1"/>
        <v>16</v>
      </c>
      <c r="J1485" s="5"/>
      <c r="K1485" s="1" t="str">
        <f t="shared" si="2"/>
        <v>1</v>
      </c>
      <c r="L1485" s="5"/>
      <c r="M1485" s="2" t="str">
        <f t="shared" si="3"/>
        <v>1384</v>
      </c>
      <c r="N1485" s="1"/>
      <c r="O1485" s="13">
        <v>242.0</v>
      </c>
      <c r="P1485" s="5"/>
      <c r="Q1485" s="5"/>
      <c r="R1485" s="6" t="s">
        <v>4621</v>
      </c>
      <c r="S1485" s="5"/>
      <c r="T1485" s="1" t="str">
        <f>IFERROR(__xludf.DUMMYFUNCTION("INDEX(SPLIT(A1485, ""/""), 2)"),"کانون‌های فرهنگی هنری")</f>
        <v>کانون‌های فرهنگی هنری</v>
      </c>
      <c r="U1485" s="1" t="str">
        <f>IFERROR(__xludf.DUMMYFUNCTION("INDEX(SPLIT(A1485, ""/""), 3)"),"روزنامه شریف")</f>
        <v>روزنامه شریف</v>
      </c>
      <c r="V1485" s="1" t="str">
        <f>IFERROR(__xludf.DUMMYFUNCTION("INDEX(SPLIT(A1485, ""/""), 4)"),"#REF!")</f>
        <v>#REF!</v>
      </c>
    </row>
    <row r="1486">
      <c r="A1486" s="1" t="s">
        <v>4070</v>
      </c>
      <c r="B1486" s="1" t="s">
        <v>4622</v>
      </c>
      <c r="C1486" s="1" t="s">
        <v>21</v>
      </c>
      <c r="D1486" s="4" t="s">
        <v>4623</v>
      </c>
      <c r="E1486" s="1" t="s">
        <v>4072</v>
      </c>
      <c r="F1486" s="1" t="s">
        <v>4487</v>
      </c>
      <c r="G1486" s="1" t="s">
        <v>752</v>
      </c>
      <c r="H1486" s="1" t="s">
        <v>4624</v>
      </c>
      <c r="I1486" s="1" t="str">
        <f t="shared" si="1"/>
        <v>23</v>
      </c>
      <c r="J1486" s="5"/>
      <c r="K1486" s="1" t="str">
        <f t="shared" si="2"/>
        <v>1</v>
      </c>
      <c r="L1486" s="5"/>
      <c r="M1486" s="2" t="str">
        <f t="shared" si="3"/>
        <v>1384</v>
      </c>
      <c r="N1486" s="1"/>
      <c r="O1486" s="13">
        <v>243.0</v>
      </c>
      <c r="P1486" s="5"/>
      <c r="Q1486" s="5"/>
      <c r="R1486" s="6" t="s">
        <v>4624</v>
      </c>
      <c r="S1486" s="5"/>
      <c r="T1486" s="1" t="str">
        <f>IFERROR(__xludf.DUMMYFUNCTION("INDEX(SPLIT(A1486, ""/""), 2)"),"کانون‌های فرهنگی هنری")</f>
        <v>کانون‌های فرهنگی هنری</v>
      </c>
      <c r="U1486" s="1" t="str">
        <f>IFERROR(__xludf.DUMMYFUNCTION("INDEX(SPLIT(A1486, ""/""), 3)"),"روزنامه شریف")</f>
        <v>روزنامه شریف</v>
      </c>
      <c r="V1486" s="1" t="str">
        <f>IFERROR(__xludf.DUMMYFUNCTION("INDEX(SPLIT(A1486, ""/""), 4)"),"#REF!")</f>
        <v>#REF!</v>
      </c>
    </row>
    <row r="1487">
      <c r="A1487" s="1" t="s">
        <v>4070</v>
      </c>
      <c r="B1487" s="1" t="s">
        <v>4625</v>
      </c>
      <c r="C1487" s="1" t="s">
        <v>21</v>
      </c>
      <c r="D1487" s="4" t="s">
        <v>4626</v>
      </c>
      <c r="E1487" s="1" t="s">
        <v>4072</v>
      </c>
      <c r="F1487" s="1" t="s">
        <v>4487</v>
      </c>
      <c r="G1487" s="1" t="s">
        <v>752</v>
      </c>
      <c r="H1487" s="1" t="s">
        <v>4627</v>
      </c>
      <c r="I1487" s="1" t="str">
        <f t="shared" si="1"/>
        <v>27</v>
      </c>
      <c r="J1487" s="5"/>
      <c r="K1487" s="1" t="str">
        <f t="shared" si="2"/>
        <v>1</v>
      </c>
      <c r="L1487" s="5"/>
      <c r="M1487" s="2" t="str">
        <f t="shared" si="3"/>
        <v>1384</v>
      </c>
      <c r="N1487" s="5"/>
      <c r="O1487" s="13">
        <v>244.0</v>
      </c>
      <c r="P1487" s="5"/>
      <c r="Q1487" s="5"/>
      <c r="R1487" s="6" t="s">
        <v>4627</v>
      </c>
      <c r="S1487" s="5"/>
      <c r="T1487" s="1" t="str">
        <f>IFERROR(__xludf.DUMMYFUNCTION("INDEX(SPLIT(A1487, ""/""), 2)"),"کانون‌های فرهنگی هنری")</f>
        <v>کانون‌های فرهنگی هنری</v>
      </c>
      <c r="U1487" s="1" t="str">
        <f>IFERROR(__xludf.DUMMYFUNCTION("INDEX(SPLIT(A1487, ""/""), 3)"),"روزنامه شریف")</f>
        <v>روزنامه شریف</v>
      </c>
      <c r="V1487" s="1" t="str">
        <f>IFERROR(__xludf.DUMMYFUNCTION("INDEX(SPLIT(A1487, ""/""), 4)"),"#REF!")</f>
        <v>#REF!</v>
      </c>
    </row>
    <row r="1488">
      <c r="A1488" s="1" t="s">
        <v>4070</v>
      </c>
      <c r="B1488" s="1" t="s">
        <v>4628</v>
      </c>
      <c r="C1488" s="1" t="s">
        <v>21</v>
      </c>
      <c r="D1488" s="4" t="s">
        <v>4629</v>
      </c>
      <c r="E1488" s="1" t="s">
        <v>4072</v>
      </c>
      <c r="F1488" s="1" t="s">
        <v>4487</v>
      </c>
      <c r="G1488" s="1" t="s">
        <v>752</v>
      </c>
      <c r="H1488" s="1" t="s">
        <v>4630</v>
      </c>
      <c r="I1488" s="1" t="str">
        <f t="shared" si="1"/>
        <v>30</v>
      </c>
      <c r="J1488" s="5"/>
      <c r="K1488" s="1" t="str">
        <f t="shared" si="2"/>
        <v>1</v>
      </c>
      <c r="L1488" s="5"/>
      <c r="M1488" s="2" t="str">
        <f t="shared" si="3"/>
        <v>1384</v>
      </c>
      <c r="N1488" s="1"/>
      <c r="O1488" s="13">
        <v>245.0</v>
      </c>
      <c r="P1488" s="5"/>
      <c r="Q1488" s="5"/>
      <c r="R1488" s="6" t="s">
        <v>4630</v>
      </c>
      <c r="S1488" s="5"/>
      <c r="T1488" s="1" t="str">
        <f>IFERROR(__xludf.DUMMYFUNCTION("INDEX(SPLIT(A1488, ""/""), 2)"),"کانون‌های فرهنگی هنری")</f>
        <v>کانون‌های فرهنگی هنری</v>
      </c>
      <c r="U1488" s="1" t="str">
        <f>IFERROR(__xludf.DUMMYFUNCTION("INDEX(SPLIT(A1488, ""/""), 3)"),"روزنامه شریف")</f>
        <v>روزنامه شریف</v>
      </c>
      <c r="V1488" s="1" t="str">
        <f>IFERROR(__xludf.DUMMYFUNCTION("INDEX(SPLIT(A1488, ""/""), 4)"),"#REF!")</f>
        <v>#REF!</v>
      </c>
    </row>
    <row r="1489">
      <c r="A1489" s="1" t="s">
        <v>4070</v>
      </c>
      <c r="B1489" s="1" t="s">
        <v>4631</v>
      </c>
      <c r="C1489" s="1" t="s">
        <v>21</v>
      </c>
      <c r="D1489" s="4" t="s">
        <v>4632</v>
      </c>
      <c r="E1489" s="1" t="s">
        <v>4072</v>
      </c>
      <c r="F1489" s="1" t="s">
        <v>4487</v>
      </c>
      <c r="G1489" s="1" t="s">
        <v>752</v>
      </c>
      <c r="H1489" s="7" t="s">
        <v>4633</v>
      </c>
      <c r="I1489" s="1" t="str">
        <f t="shared" si="1"/>
        <v>3</v>
      </c>
      <c r="J1489" s="5"/>
      <c r="K1489" s="1" t="str">
        <f t="shared" si="2"/>
        <v>2</v>
      </c>
      <c r="L1489" s="5"/>
      <c r="M1489" s="2" t="str">
        <f t="shared" si="3"/>
        <v>1384</v>
      </c>
      <c r="N1489" s="1"/>
      <c r="O1489" s="13">
        <v>246.0</v>
      </c>
      <c r="P1489" s="5"/>
      <c r="Q1489" s="5"/>
      <c r="R1489" s="8" t="s">
        <v>4633</v>
      </c>
      <c r="S1489" s="5"/>
      <c r="T1489" s="1" t="str">
        <f>IFERROR(__xludf.DUMMYFUNCTION("INDEX(SPLIT(A1489, ""/""), 2)"),"کانون‌های فرهنگی هنری")</f>
        <v>کانون‌های فرهنگی هنری</v>
      </c>
      <c r="U1489" s="1" t="str">
        <f>IFERROR(__xludf.DUMMYFUNCTION("INDEX(SPLIT(A1489, ""/""), 3)"),"روزنامه شریف")</f>
        <v>روزنامه شریف</v>
      </c>
      <c r="V1489" s="1" t="str">
        <f>IFERROR(__xludf.DUMMYFUNCTION("INDEX(SPLIT(A1489, ""/""), 4)"),"#REF!")</f>
        <v>#REF!</v>
      </c>
    </row>
    <row r="1490">
      <c r="A1490" s="1" t="s">
        <v>4070</v>
      </c>
      <c r="B1490" s="1" t="s">
        <v>4634</v>
      </c>
      <c r="C1490" s="1" t="s">
        <v>21</v>
      </c>
      <c r="D1490" s="4" t="s">
        <v>4635</v>
      </c>
      <c r="E1490" s="1" t="s">
        <v>4072</v>
      </c>
      <c r="F1490" s="1" t="s">
        <v>4487</v>
      </c>
      <c r="G1490" s="1" t="s">
        <v>752</v>
      </c>
      <c r="H1490" s="7" t="s">
        <v>4636</v>
      </c>
      <c r="I1490" s="1" t="str">
        <f t="shared" si="1"/>
        <v>10</v>
      </c>
      <c r="J1490" s="5"/>
      <c r="K1490" s="1" t="str">
        <f t="shared" si="2"/>
        <v>2</v>
      </c>
      <c r="L1490" s="5"/>
      <c r="M1490" s="2" t="str">
        <f t="shared" si="3"/>
        <v>1384</v>
      </c>
      <c r="N1490" s="5"/>
      <c r="O1490" s="13">
        <v>247.0</v>
      </c>
      <c r="P1490" s="5"/>
      <c r="Q1490" s="5"/>
      <c r="R1490" s="8" t="s">
        <v>4636</v>
      </c>
      <c r="S1490" s="5"/>
      <c r="T1490" s="1" t="str">
        <f>IFERROR(__xludf.DUMMYFUNCTION("INDEX(SPLIT(A1490, ""/""), 2)"),"کانون‌های فرهنگی هنری")</f>
        <v>کانون‌های فرهنگی هنری</v>
      </c>
      <c r="U1490" s="1" t="str">
        <f>IFERROR(__xludf.DUMMYFUNCTION("INDEX(SPLIT(A1490, ""/""), 3)"),"روزنامه شریف")</f>
        <v>روزنامه شریف</v>
      </c>
      <c r="V1490" s="1" t="str">
        <f>IFERROR(__xludf.DUMMYFUNCTION("INDEX(SPLIT(A1490, ""/""), 4)"),"#REF!")</f>
        <v>#REF!</v>
      </c>
    </row>
    <row r="1491">
      <c r="A1491" s="1" t="s">
        <v>4070</v>
      </c>
      <c r="B1491" s="1" t="s">
        <v>4637</v>
      </c>
      <c r="C1491" s="1" t="s">
        <v>21</v>
      </c>
      <c r="D1491" s="4" t="s">
        <v>4638</v>
      </c>
      <c r="E1491" s="1" t="s">
        <v>4072</v>
      </c>
      <c r="F1491" s="1" t="s">
        <v>4487</v>
      </c>
      <c r="G1491" s="1" t="s">
        <v>752</v>
      </c>
      <c r="H1491" s="1" t="s">
        <v>4639</v>
      </c>
      <c r="I1491" s="1" t="str">
        <f t="shared" si="1"/>
        <v>13</v>
      </c>
      <c r="J1491" s="5"/>
      <c r="K1491" s="1" t="str">
        <f t="shared" si="2"/>
        <v>2</v>
      </c>
      <c r="L1491" s="5"/>
      <c r="M1491" s="2" t="str">
        <f t="shared" si="3"/>
        <v>1384</v>
      </c>
      <c r="N1491" s="5"/>
      <c r="O1491" s="13">
        <v>248.0</v>
      </c>
      <c r="P1491" s="5"/>
      <c r="Q1491" s="5"/>
      <c r="R1491" s="6" t="s">
        <v>4639</v>
      </c>
      <c r="S1491" s="5"/>
      <c r="T1491" s="1" t="str">
        <f>IFERROR(__xludf.DUMMYFUNCTION("INDEX(SPLIT(A1491, ""/""), 2)"),"کانون‌های فرهنگی هنری")</f>
        <v>کانون‌های فرهنگی هنری</v>
      </c>
      <c r="U1491" s="1" t="str">
        <f>IFERROR(__xludf.DUMMYFUNCTION("INDEX(SPLIT(A1491, ""/""), 3)"),"روزنامه شریف")</f>
        <v>روزنامه شریف</v>
      </c>
      <c r="V1491" s="1" t="str">
        <f>IFERROR(__xludf.DUMMYFUNCTION("INDEX(SPLIT(A1491, ""/""), 4)"),"#REF!")</f>
        <v>#REF!</v>
      </c>
    </row>
    <row r="1492">
      <c r="A1492" s="1" t="s">
        <v>4070</v>
      </c>
      <c r="B1492" s="1" t="s">
        <v>4640</v>
      </c>
      <c r="C1492" s="1" t="s">
        <v>21</v>
      </c>
      <c r="D1492" s="4" t="s">
        <v>4641</v>
      </c>
      <c r="E1492" s="1" t="s">
        <v>4072</v>
      </c>
      <c r="F1492" s="1" t="s">
        <v>4487</v>
      </c>
      <c r="G1492" s="1" t="s">
        <v>752</v>
      </c>
      <c r="H1492" s="1" t="s">
        <v>4642</v>
      </c>
      <c r="I1492" s="1" t="str">
        <f t="shared" si="1"/>
        <v>17</v>
      </c>
      <c r="J1492" s="5"/>
      <c r="K1492" s="1" t="str">
        <f t="shared" si="2"/>
        <v>2</v>
      </c>
      <c r="L1492" s="5"/>
      <c r="M1492" s="2" t="str">
        <f t="shared" si="3"/>
        <v>1384</v>
      </c>
      <c r="N1492" s="5"/>
      <c r="O1492" s="13">
        <v>249.0</v>
      </c>
      <c r="P1492" s="5"/>
      <c r="Q1492" s="5"/>
      <c r="R1492" s="6" t="s">
        <v>4642</v>
      </c>
      <c r="S1492" s="5"/>
      <c r="T1492" s="1" t="str">
        <f>IFERROR(__xludf.DUMMYFUNCTION("INDEX(SPLIT(A1492, ""/""), 2)"),"کانون‌های فرهنگی هنری")</f>
        <v>کانون‌های فرهنگی هنری</v>
      </c>
      <c r="U1492" s="1" t="str">
        <f>IFERROR(__xludf.DUMMYFUNCTION("INDEX(SPLIT(A1492, ""/""), 3)"),"روزنامه شریف")</f>
        <v>روزنامه شریف</v>
      </c>
      <c r="V1492" s="1" t="str">
        <f>IFERROR(__xludf.DUMMYFUNCTION("INDEX(SPLIT(A1492, ""/""), 4)"),"#REF!")</f>
        <v>#REF!</v>
      </c>
    </row>
    <row r="1493">
      <c r="A1493" s="1" t="s">
        <v>4070</v>
      </c>
      <c r="B1493" s="1" t="s">
        <v>4643</v>
      </c>
      <c r="C1493" s="1" t="s">
        <v>21</v>
      </c>
      <c r="D1493" s="4" t="s">
        <v>4644</v>
      </c>
      <c r="E1493" s="1" t="s">
        <v>4072</v>
      </c>
      <c r="F1493" s="1" t="s">
        <v>4487</v>
      </c>
      <c r="G1493" s="1" t="s">
        <v>752</v>
      </c>
      <c r="H1493" s="1" t="s">
        <v>4645</v>
      </c>
      <c r="I1493" s="1" t="str">
        <f t="shared" si="1"/>
        <v>20</v>
      </c>
      <c r="J1493" s="5"/>
      <c r="K1493" s="1" t="str">
        <f t="shared" si="2"/>
        <v>2</v>
      </c>
      <c r="L1493" s="5"/>
      <c r="M1493" s="2" t="str">
        <f t="shared" si="3"/>
        <v>1384</v>
      </c>
      <c r="N1493" s="5"/>
      <c r="O1493" s="13">
        <v>250.0</v>
      </c>
      <c r="P1493" s="5"/>
      <c r="Q1493" s="5"/>
      <c r="R1493" s="6" t="s">
        <v>4645</v>
      </c>
      <c r="S1493" s="5"/>
      <c r="T1493" s="1" t="str">
        <f>IFERROR(__xludf.DUMMYFUNCTION("INDEX(SPLIT(A1493, ""/""), 2)"),"کانون‌های فرهنگی هنری")</f>
        <v>کانون‌های فرهنگی هنری</v>
      </c>
      <c r="U1493" s="1" t="str">
        <f>IFERROR(__xludf.DUMMYFUNCTION("INDEX(SPLIT(A1493, ""/""), 3)"),"روزنامه شریف")</f>
        <v>روزنامه شریف</v>
      </c>
      <c r="V1493" s="1" t="str">
        <f>IFERROR(__xludf.DUMMYFUNCTION("INDEX(SPLIT(A1493, ""/""), 4)"),"#REF!")</f>
        <v>#REF!</v>
      </c>
    </row>
    <row r="1494">
      <c r="A1494" s="1" t="s">
        <v>4070</v>
      </c>
      <c r="B1494" s="1" t="s">
        <v>4646</v>
      </c>
      <c r="C1494" s="1" t="s">
        <v>21</v>
      </c>
      <c r="D1494" s="4" t="s">
        <v>4647</v>
      </c>
      <c r="E1494" s="1" t="s">
        <v>4072</v>
      </c>
      <c r="F1494" s="1" t="s">
        <v>4487</v>
      </c>
      <c r="G1494" s="1" t="s">
        <v>752</v>
      </c>
      <c r="H1494" s="1" t="s">
        <v>4648</v>
      </c>
      <c r="I1494" s="1" t="str">
        <f t="shared" si="1"/>
        <v>24</v>
      </c>
      <c r="J1494" s="5"/>
      <c r="K1494" s="1" t="str">
        <f t="shared" si="2"/>
        <v>2</v>
      </c>
      <c r="L1494" s="5"/>
      <c r="M1494" s="2" t="str">
        <f t="shared" si="3"/>
        <v>1384</v>
      </c>
      <c r="N1494" s="5"/>
      <c r="O1494" s="13">
        <v>251.0</v>
      </c>
      <c r="P1494" s="5"/>
      <c r="Q1494" s="5"/>
      <c r="R1494" s="6" t="s">
        <v>4648</v>
      </c>
      <c r="S1494" s="5"/>
      <c r="T1494" s="1" t="str">
        <f>IFERROR(__xludf.DUMMYFUNCTION("INDEX(SPLIT(A1494, ""/""), 2)"),"کانون‌های فرهنگی هنری")</f>
        <v>کانون‌های فرهنگی هنری</v>
      </c>
      <c r="U1494" s="1" t="str">
        <f>IFERROR(__xludf.DUMMYFUNCTION("INDEX(SPLIT(A1494, ""/""), 3)"),"روزنامه شریف")</f>
        <v>روزنامه شریف</v>
      </c>
      <c r="V1494" s="1" t="str">
        <f>IFERROR(__xludf.DUMMYFUNCTION("INDEX(SPLIT(A1494, ""/""), 4)"),"#REF!")</f>
        <v>#REF!</v>
      </c>
    </row>
    <row r="1495">
      <c r="A1495" s="1" t="s">
        <v>4070</v>
      </c>
      <c r="B1495" s="1" t="s">
        <v>4649</v>
      </c>
      <c r="C1495" s="1" t="s">
        <v>21</v>
      </c>
      <c r="D1495" s="4" t="s">
        <v>4650</v>
      </c>
      <c r="E1495" s="1" t="s">
        <v>4072</v>
      </c>
      <c r="F1495" s="1" t="s">
        <v>4487</v>
      </c>
      <c r="G1495" s="1" t="s">
        <v>752</v>
      </c>
      <c r="H1495" s="1" t="s">
        <v>4651</v>
      </c>
      <c r="I1495" s="1" t="str">
        <f t="shared" si="1"/>
        <v>27</v>
      </c>
      <c r="J1495" s="5"/>
      <c r="K1495" s="1" t="str">
        <f t="shared" si="2"/>
        <v>2</v>
      </c>
      <c r="L1495" s="5"/>
      <c r="M1495" s="2" t="str">
        <f t="shared" si="3"/>
        <v>1384</v>
      </c>
      <c r="N1495" s="5"/>
      <c r="O1495" s="13">
        <v>252.0</v>
      </c>
      <c r="P1495" s="5"/>
      <c r="Q1495" s="5"/>
      <c r="R1495" s="6" t="s">
        <v>4651</v>
      </c>
      <c r="S1495" s="5"/>
      <c r="T1495" s="1" t="str">
        <f>IFERROR(__xludf.DUMMYFUNCTION("INDEX(SPLIT(A1495, ""/""), 2)"),"کانون‌های فرهنگی هنری")</f>
        <v>کانون‌های فرهنگی هنری</v>
      </c>
      <c r="U1495" s="1" t="str">
        <f>IFERROR(__xludf.DUMMYFUNCTION("INDEX(SPLIT(A1495, ""/""), 3)"),"روزنامه شریف")</f>
        <v>روزنامه شریف</v>
      </c>
      <c r="V1495" s="1" t="str">
        <f>IFERROR(__xludf.DUMMYFUNCTION("INDEX(SPLIT(A1495, ""/""), 4)"),"#REF!")</f>
        <v>#REF!</v>
      </c>
    </row>
    <row r="1496">
      <c r="A1496" s="1" t="s">
        <v>4070</v>
      </c>
      <c r="B1496" s="1" t="s">
        <v>4652</v>
      </c>
      <c r="C1496" s="1" t="s">
        <v>21</v>
      </c>
      <c r="D1496" s="4" t="s">
        <v>4653</v>
      </c>
      <c r="E1496" s="1" t="s">
        <v>4072</v>
      </c>
      <c r="F1496" s="1" t="s">
        <v>4487</v>
      </c>
      <c r="G1496" s="1" t="s">
        <v>752</v>
      </c>
      <c r="H1496" s="1" t="s">
        <v>4654</v>
      </c>
      <c r="I1496" s="1" t="str">
        <f t="shared" si="1"/>
        <v>31</v>
      </c>
      <c r="J1496" s="5"/>
      <c r="K1496" s="1" t="str">
        <f t="shared" si="2"/>
        <v>2</v>
      </c>
      <c r="L1496" s="5"/>
      <c r="M1496" s="2" t="str">
        <f t="shared" si="3"/>
        <v>1384</v>
      </c>
      <c r="N1496" s="5"/>
      <c r="O1496" s="13">
        <v>253.0</v>
      </c>
      <c r="P1496" s="5"/>
      <c r="Q1496" s="5"/>
      <c r="R1496" s="6" t="s">
        <v>4654</v>
      </c>
      <c r="S1496" s="5"/>
      <c r="T1496" s="1" t="str">
        <f>IFERROR(__xludf.DUMMYFUNCTION("INDEX(SPLIT(A1496, ""/""), 2)"),"کانون‌های فرهنگی هنری")</f>
        <v>کانون‌های فرهنگی هنری</v>
      </c>
      <c r="U1496" s="1" t="str">
        <f>IFERROR(__xludf.DUMMYFUNCTION("INDEX(SPLIT(A1496, ""/""), 3)"),"روزنامه شریف")</f>
        <v>روزنامه شریف</v>
      </c>
      <c r="V1496" s="1" t="str">
        <f>IFERROR(__xludf.DUMMYFUNCTION("INDEX(SPLIT(A1496, ""/""), 4)"),"#REF!")</f>
        <v>#REF!</v>
      </c>
    </row>
    <row r="1497">
      <c r="A1497" s="1" t="s">
        <v>4070</v>
      </c>
      <c r="B1497" s="1" t="s">
        <v>4655</v>
      </c>
      <c r="C1497" s="1" t="s">
        <v>21</v>
      </c>
      <c r="D1497" s="4" t="s">
        <v>4656</v>
      </c>
      <c r="E1497" s="1" t="s">
        <v>4072</v>
      </c>
      <c r="F1497" s="1" t="s">
        <v>4487</v>
      </c>
      <c r="G1497" s="1" t="s">
        <v>752</v>
      </c>
      <c r="H1497" s="7" t="s">
        <v>4657</v>
      </c>
      <c r="I1497" s="1" t="str">
        <f t="shared" si="1"/>
        <v>3</v>
      </c>
      <c r="J1497" s="5"/>
      <c r="K1497" s="1" t="str">
        <f t="shared" si="2"/>
        <v>3</v>
      </c>
      <c r="L1497" s="5"/>
      <c r="M1497" s="2" t="str">
        <f t="shared" si="3"/>
        <v>1384</v>
      </c>
      <c r="N1497" s="5"/>
      <c r="O1497" s="13">
        <v>254.0</v>
      </c>
      <c r="P1497" s="5"/>
      <c r="Q1497" s="5"/>
      <c r="R1497" s="8" t="s">
        <v>4657</v>
      </c>
      <c r="S1497" s="5"/>
      <c r="T1497" s="1" t="str">
        <f>IFERROR(__xludf.DUMMYFUNCTION("INDEX(SPLIT(A1497, ""/""), 2)"),"کانون‌های فرهنگی هنری")</f>
        <v>کانون‌های فرهنگی هنری</v>
      </c>
      <c r="U1497" s="1" t="str">
        <f>IFERROR(__xludf.DUMMYFUNCTION("INDEX(SPLIT(A1497, ""/""), 3)"),"روزنامه شریف")</f>
        <v>روزنامه شریف</v>
      </c>
      <c r="V1497" s="1" t="str">
        <f>IFERROR(__xludf.DUMMYFUNCTION("INDEX(SPLIT(A1497, ""/""), 4)"),"#REF!")</f>
        <v>#REF!</v>
      </c>
    </row>
    <row r="1498">
      <c r="A1498" s="1" t="s">
        <v>4070</v>
      </c>
      <c r="B1498" s="1" t="s">
        <v>4658</v>
      </c>
      <c r="C1498" s="1" t="s">
        <v>21</v>
      </c>
      <c r="D1498" s="4" t="s">
        <v>4659</v>
      </c>
      <c r="E1498" s="1" t="s">
        <v>4072</v>
      </c>
      <c r="F1498" s="1" t="s">
        <v>4487</v>
      </c>
      <c r="G1498" s="1" t="s">
        <v>752</v>
      </c>
      <c r="H1498" s="7" t="s">
        <v>4660</v>
      </c>
      <c r="I1498" s="1" t="str">
        <f t="shared" si="1"/>
        <v>7</v>
      </c>
      <c r="J1498" s="5"/>
      <c r="K1498" s="1" t="str">
        <f t="shared" si="2"/>
        <v>3</v>
      </c>
      <c r="L1498" s="5"/>
      <c r="M1498" s="2" t="str">
        <f t="shared" si="3"/>
        <v>1384</v>
      </c>
      <c r="N1498" s="5"/>
      <c r="O1498" s="13">
        <v>255.0</v>
      </c>
      <c r="P1498" s="5"/>
      <c r="Q1498" s="5"/>
      <c r="R1498" s="8" t="s">
        <v>4660</v>
      </c>
      <c r="S1498" s="5"/>
      <c r="T1498" s="1" t="str">
        <f>IFERROR(__xludf.DUMMYFUNCTION("INDEX(SPLIT(A1498, ""/""), 2)"),"کانون‌های فرهنگی هنری")</f>
        <v>کانون‌های فرهنگی هنری</v>
      </c>
      <c r="U1498" s="1" t="str">
        <f>IFERROR(__xludf.DUMMYFUNCTION("INDEX(SPLIT(A1498, ""/""), 3)"),"روزنامه شریف")</f>
        <v>روزنامه شریف</v>
      </c>
      <c r="V1498" s="1" t="str">
        <f>IFERROR(__xludf.DUMMYFUNCTION("INDEX(SPLIT(A1498, ""/""), 4)"),"#REF!")</f>
        <v>#REF!</v>
      </c>
    </row>
    <row r="1499">
      <c r="A1499" s="1" t="s">
        <v>4070</v>
      </c>
      <c r="B1499" s="1" t="s">
        <v>4661</v>
      </c>
      <c r="C1499" s="1" t="s">
        <v>21</v>
      </c>
      <c r="D1499" s="4" t="s">
        <v>4662</v>
      </c>
      <c r="E1499" s="1" t="s">
        <v>4072</v>
      </c>
      <c r="F1499" s="1" t="s">
        <v>4487</v>
      </c>
      <c r="G1499" s="1" t="s">
        <v>752</v>
      </c>
      <c r="H1499" s="7" t="s">
        <v>4663</v>
      </c>
      <c r="I1499" s="1" t="str">
        <f t="shared" si="1"/>
        <v>10</v>
      </c>
      <c r="J1499" s="5"/>
      <c r="K1499" s="1" t="str">
        <f t="shared" si="2"/>
        <v>3</v>
      </c>
      <c r="L1499" s="5"/>
      <c r="M1499" s="2" t="str">
        <f t="shared" si="3"/>
        <v>1384</v>
      </c>
      <c r="N1499" s="5"/>
      <c r="O1499" s="13">
        <v>256.0</v>
      </c>
      <c r="P1499" s="5"/>
      <c r="Q1499" s="5"/>
      <c r="R1499" s="8" t="s">
        <v>4663</v>
      </c>
      <c r="S1499" s="5"/>
      <c r="T1499" s="1" t="str">
        <f>IFERROR(__xludf.DUMMYFUNCTION("INDEX(SPLIT(A1499, ""/""), 2)"),"کانون‌های فرهنگی هنری")</f>
        <v>کانون‌های فرهنگی هنری</v>
      </c>
      <c r="U1499" s="1" t="str">
        <f>IFERROR(__xludf.DUMMYFUNCTION("INDEX(SPLIT(A1499, ""/""), 3)"),"روزنامه شریف")</f>
        <v>روزنامه شریف</v>
      </c>
      <c r="V1499" s="1" t="str">
        <f>IFERROR(__xludf.DUMMYFUNCTION("INDEX(SPLIT(A1499, ""/""), 4)"),"#REF!")</f>
        <v>#REF!</v>
      </c>
    </row>
    <row r="1500">
      <c r="A1500" s="1" t="s">
        <v>4070</v>
      </c>
      <c r="B1500" s="1" t="s">
        <v>4664</v>
      </c>
      <c r="C1500" s="1" t="s">
        <v>21</v>
      </c>
      <c r="D1500" s="4" t="s">
        <v>4665</v>
      </c>
      <c r="E1500" s="1" t="s">
        <v>4072</v>
      </c>
      <c r="F1500" s="1" t="s">
        <v>4487</v>
      </c>
      <c r="G1500" s="1" t="s">
        <v>4666</v>
      </c>
      <c r="H1500" s="1" t="s">
        <v>4667</v>
      </c>
      <c r="I1500" s="1" t="str">
        <f t="shared" si="1"/>
        <v>21</v>
      </c>
      <c r="J1500" s="5"/>
      <c r="K1500" s="1" t="str">
        <f t="shared" si="2"/>
        <v>4</v>
      </c>
      <c r="L1500" s="5"/>
      <c r="M1500" s="2" t="str">
        <f t="shared" si="3"/>
        <v>1384</v>
      </c>
      <c r="N1500" s="5"/>
      <c r="O1500" s="13">
        <v>257.0</v>
      </c>
      <c r="P1500" s="5"/>
      <c r="Q1500" s="5"/>
      <c r="R1500" s="6" t="s">
        <v>4667</v>
      </c>
      <c r="S1500" s="5"/>
      <c r="T1500" s="1" t="str">
        <f>IFERROR(__xludf.DUMMYFUNCTION("INDEX(SPLIT(A1500, ""/""), 2)"),"کانون‌های فرهنگی هنری")</f>
        <v>کانون‌های فرهنگی هنری</v>
      </c>
      <c r="U1500" s="1" t="str">
        <f>IFERROR(__xludf.DUMMYFUNCTION("INDEX(SPLIT(A1500, ""/""), 3)"),"روزنامه شریف")</f>
        <v>روزنامه شریف</v>
      </c>
      <c r="V1500" s="1" t="str">
        <f>IFERROR(__xludf.DUMMYFUNCTION("INDEX(SPLIT(A1500, ""/""), 4)"),"#REF!")</f>
        <v>#REF!</v>
      </c>
    </row>
    <row r="1501">
      <c r="A1501" s="1" t="s">
        <v>4070</v>
      </c>
      <c r="B1501" s="1" t="s">
        <v>4668</v>
      </c>
      <c r="C1501" s="1" t="s">
        <v>21</v>
      </c>
      <c r="D1501" s="4" t="s">
        <v>4669</v>
      </c>
      <c r="E1501" s="1" t="s">
        <v>4072</v>
      </c>
      <c r="F1501" s="1" t="s">
        <v>4487</v>
      </c>
      <c r="G1501" s="1" t="s">
        <v>4666</v>
      </c>
      <c r="H1501" s="1" t="s">
        <v>4670</v>
      </c>
      <c r="I1501" s="1" t="str">
        <f t="shared" si="1"/>
        <v>28</v>
      </c>
      <c r="J1501" s="5"/>
      <c r="K1501" s="1" t="str">
        <f t="shared" si="2"/>
        <v>4</v>
      </c>
      <c r="L1501" s="5"/>
      <c r="M1501" s="2" t="str">
        <f t="shared" si="3"/>
        <v>1384</v>
      </c>
      <c r="N1501" s="1"/>
      <c r="O1501" s="13">
        <v>258.0</v>
      </c>
      <c r="P1501" s="5"/>
      <c r="Q1501" s="5"/>
      <c r="R1501" s="6" t="s">
        <v>4670</v>
      </c>
      <c r="S1501" s="5"/>
      <c r="T1501" s="1" t="str">
        <f>IFERROR(__xludf.DUMMYFUNCTION("INDEX(SPLIT(A1501, ""/""), 2)"),"کانون‌های فرهنگی هنری")</f>
        <v>کانون‌های فرهنگی هنری</v>
      </c>
      <c r="U1501" s="1" t="str">
        <f>IFERROR(__xludf.DUMMYFUNCTION("INDEX(SPLIT(A1501, ""/""), 3)"),"روزنامه شریف")</f>
        <v>روزنامه شریف</v>
      </c>
      <c r="V1501" s="1" t="str">
        <f>IFERROR(__xludf.DUMMYFUNCTION("INDEX(SPLIT(A1501, ""/""), 4)"),"#REF!")</f>
        <v>#REF!</v>
      </c>
    </row>
    <row r="1502">
      <c r="A1502" s="1" t="s">
        <v>4070</v>
      </c>
      <c r="B1502" s="1" t="s">
        <v>4671</v>
      </c>
      <c r="C1502" s="1" t="s">
        <v>21</v>
      </c>
      <c r="D1502" s="4" t="s">
        <v>4672</v>
      </c>
      <c r="E1502" s="1" t="s">
        <v>4072</v>
      </c>
      <c r="F1502" s="1" t="s">
        <v>4487</v>
      </c>
      <c r="G1502" s="1" t="s">
        <v>4666</v>
      </c>
      <c r="H1502" s="7" t="s">
        <v>4673</v>
      </c>
      <c r="I1502" s="1" t="str">
        <f t="shared" si="1"/>
        <v>4</v>
      </c>
      <c r="J1502" s="5"/>
      <c r="K1502" s="1" t="str">
        <f t="shared" si="2"/>
        <v>5</v>
      </c>
      <c r="L1502" s="5"/>
      <c r="M1502" s="2" t="str">
        <f t="shared" si="3"/>
        <v>1384</v>
      </c>
      <c r="N1502" s="1"/>
      <c r="O1502" s="13">
        <v>259.0</v>
      </c>
      <c r="P1502" s="5"/>
      <c r="Q1502" s="5"/>
      <c r="R1502" s="8" t="s">
        <v>4673</v>
      </c>
      <c r="S1502" s="5"/>
      <c r="T1502" s="1" t="str">
        <f>IFERROR(__xludf.DUMMYFUNCTION("INDEX(SPLIT(A1502, ""/""), 2)"),"کانون‌های فرهنگی هنری")</f>
        <v>کانون‌های فرهنگی هنری</v>
      </c>
      <c r="U1502" s="1" t="str">
        <f>IFERROR(__xludf.DUMMYFUNCTION("INDEX(SPLIT(A1502, ""/""), 3)"),"روزنامه شریف")</f>
        <v>روزنامه شریف</v>
      </c>
      <c r="V1502" s="1" t="str">
        <f>IFERROR(__xludf.DUMMYFUNCTION("INDEX(SPLIT(A1502, ""/""), 4)"),"#REF!")</f>
        <v>#REF!</v>
      </c>
    </row>
    <row r="1503">
      <c r="A1503" s="1" t="s">
        <v>4070</v>
      </c>
      <c r="B1503" s="1" t="s">
        <v>4674</v>
      </c>
      <c r="C1503" s="1" t="s">
        <v>21</v>
      </c>
      <c r="D1503" s="4" t="s">
        <v>4675</v>
      </c>
      <c r="E1503" s="1" t="s">
        <v>4072</v>
      </c>
      <c r="F1503" s="1" t="s">
        <v>4487</v>
      </c>
      <c r="G1503" s="1" t="s">
        <v>4666</v>
      </c>
      <c r="H1503" s="7" t="s">
        <v>4676</v>
      </c>
      <c r="I1503" s="1" t="str">
        <f t="shared" si="1"/>
        <v>11</v>
      </c>
      <c r="J1503" s="5"/>
      <c r="K1503" s="1" t="str">
        <f t="shared" si="2"/>
        <v>5</v>
      </c>
      <c r="L1503" s="5"/>
      <c r="M1503" s="2" t="str">
        <f t="shared" si="3"/>
        <v>1384</v>
      </c>
      <c r="N1503" s="1"/>
      <c r="O1503" s="13">
        <v>260.0</v>
      </c>
      <c r="P1503" s="5"/>
      <c r="Q1503" s="5"/>
      <c r="R1503" s="8" t="s">
        <v>4676</v>
      </c>
      <c r="S1503" s="5"/>
      <c r="T1503" s="1" t="str">
        <f>IFERROR(__xludf.DUMMYFUNCTION("INDEX(SPLIT(A1503, ""/""), 2)"),"کانون‌های فرهنگی هنری")</f>
        <v>کانون‌های فرهنگی هنری</v>
      </c>
      <c r="U1503" s="1" t="str">
        <f>IFERROR(__xludf.DUMMYFUNCTION("INDEX(SPLIT(A1503, ""/""), 3)"),"روزنامه شریف")</f>
        <v>روزنامه شریف</v>
      </c>
      <c r="V1503" s="1" t="str">
        <f>IFERROR(__xludf.DUMMYFUNCTION("INDEX(SPLIT(A1503, ""/""), 4)"),"#REF!")</f>
        <v>#REF!</v>
      </c>
    </row>
    <row r="1504">
      <c r="A1504" s="1" t="s">
        <v>4070</v>
      </c>
      <c r="B1504" s="1" t="s">
        <v>4677</v>
      </c>
      <c r="C1504" s="1" t="s">
        <v>21</v>
      </c>
      <c r="D1504" s="4" t="s">
        <v>4678</v>
      </c>
      <c r="E1504" s="1" t="s">
        <v>4072</v>
      </c>
      <c r="F1504" s="1" t="s">
        <v>4487</v>
      </c>
      <c r="G1504" s="1" t="s">
        <v>4666</v>
      </c>
      <c r="H1504" s="1" t="s">
        <v>4679</v>
      </c>
      <c r="I1504" s="1" t="str">
        <f t="shared" si="1"/>
        <v>18</v>
      </c>
      <c r="J1504" s="5"/>
      <c r="K1504" s="1" t="str">
        <f t="shared" si="2"/>
        <v>5</v>
      </c>
      <c r="L1504" s="5"/>
      <c r="M1504" s="2" t="str">
        <f t="shared" si="3"/>
        <v>1384</v>
      </c>
      <c r="N1504" s="1"/>
      <c r="O1504" s="13">
        <v>261.0</v>
      </c>
      <c r="P1504" s="5"/>
      <c r="Q1504" s="5"/>
      <c r="R1504" s="6" t="s">
        <v>4679</v>
      </c>
      <c r="S1504" s="5"/>
      <c r="T1504" s="1" t="str">
        <f>IFERROR(__xludf.DUMMYFUNCTION("INDEX(SPLIT(A1504, ""/""), 2)"),"کانون‌های فرهنگی هنری")</f>
        <v>کانون‌های فرهنگی هنری</v>
      </c>
      <c r="U1504" s="1" t="str">
        <f>IFERROR(__xludf.DUMMYFUNCTION("INDEX(SPLIT(A1504, ""/""), 3)"),"روزنامه شریف")</f>
        <v>روزنامه شریف</v>
      </c>
      <c r="V1504" s="1" t="str">
        <f>IFERROR(__xludf.DUMMYFUNCTION("INDEX(SPLIT(A1504, ""/""), 4)"),"#REF!")</f>
        <v>#REF!</v>
      </c>
    </row>
    <row r="1505">
      <c r="A1505" s="1" t="s">
        <v>4070</v>
      </c>
      <c r="B1505" s="1" t="s">
        <v>4680</v>
      </c>
      <c r="C1505" s="1" t="s">
        <v>21</v>
      </c>
      <c r="D1505" s="4" t="s">
        <v>4681</v>
      </c>
      <c r="E1505" s="1" t="s">
        <v>4072</v>
      </c>
      <c r="F1505" s="1" t="s">
        <v>4487</v>
      </c>
      <c r="G1505" s="1" t="s">
        <v>4666</v>
      </c>
      <c r="H1505" s="1" t="s">
        <v>4682</v>
      </c>
      <c r="I1505" s="1" t="str">
        <f t="shared" si="1"/>
        <v>25</v>
      </c>
      <c r="J1505" s="5"/>
      <c r="K1505" s="1" t="str">
        <f t="shared" si="2"/>
        <v>5</v>
      </c>
      <c r="L1505" s="5"/>
      <c r="M1505" s="2" t="str">
        <f t="shared" si="3"/>
        <v>1384</v>
      </c>
      <c r="N1505" s="1"/>
      <c r="O1505" s="13">
        <v>262.0</v>
      </c>
      <c r="P1505" s="5"/>
      <c r="Q1505" s="5"/>
      <c r="R1505" s="6" t="s">
        <v>4682</v>
      </c>
      <c r="S1505" s="5"/>
      <c r="T1505" s="1" t="str">
        <f>IFERROR(__xludf.DUMMYFUNCTION("INDEX(SPLIT(A1505, ""/""), 2)"),"کانون‌های فرهنگی هنری")</f>
        <v>کانون‌های فرهنگی هنری</v>
      </c>
      <c r="U1505" s="1" t="str">
        <f>IFERROR(__xludf.DUMMYFUNCTION("INDEX(SPLIT(A1505, ""/""), 3)"),"روزنامه شریف")</f>
        <v>روزنامه شریف</v>
      </c>
      <c r="V1505" s="1" t="str">
        <f>IFERROR(__xludf.DUMMYFUNCTION("INDEX(SPLIT(A1505, ""/""), 4)"),"#REF!")</f>
        <v>#REF!</v>
      </c>
    </row>
    <row r="1506">
      <c r="A1506" s="1" t="s">
        <v>4070</v>
      </c>
      <c r="B1506" s="1" t="s">
        <v>4683</v>
      </c>
      <c r="C1506" s="1" t="s">
        <v>21</v>
      </c>
      <c r="D1506" s="4" t="s">
        <v>4684</v>
      </c>
      <c r="E1506" s="1" t="s">
        <v>4072</v>
      </c>
      <c r="F1506" s="1" t="s">
        <v>4487</v>
      </c>
      <c r="G1506" s="1" t="s">
        <v>4666</v>
      </c>
      <c r="H1506" s="7" t="s">
        <v>4685</v>
      </c>
      <c r="I1506" s="1" t="str">
        <f t="shared" si="1"/>
        <v>1</v>
      </c>
      <c r="J1506" s="5"/>
      <c r="K1506" s="1" t="str">
        <f t="shared" si="2"/>
        <v>6</v>
      </c>
      <c r="L1506" s="5"/>
      <c r="M1506" s="2" t="str">
        <f t="shared" si="3"/>
        <v>1384</v>
      </c>
      <c r="N1506" s="1"/>
      <c r="O1506" s="13">
        <v>263.0</v>
      </c>
      <c r="P1506" s="5"/>
      <c r="Q1506" s="5"/>
      <c r="R1506" s="8" t="s">
        <v>4685</v>
      </c>
      <c r="S1506" s="5"/>
      <c r="T1506" s="1" t="str">
        <f>IFERROR(__xludf.DUMMYFUNCTION("INDEX(SPLIT(A1506, ""/""), 2)"),"کانون‌های فرهنگی هنری")</f>
        <v>کانون‌های فرهنگی هنری</v>
      </c>
      <c r="U1506" s="1" t="str">
        <f>IFERROR(__xludf.DUMMYFUNCTION("INDEX(SPLIT(A1506, ""/""), 3)"),"روزنامه شریف")</f>
        <v>روزنامه شریف</v>
      </c>
      <c r="V1506" s="1" t="str">
        <f>IFERROR(__xludf.DUMMYFUNCTION("INDEX(SPLIT(A1506, ""/""), 4)"),"#REF!")</f>
        <v>#REF!</v>
      </c>
    </row>
    <row r="1507">
      <c r="A1507" s="1" t="s">
        <v>4070</v>
      </c>
      <c r="B1507" s="1" t="s">
        <v>4686</v>
      </c>
      <c r="C1507" s="1" t="s">
        <v>21</v>
      </c>
      <c r="D1507" s="4" t="s">
        <v>4687</v>
      </c>
      <c r="E1507" s="1" t="s">
        <v>4072</v>
      </c>
      <c r="F1507" s="1" t="s">
        <v>4487</v>
      </c>
      <c r="G1507" s="1" t="s">
        <v>4666</v>
      </c>
      <c r="H1507" s="7" t="s">
        <v>4688</v>
      </c>
      <c r="I1507" s="1" t="str">
        <f t="shared" si="1"/>
        <v>8</v>
      </c>
      <c r="J1507" s="5"/>
      <c r="K1507" s="1" t="str">
        <f t="shared" si="2"/>
        <v>6</v>
      </c>
      <c r="L1507" s="5"/>
      <c r="M1507" s="2" t="str">
        <f t="shared" si="3"/>
        <v>1384</v>
      </c>
      <c r="N1507" s="1"/>
      <c r="O1507" s="13">
        <v>264.0</v>
      </c>
      <c r="P1507" s="5"/>
      <c r="Q1507" s="5"/>
      <c r="R1507" s="8" t="s">
        <v>4688</v>
      </c>
      <c r="S1507" s="5"/>
      <c r="T1507" s="1" t="str">
        <f>IFERROR(__xludf.DUMMYFUNCTION("INDEX(SPLIT(A1507, ""/""), 2)"),"کانون‌های فرهنگی هنری")</f>
        <v>کانون‌های فرهنگی هنری</v>
      </c>
      <c r="U1507" s="1" t="str">
        <f>IFERROR(__xludf.DUMMYFUNCTION("INDEX(SPLIT(A1507, ""/""), 3)"),"روزنامه شریف")</f>
        <v>روزنامه شریف</v>
      </c>
      <c r="V1507" s="1" t="str">
        <f>IFERROR(__xludf.DUMMYFUNCTION("INDEX(SPLIT(A1507, ""/""), 4)"),"#REF!")</f>
        <v>#REF!</v>
      </c>
    </row>
    <row r="1508">
      <c r="A1508" s="1" t="s">
        <v>4070</v>
      </c>
      <c r="B1508" s="1" t="s">
        <v>4689</v>
      </c>
      <c r="C1508" s="1" t="s">
        <v>21</v>
      </c>
      <c r="D1508" s="4" t="s">
        <v>4690</v>
      </c>
      <c r="E1508" s="1" t="s">
        <v>4072</v>
      </c>
      <c r="F1508" s="1" t="s">
        <v>4487</v>
      </c>
      <c r="G1508" s="1" t="s">
        <v>4666</v>
      </c>
      <c r="H1508" s="1" t="s">
        <v>2656</v>
      </c>
      <c r="I1508" s="1" t="str">
        <f t="shared" si="1"/>
        <v>15</v>
      </c>
      <c r="J1508" s="5"/>
      <c r="K1508" s="1" t="str">
        <f t="shared" si="2"/>
        <v>6</v>
      </c>
      <c r="L1508" s="5"/>
      <c r="M1508" s="2" t="str">
        <f t="shared" si="3"/>
        <v>1384</v>
      </c>
      <c r="N1508" s="1"/>
      <c r="O1508" s="13">
        <v>265.0</v>
      </c>
      <c r="P1508" s="5"/>
      <c r="Q1508" s="5"/>
      <c r="R1508" s="6" t="s">
        <v>2656</v>
      </c>
      <c r="S1508" s="5"/>
      <c r="T1508" s="1" t="str">
        <f>IFERROR(__xludf.DUMMYFUNCTION("INDEX(SPLIT(A1508, ""/""), 2)"),"کانون‌های فرهنگی هنری")</f>
        <v>کانون‌های فرهنگی هنری</v>
      </c>
      <c r="U1508" s="1" t="str">
        <f>IFERROR(__xludf.DUMMYFUNCTION("INDEX(SPLIT(A1508, ""/""), 3)"),"روزنامه شریف")</f>
        <v>روزنامه شریف</v>
      </c>
      <c r="V1508" s="1" t="str">
        <f>IFERROR(__xludf.DUMMYFUNCTION("INDEX(SPLIT(A1508, ""/""), 4)"),"#REF!")</f>
        <v>#REF!</v>
      </c>
    </row>
    <row r="1509">
      <c r="A1509" s="1" t="s">
        <v>4070</v>
      </c>
      <c r="B1509" s="1" t="s">
        <v>4691</v>
      </c>
      <c r="C1509" s="1" t="s">
        <v>21</v>
      </c>
      <c r="D1509" s="4" t="s">
        <v>4692</v>
      </c>
      <c r="E1509" s="1" t="s">
        <v>4072</v>
      </c>
      <c r="F1509" s="1" t="s">
        <v>4487</v>
      </c>
      <c r="G1509" s="1" t="s">
        <v>4666</v>
      </c>
      <c r="H1509" s="1" t="s">
        <v>4693</v>
      </c>
      <c r="I1509" s="1" t="str">
        <f t="shared" si="1"/>
        <v>22</v>
      </c>
      <c r="J1509" s="5"/>
      <c r="K1509" s="1" t="str">
        <f t="shared" si="2"/>
        <v>6</v>
      </c>
      <c r="L1509" s="5"/>
      <c r="M1509" s="2" t="str">
        <f t="shared" si="3"/>
        <v>1384</v>
      </c>
      <c r="N1509" s="1"/>
      <c r="O1509" s="13">
        <v>266.0</v>
      </c>
      <c r="P1509" s="5"/>
      <c r="Q1509" s="5"/>
      <c r="R1509" s="6" t="s">
        <v>4693</v>
      </c>
      <c r="S1509" s="5"/>
      <c r="T1509" s="1" t="str">
        <f>IFERROR(__xludf.DUMMYFUNCTION("INDEX(SPLIT(A1509, ""/""), 2)"),"کانون‌های فرهنگی هنری")</f>
        <v>کانون‌های فرهنگی هنری</v>
      </c>
      <c r="U1509" s="1" t="str">
        <f>IFERROR(__xludf.DUMMYFUNCTION("INDEX(SPLIT(A1509, ""/""), 3)"),"روزنامه شریف")</f>
        <v>روزنامه شریف</v>
      </c>
      <c r="V1509" s="1" t="str">
        <f>IFERROR(__xludf.DUMMYFUNCTION("INDEX(SPLIT(A1509, ""/""), 4)"),"#REF!")</f>
        <v>#REF!</v>
      </c>
    </row>
    <row r="1510">
      <c r="A1510" s="1" t="s">
        <v>4070</v>
      </c>
      <c r="B1510" s="1" t="s">
        <v>4694</v>
      </c>
      <c r="C1510" s="1" t="s">
        <v>21</v>
      </c>
      <c r="D1510" s="4" t="s">
        <v>4695</v>
      </c>
      <c r="E1510" s="1" t="s">
        <v>4072</v>
      </c>
      <c r="F1510" s="1" t="s">
        <v>4487</v>
      </c>
      <c r="G1510" s="1" t="s">
        <v>4666</v>
      </c>
      <c r="H1510" s="1" t="s">
        <v>4696</v>
      </c>
      <c r="I1510" s="1" t="str">
        <f t="shared" si="1"/>
        <v>26</v>
      </c>
      <c r="J1510" s="5"/>
      <c r="K1510" s="1" t="str">
        <f t="shared" si="2"/>
        <v>6</v>
      </c>
      <c r="L1510" s="5"/>
      <c r="M1510" s="2" t="str">
        <f t="shared" si="3"/>
        <v>1384</v>
      </c>
      <c r="N1510" s="5"/>
      <c r="O1510" s="13">
        <v>267.0</v>
      </c>
      <c r="P1510" s="5"/>
      <c r="Q1510" s="5"/>
      <c r="R1510" s="6" t="s">
        <v>4696</v>
      </c>
      <c r="S1510" s="5"/>
      <c r="T1510" s="1" t="str">
        <f>IFERROR(__xludf.DUMMYFUNCTION("INDEX(SPLIT(A1510, ""/""), 2)"),"کانون‌های فرهنگی هنری")</f>
        <v>کانون‌های فرهنگی هنری</v>
      </c>
      <c r="U1510" s="1" t="str">
        <f>IFERROR(__xludf.DUMMYFUNCTION("INDEX(SPLIT(A1510, ""/""), 3)"),"روزنامه شریف")</f>
        <v>روزنامه شریف</v>
      </c>
      <c r="V1510" s="1" t="str">
        <f>IFERROR(__xludf.DUMMYFUNCTION("INDEX(SPLIT(A1510, ""/""), 4)"),"#REF!")</f>
        <v>#REF!</v>
      </c>
    </row>
    <row r="1511">
      <c r="A1511" s="1" t="s">
        <v>4070</v>
      </c>
      <c r="B1511" s="1" t="s">
        <v>4697</v>
      </c>
      <c r="C1511" s="1" t="s">
        <v>21</v>
      </c>
      <c r="D1511" s="4" t="s">
        <v>4698</v>
      </c>
      <c r="E1511" s="1" t="s">
        <v>4072</v>
      </c>
      <c r="F1511" s="1" t="s">
        <v>4487</v>
      </c>
      <c r="G1511" s="1" t="s">
        <v>4666</v>
      </c>
      <c r="H1511" s="7" t="s">
        <v>4699</v>
      </c>
      <c r="I1511" s="1" t="str">
        <f t="shared" si="1"/>
        <v>2</v>
      </c>
      <c r="J1511" s="5"/>
      <c r="K1511" s="1" t="str">
        <f t="shared" si="2"/>
        <v>7</v>
      </c>
      <c r="L1511" s="5"/>
      <c r="M1511" s="2" t="str">
        <f t="shared" si="3"/>
        <v>1384</v>
      </c>
      <c r="N1511" s="1"/>
      <c r="O1511" s="13">
        <v>268.0</v>
      </c>
      <c r="P1511" s="5"/>
      <c r="Q1511" s="5"/>
      <c r="R1511" s="8" t="s">
        <v>4699</v>
      </c>
      <c r="S1511" s="5"/>
      <c r="T1511" s="1" t="str">
        <f>IFERROR(__xludf.DUMMYFUNCTION("INDEX(SPLIT(A1511, ""/""), 2)"),"کانون‌های فرهنگی هنری")</f>
        <v>کانون‌های فرهنگی هنری</v>
      </c>
      <c r="U1511" s="1" t="str">
        <f>IFERROR(__xludf.DUMMYFUNCTION("INDEX(SPLIT(A1511, ""/""), 3)"),"روزنامه شریف")</f>
        <v>روزنامه شریف</v>
      </c>
      <c r="V1511" s="1" t="str">
        <f>IFERROR(__xludf.DUMMYFUNCTION("INDEX(SPLIT(A1511, ""/""), 4)"),"#REF!")</f>
        <v>#REF!</v>
      </c>
    </row>
    <row r="1512">
      <c r="A1512" s="1" t="s">
        <v>4070</v>
      </c>
      <c r="B1512" s="1" t="s">
        <v>4700</v>
      </c>
      <c r="C1512" s="1" t="s">
        <v>21</v>
      </c>
      <c r="D1512" s="4" t="s">
        <v>4701</v>
      </c>
      <c r="E1512" s="1" t="s">
        <v>4072</v>
      </c>
      <c r="F1512" s="1" t="s">
        <v>4487</v>
      </c>
      <c r="G1512" s="1" t="s">
        <v>4666</v>
      </c>
      <c r="H1512" s="7" t="s">
        <v>4702</v>
      </c>
      <c r="I1512" s="1" t="str">
        <f t="shared" si="1"/>
        <v>5</v>
      </c>
      <c r="J1512" s="5"/>
      <c r="K1512" s="1" t="str">
        <f t="shared" si="2"/>
        <v>7</v>
      </c>
      <c r="L1512" s="5"/>
      <c r="M1512" s="2" t="str">
        <f t="shared" si="3"/>
        <v>1384</v>
      </c>
      <c r="N1512" s="1"/>
      <c r="O1512" s="13">
        <v>269.0</v>
      </c>
      <c r="P1512" s="5"/>
      <c r="Q1512" s="5"/>
      <c r="R1512" s="8" t="s">
        <v>4702</v>
      </c>
      <c r="S1512" s="5"/>
      <c r="T1512" s="1" t="str">
        <f>IFERROR(__xludf.DUMMYFUNCTION("INDEX(SPLIT(A1512, ""/""), 2)"),"کانون‌های فرهنگی هنری")</f>
        <v>کانون‌های فرهنگی هنری</v>
      </c>
      <c r="U1512" s="1" t="str">
        <f>IFERROR(__xludf.DUMMYFUNCTION("INDEX(SPLIT(A1512, ""/""), 3)"),"روزنامه شریف")</f>
        <v>روزنامه شریف</v>
      </c>
      <c r="V1512" s="1" t="str">
        <f>IFERROR(__xludf.DUMMYFUNCTION("INDEX(SPLIT(A1512, ""/""), 4)"),"#REF!")</f>
        <v>#REF!</v>
      </c>
    </row>
    <row r="1513">
      <c r="A1513" s="1" t="s">
        <v>4070</v>
      </c>
      <c r="B1513" s="1" t="s">
        <v>4703</v>
      </c>
      <c r="C1513" s="1" t="s">
        <v>21</v>
      </c>
      <c r="D1513" s="4" t="s">
        <v>4704</v>
      </c>
      <c r="E1513" s="1" t="s">
        <v>4072</v>
      </c>
      <c r="F1513" s="1" t="s">
        <v>4487</v>
      </c>
      <c r="G1513" s="1" t="s">
        <v>4666</v>
      </c>
      <c r="H1513" s="7" t="s">
        <v>4705</v>
      </c>
      <c r="I1513" s="1" t="str">
        <f t="shared" si="1"/>
        <v>9</v>
      </c>
      <c r="J1513" s="5"/>
      <c r="K1513" s="1" t="str">
        <f t="shared" si="2"/>
        <v>7</v>
      </c>
      <c r="L1513" s="5"/>
      <c r="M1513" s="2" t="str">
        <f t="shared" si="3"/>
        <v>1384</v>
      </c>
      <c r="N1513" s="1"/>
      <c r="O1513" s="13">
        <v>270.0</v>
      </c>
      <c r="P1513" s="5"/>
      <c r="Q1513" s="5"/>
      <c r="R1513" s="8" t="s">
        <v>4705</v>
      </c>
      <c r="S1513" s="5"/>
      <c r="T1513" s="1" t="str">
        <f>IFERROR(__xludf.DUMMYFUNCTION("INDEX(SPLIT(A1513, ""/""), 2)"),"کانون‌های فرهنگی هنری")</f>
        <v>کانون‌های فرهنگی هنری</v>
      </c>
      <c r="U1513" s="1" t="str">
        <f>IFERROR(__xludf.DUMMYFUNCTION("INDEX(SPLIT(A1513, ""/""), 3)"),"روزنامه شریف")</f>
        <v>روزنامه شریف</v>
      </c>
      <c r="V1513" s="1" t="str">
        <f>IFERROR(__xludf.DUMMYFUNCTION("INDEX(SPLIT(A1513, ""/""), 4)"),"#REF!")</f>
        <v>#REF!</v>
      </c>
    </row>
    <row r="1514">
      <c r="A1514" s="1" t="s">
        <v>4070</v>
      </c>
      <c r="B1514" s="1" t="s">
        <v>4706</v>
      </c>
      <c r="C1514" s="1" t="s">
        <v>21</v>
      </c>
      <c r="D1514" s="4" t="s">
        <v>4707</v>
      </c>
      <c r="E1514" s="1" t="s">
        <v>4072</v>
      </c>
      <c r="F1514" s="1" t="s">
        <v>4487</v>
      </c>
      <c r="G1514" s="1" t="s">
        <v>4666</v>
      </c>
      <c r="H1514" s="7" t="s">
        <v>4708</v>
      </c>
      <c r="I1514" s="1" t="str">
        <f t="shared" si="1"/>
        <v>12</v>
      </c>
      <c r="J1514" s="5"/>
      <c r="K1514" s="1" t="str">
        <f t="shared" si="2"/>
        <v>7</v>
      </c>
      <c r="L1514" s="5"/>
      <c r="M1514" s="2" t="str">
        <f t="shared" si="3"/>
        <v>1384</v>
      </c>
      <c r="N1514" s="1"/>
      <c r="O1514" s="13">
        <v>271.0</v>
      </c>
      <c r="P1514" s="5"/>
      <c r="Q1514" s="5"/>
      <c r="R1514" s="8" t="s">
        <v>4708</v>
      </c>
      <c r="S1514" s="5"/>
      <c r="T1514" s="1" t="str">
        <f>IFERROR(__xludf.DUMMYFUNCTION("INDEX(SPLIT(A1514, ""/""), 2)"),"کانون‌های فرهنگی هنری")</f>
        <v>کانون‌های فرهنگی هنری</v>
      </c>
      <c r="U1514" s="1" t="str">
        <f>IFERROR(__xludf.DUMMYFUNCTION("INDEX(SPLIT(A1514, ""/""), 3)"),"روزنامه شریف")</f>
        <v>روزنامه شریف</v>
      </c>
      <c r="V1514" s="1" t="str">
        <f>IFERROR(__xludf.DUMMYFUNCTION("INDEX(SPLIT(A1514, ""/""), 4)"),"#REF!")</f>
        <v>#REF!</v>
      </c>
    </row>
    <row r="1515">
      <c r="A1515" s="1" t="s">
        <v>4070</v>
      </c>
      <c r="B1515" s="1" t="s">
        <v>4709</v>
      </c>
      <c r="C1515" s="1" t="s">
        <v>21</v>
      </c>
      <c r="D1515" s="4" t="s">
        <v>4710</v>
      </c>
      <c r="E1515" s="1" t="s">
        <v>4072</v>
      </c>
      <c r="F1515" s="1" t="s">
        <v>4487</v>
      </c>
      <c r="G1515" s="1" t="s">
        <v>4666</v>
      </c>
      <c r="H1515" s="1" t="s">
        <v>4711</v>
      </c>
      <c r="I1515" s="1" t="str">
        <f t="shared" si="1"/>
        <v>16</v>
      </c>
      <c r="J1515" s="5"/>
      <c r="K1515" s="1" t="str">
        <f t="shared" si="2"/>
        <v>7</v>
      </c>
      <c r="L1515" s="5"/>
      <c r="M1515" s="2" t="str">
        <f t="shared" si="3"/>
        <v>1384</v>
      </c>
      <c r="N1515" s="1"/>
      <c r="O1515" s="13">
        <v>272.0</v>
      </c>
      <c r="P1515" s="5"/>
      <c r="Q1515" s="5"/>
      <c r="R1515" s="6" t="s">
        <v>4711</v>
      </c>
      <c r="S1515" s="5"/>
      <c r="T1515" s="1" t="str">
        <f>IFERROR(__xludf.DUMMYFUNCTION("INDEX(SPLIT(A1515, ""/""), 2)"),"کانون‌های فرهنگی هنری")</f>
        <v>کانون‌های فرهنگی هنری</v>
      </c>
      <c r="U1515" s="1" t="str">
        <f>IFERROR(__xludf.DUMMYFUNCTION("INDEX(SPLIT(A1515, ""/""), 3)"),"روزنامه شریف")</f>
        <v>روزنامه شریف</v>
      </c>
      <c r="V1515" s="1" t="str">
        <f>IFERROR(__xludf.DUMMYFUNCTION("INDEX(SPLIT(A1515, ""/""), 4)"),"#REF!")</f>
        <v>#REF!</v>
      </c>
    </row>
    <row r="1516">
      <c r="A1516" s="1" t="s">
        <v>4070</v>
      </c>
      <c r="B1516" s="1" t="s">
        <v>4712</v>
      </c>
      <c r="C1516" s="1" t="s">
        <v>21</v>
      </c>
      <c r="D1516" s="4" t="s">
        <v>4713</v>
      </c>
      <c r="E1516" s="1" t="s">
        <v>4072</v>
      </c>
      <c r="F1516" s="1" t="s">
        <v>4487</v>
      </c>
      <c r="G1516" s="1" t="s">
        <v>4666</v>
      </c>
      <c r="H1516" s="1" t="s">
        <v>4714</v>
      </c>
      <c r="I1516" s="1" t="str">
        <f t="shared" si="1"/>
        <v>19</v>
      </c>
      <c r="J1516" s="5"/>
      <c r="K1516" s="1" t="str">
        <f t="shared" si="2"/>
        <v>7</v>
      </c>
      <c r="L1516" s="5"/>
      <c r="M1516" s="2" t="str">
        <f t="shared" si="3"/>
        <v>1384</v>
      </c>
      <c r="N1516" s="1"/>
      <c r="O1516" s="13">
        <v>273.0</v>
      </c>
      <c r="P1516" s="5"/>
      <c r="Q1516" s="5"/>
      <c r="R1516" s="6" t="s">
        <v>4714</v>
      </c>
      <c r="S1516" s="5"/>
      <c r="T1516" s="1" t="str">
        <f>IFERROR(__xludf.DUMMYFUNCTION("INDEX(SPLIT(A1516, ""/""), 2)"),"کانون‌های فرهنگی هنری")</f>
        <v>کانون‌های فرهنگی هنری</v>
      </c>
      <c r="U1516" s="1" t="str">
        <f>IFERROR(__xludf.DUMMYFUNCTION("INDEX(SPLIT(A1516, ""/""), 3)"),"روزنامه شریف")</f>
        <v>روزنامه شریف</v>
      </c>
      <c r="V1516" s="1" t="str">
        <f>IFERROR(__xludf.DUMMYFUNCTION("INDEX(SPLIT(A1516, ""/""), 4)"),"#REF!")</f>
        <v>#REF!</v>
      </c>
    </row>
    <row r="1517">
      <c r="A1517" s="1" t="s">
        <v>4070</v>
      </c>
      <c r="B1517" s="1" t="s">
        <v>4715</v>
      </c>
      <c r="C1517" s="1" t="s">
        <v>21</v>
      </c>
      <c r="D1517" s="4" t="s">
        <v>4716</v>
      </c>
      <c r="E1517" s="1" t="s">
        <v>4072</v>
      </c>
      <c r="F1517" s="1" t="s">
        <v>4487</v>
      </c>
      <c r="G1517" s="1" t="s">
        <v>4666</v>
      </c>
      <c r="H1517" s="1" t="s">
        <v>4717</v>
      </c>
      <c r="I1517" s="1" t="str">
        <f t="shared" si="1"/>
        <v>23</v>
      </c>
      <c r="J1517" s="5"/>
      <c r="K1517" s="1" t="str">
        <f t="shared" si="2"/>
        <v>7</v>
      </c>
      <c r="L1517" s="5"/>
      <c r="M1517" s="2" t="str">
        <f t="shared" si="3"/>
        <v>1384</v>
      </c>
      <c r="N1517" s="1"/>
      <c r="O1517" s="13">
        <v>274.0</v>
      </c>
      <c r="P1517" s="5"/>
      <c r="Q1517" s="5"/>
      <c r="R1517" s="6" t="s">
        <v>4717</v>
      </c>
      <c r="S1517" s="5"/>
      <c r="T1517" s="1" t="str">
        <f>IFERROR(__xludf.DUMMYFUNCTION("INDEX(SPLIT(A1517, ""/""), 2)"),"کانون‌های فرهنگی هنری")</f>
        <v>کانون‌های فرهنگی هنری</v>
      </c>
      <c r="U1517" s="1" t="str">
        <f>IFERROR(__xludf.DUMMYFUNCTION("INDEX(SPLIT(A1517, ""/""), 3)"),"روزنامه شریف")</f>
        <v>روزنامه شریف</v>
      </c>
      <c r="V1517" s="1" t="str">
        <f>IFERROR(__xludf.DUMMYFUNCTION("INDEX(SPLIT(A1517, ""/""), 4)"),"#REF!")</f>
        <v>#REF!</v>
      </c>
    </row>
    <row r="1518">
      <c r="A1518" s="1" t="s">
        <v>4070</v>
      </c>
      <c r="B1518" s="1" t="s">
        <v>4718</v>
      </c>
      <c r="C1518" s="1" t="s">
        <v>21</v>
      </c>
      <c r="D1518" s="4" t="s">
        <v>4719</v>
      </c>
      <c r="E1518" s="1" t="s">
        <v>4072</v>
      </c>
      <c r="F1518" s="1" t="s">
        <v>4487</v>
      </c>
      <c r="G1518" s="1" t="s">
        <v>4666</v>
      </c>
      <c r="H1518" s="1" t="s">
        <v>4720</v>
      </c>
      <c r="I1518" s="1" t="str">
        <f t="shared" si="1"/>
        <v>26</v>
      </c>
      <c r="J1518" s="5"/>
      <c r="K1518" s="1" t="str">
        <f t="shared" si="2"/>
        <v>7</v>
      </c>
      <c r="L1518" s="5"/>
      <c r="M1518" s="2" t="str">
        <f t="shared" si="3"/>
        <v>1384</v>
      </c>
      <c r="N1518" s="1"/>
      <c r="O1518" s="13">
        <v>275.0</v>
      </c>
      <c r="P1518" s="5"/>
      <c r="Q1518" s="5"/>
      <c r="R1518" s="6" t="s">
        <v>4720</v>
      </c>
      <c r="S1518" s="5"/>
      <c r="T1518" s="1" t="str">
        <f>IFERROR(__xludf.DUMMYFUNCTION("INDEX(SPLIT(A1518, ""/""), 2)"),"کانون‌های فرهنگی هنری")</f>
        <v>کانون‌های فرهنگی هنری</v>
      </c>
      <c r="U1518" s="1" t="str">
        <f>IFERROR(__xludf.DUMMYFUNCTION("INDEX(SPLIT(A1518, ""/""), 3)"),"روزنامه شریف")</f>
        <v>روزنامه شریف</v>
      </c>
      <c r="V1518" s="1" t="str">
        <f>IFERROR(__xludf.DUMMYFUNCTION("INDEX(SPLIT(A1518, ""/""), 4)"),"#REF!")</f>
        <v>#REF!</v>
      </c>
    </row>
    <row r="1519">
      <c r="A1519" s="1" t="s">
        <v>4070</v>
      </c>
      <c r="B1519" s="1" t="s">
        <v>4721</v>
      </c>
      <c r="C1519" s="1" t="s">
        <v>21</v>
      </c>
      <c r="D1519" s="4" t="s">
        <v>4722</v>
      </c>
      <c r="E1519" s="1" t="s">
        <v>4072</v>
      </c>
      <c r="F1519" s="1" t="s">
        <v>4487</v>
      </c>
      <c r="G1519" s="1" t="s">
        <v>4666</v>
      </c>
      <c r="H1519" s="1" t="s">
        <v>4723</v>
      </c>
      <c r="I1519" s="1" t="str">
        <f t="shared" si="1"/>
        <v>30</v>
      </c>
      <c r="J1519" s="5"/>
      <c r="K1519" s="1" t="str">
        <f t="shared" si="2"/>
        <v>7</v>
      </c>
      <c r="L1519" s="5"/>
      <c r="M1519" s="2" t="str">
        <f t="shared" si="3"/>
        <v>1384</v>
      </c>
      <c r="N1519" s="1"/>
      <c r="O1519" s="13">
        <v>276.0</v>
      </c>
      <c r="P1519" s="5"/>
      <c r="Q1519" s="5"/>
      <c r="R1519" s="6" t="s">
        <v>4723</v>
      </c>
      <c r="S1519" s="5"/>
      <c r="T1519" s="1" t="str">
        <f>IFERROR(__xludf.DUMMYFUNCTION("INDEX(SPLIT(A1519, ""/""), 2)"),"کانون‌های فرهنگی هنری")</f>
        <v>کانون‌های فرهنگی هنری</v>
      </c>
      <c r="U1519" s="1" t="str">
        <f>IFERROR(__xludf.DUMMYFUNCTION("INDEX(SPLIT(A1519, ""/""), 3)"),"روزنامه شریف")</f>
        <v>روزنامه شریف</v>
      </c>
      <c r="V1519" s="1" t="str">
        <f>IFERROR(__xludf.DUMMYFUNCTION("INDEX(SPLIT(A1519, ""/""), 4)"),"#REF!")</f>
        <v>#REF!</v>
      </c>
    </row>
    <row r="1520">
      <c r="A1520" s="1" t="s">
        <v>4070</v>
      </c>
      <c r="B1520" s="1" t="s">
        <v>4724</v>
      </c>
      <c r="C1520" s="1" t="s">
        <v>21</v>
      </c>
      <c r="D1520" s="4" t="s">
        <v>4725</v>
      </c>
      <c r="E1520" s="1" t="s">
        <v>4072</v>
      </c>
      <c r="F1520" s="1" t="s">
        <v>4487</v>
      </c>
      <c r="G1520" s="1" t="s">
        <v>4666</v>
      </c>
      <c r="H1520" s="7" t="s">
        <v>4726</v>
      </c>
      <c r="I1520" s="1" t="str">
        <f t="shared" si="1"/>
        <v>7</v>
      </c>
      <c r="J1520" s="5"/>
      <c r="K1520" s="1" t="str">
        <f t="shared" si="2"/>
        <v>8</v>
      </c>
      <c r="L1520" s="5"/>
      <c r="M1520" s="2" t="str">
        <f t="shared" si="3"/>
        <v>1384</v>
      </c>
      <c r="N1520" s="1"/>
      <c r="O1520" s="13">
        <v>277.0</v>
      </c>
      <c r="P1520" s="5"/>
      <c r="Q1520" s="5"/>
      <c r="R1520" s="8" t="s">
        <v>4726</v>
      </c>
      <c r="S1520" s="5"/>
      <c r="T1520" s="1" t="str">
        <f>IFERROR(__xludf.DUMMYFUNCTION("INDEX(SPLIT(A1520, ""/""), 2)"),"کانون‌های فرهنگی هنری")</f>
        <v>کانون‌های فرهنگی هنری</v>
      </c>
      <c r="U1520" s="1" t="str">
        <f>IFERROR(__xludf.DUMMYFUNCTION("INDEX(SPLIT(A1520, ""/""), 3)"),"روزنامه شریف")</f>
        <v>روزنامه شریف</v>
      </c>
      <c r="V1520" s="1" t="str">
        <f>IFERROR(__xludf.DUMMYFUNCTION("INDEX(SPLIT(A1520, ""/""), 4)"),"#REF!")</f>
        <v>#REF!</v>
      </c>
    </row>
    <row r="1521">
      <c r="A1521" s="1" t="s">
        <v>4070</v>
      </c>
      <c r="B1521" s="1" t="s">
        <v>4727</v>
      </c>
      <c r="C1521" s="1" t="s">
        <v>21</v>
      </c>
      <c r="D1521" s="4" t="s">
        <v>4728</v>
      </c>
      <c r="E1521" s="1" t="s">
        <v>4072</v>
      </c>
      <c r="F1521" s="1" t="s">
        <v>4487</v>
      </c>
      <c r="G1521" s="1" t="s">
        <v>4666</v>
      </c>
      <c r="H1521" s="7" t="s">
        <v>4729</v>
      </c>
      <c r="I1521" s="1" t="str">
        <f t="shared" si="1"/>
        <v>10</v>
      </c>
      <c r="J1521" s="5"/>
      <c r="K1521" s="1" t="str">
        <f t="shared" si="2"/>
        <v>8</v>
      </c>
      <c r="L1521" s="5"/>
      <c r="M1521" s="2" t="str">
        <f t="shared" si="3"/>
        <v>1384</v>
      </c>
      <c r="N1521" s="1"/>
      <c r="O1521" s="13">
        <v>278.0</v>
      </c>
      <c r="P1521" s="5"/>
      <c r="Q1521" s="5"/>
      <c r="R1521" s="8" t="s">
        <v>4729</v>
      </c>
      <c r="S1521" s="5"/>
      <c r="T1521" s="1" t="str">
        <f>IFERROR(__xludf.DUMMYFUNCTION("INDEX(SPLIT(A1521, ""/""), 2)"),"کانون‌های فرهنگی هنری")</f>
        <v>کانون‌های فرهنگی هنری</v>
      </c>
      <c r="U1521" s="1" t="str">
        <f>IFERROR(__xludf.DUMMYFUNCTION("INDEX(SPLIT(A1521, ""/""), 3)"),"روزنامه شریف")</f>
        <v>روزنامه شریف</v>
      </c>
      <c r="V1521" s="1" t="str">
        <f>IFERROR(__xludf.DUMMYFUNCTION("INDEX(SPLIT(A1521, ""/""), 4)"),"#REF!")</f>
        <v>#REF!</v>
      </c>
    </row>
    <row r="1522">
      <c r="A1522" s="1" t="s">
        <v>4070</v>
      </c>
      <c r="B1522" s="1" t="s">
        <v>4730</v>
      </c>
      <c r="C1522" s="1" t="s">
        <v>21</v>
      </c>
      <c r="D1522" s="4" t="s">
        <v>4731</v>
      </c>
      <c r="E1522" s="1" t="s">
        <v>4072</v>
      </c>
      <c r="F1522" s="1" t="s">
        <v>4487</v>
      </c>
      <c r="G1522" s="1" t="s">
        <v>4666</v>
      </c>
      <c r="H1522" s="1" t="s">
        <v>4732</v>
      </c>
      <c r="I1522" s="1" t="str">
        <f t="shared" si="1"/>
        <v>14</v>
      </c>
      <c r="J1522" s="5"/>
      <c r="K1522" s="1" t="str">
        <f t="shared" si="2"/>
        <v>8</v>
      </c>
      <c r="L1522" s="5"/>
      <c r="M1522" s="2" t="str">
        <f t="shared" si="3"/>
        <v>1384</v>
      </c>
      <c r="N1522" s="1"/>
      <c r="O1522" s="13">
        <v>279.0</v>
      </c>
      <c r="P1522" s="5"/>
      <c r="Q1522" s="5"/>
      <c r="R1522" s="6" t="s">
        <v>4732</v>
      </c>
      <c r="S1522" s="5"/>
      <c r="T1522" s="1" t="str">
        <f>IFERROR(__xludf.DUMMYFUNCTION("INDEX(SPLIT(A1522, ""/""), 2)"),"کانون‌های فرهنگی هنری")</f>
        <v>کانون‌های فرهنگی هنری</v>
      </c>
      <c r="U1522" s="1" t="str">
        <f>IFERROR(__xludf.DUMMYFUNCTION("INDEX(SPLIT(A1522, ""/""), 3)"),"روزنامه شریف")</f>
        <v>روزنامه شریف</v>
      </c>
      <c r="V1522" s="1" t="str">
        <f>IFERROR(__xludf.DUMMYFUNCTION("INDEX(SPLIT(A1522, ""/""), 4)"),"#REF!")</f>
        <v>#REF!</v>
      </c>
    </row>
    <row r="1523">
      <c r="A1523" s="1" t="s">
        <v>4070</v>
      </c>
      <c r="B1523" s="1" t="s">
        <v>4733</v>
      </c>
      <c r="C1523" s="1" t="s">
        <v>21</v>
      </c>
      <c r="D1523" s="4" t="s">
        <v>4734</v>
      </c>
      <c r="E1523" s="1" t="s">
        <v>4072</v>
      </c>
      <c r="F1523" s="1" t="s">
        <v>4487</v>
      </c>
      <c r="G1523" s="1" t="s">
        <v>4666</v>
      </c>
      <c r="H1523" s="1" t="s">
        <v>4735</v>
      </c>
      <c r="I1523" s="1" t="str">
        <f t="shared" si="1"/>
        <v>17</v>
      </c>
      <c r="J1523" s="5"/>
      <c r="K1523" s="1" t="str">
        <f t="shared" si="2"/>
        <v>8</v>
      </c>
      <c r="L1523" s="5"/>
      <c r="M1523" s="2" t="str">
        <f t="shared" si="3"/>
        <v>1384</v>
      </c>
      <c r="N1523" s="1"/>
      <c r="O1523" s="13">
        <v>280.0</v>
      </c>
      <c r="P1523" s="5"/>
      <c r="Q1523" s="5"/>
      <c r="R1523" s="6" t="s">
        <v>4735</v>
      </c>
      <c r="S1523" s="5"/>
      <c r="T1523" s="1" t="str">
        <f>IFERROR(__xludf.DUMMYFUNCTION("INDEX(SPLIT(A1523, ""/""), 2)"),"کانون‌های فرهنگی هنری")</f>
        <v>کانون‌های فرهنگی هنری</v>
      </c>
      <c r="U1523" s="1" t="str">
        <f>IFERROR(__xludf.DUMMYFUNCTION("INDEX(SPLIT(A1523, ""/""), 3)"),"روزنامه شریف")</f>
        <v>روزنامه شریف</v>
      </c>
      <c r="V1523" s="1" t="str">
        <f>IFERROR(__xludf.DUMMYFUNCTION("INDEX(SPLIT(A1523, ""/""), 4)"),"#REF!")</f>
        <v>#REF!</v>
      </c>
    </row>
    <row r="1524">
      <c r="A1524" s="1" t="s">
        <v>4070</v>
      </c>
      <c r="B1524" s="1" t="s">
        <v>4736</v>
      </c>
      <c r="C1524" s="1" t="s">
        <v>21</v>
      </c>
      <c r="D1524" s="4" t="s">
        <v>4737</v>
      </c>
      <c r="E1524" s="1" t="s">
        <v>4072</v>
      </c>
      <c r="F1524" s="1" t="s">
        <v>4487</v>
      </c>
      <c r="G1524" s="1" t="s">
        <v>4666</v>
      </c>
      <c r="H1524" s="1" t="s">
        <v>4738</v>
      </c>
      <c r="I1524" s="1" t="str">
        <f t="shared" si="1"/>
        <v>21</v>
      </c>
      <c r="J1524" s="5"/>
      <c r="K1524" s="1" t="str">
        <f t="shared" si="2"/>
        <v>8</v>
      </c>
      <c r="L1524" s="5"/>
      <c r="M1524" s="2" t="str">
        <f t="shared" si="3"/>
        <v>1384</v>
      </c>
      <c r="N1524" s="1"/>
      <c r="O1524" s="13">
        <v>281.0</v>
      </c>
      <c r="P1524" s="5"/>
      <c r="Q1524" s="5"/>
      <c r="R1524" s="6" t="s">
        <v>4738</v>
      </c>
      <c r="S1524" s="5"/>
      <c r="T1524" s="1" t="str">
        <f>IFERROR(__xludf.DUMMYFUNCTION("INDEX(SPLIT(A1524, ""/""), 2)"),"کانون‌های فرهنگی هنری")</f>
        <v>کانون‌های فرهنگی هنری</v>
      </c>
      <c r="U1524" s="1" t="str">
        <f>IFERROR(__xludf.DUMMYFUNCTION("INDEX(SPLIT(A1524, ""/""), 3)"),"روزنامه شریف")</f>
        <v>روزنامه شریف</v>
      </c>
      <c r="V1524" s="1" t="str">
        <f>IFERROR(__xludf.DUMMYFUNCTION("INDEX(SPLIT(A1524, ""/""), 4)"),"#REF!")</f>
        <v>#REF!</v>
      </c>
    </row>
    <row r="1525">
      <c r="A1525" s="1" t="s">
        <v>4070</v>
      </c>
      <c r="B1525" s="1" t="s">
        <v>4739</v>
      </c>
      <c r="C1525" s="1" t="s">
        <v>21</v>
      </c>
      <c r="D1525" s="4" t="s">
        <v>4740</v>
      </c>
      <c r="E1525" s="1" t="s">
        <v>4072</v>
      </c>
      <c r="F1525" s="1" t="s">
        <v>4487</v>
      </c>
      <c r="G1525" s="1" t="s">
        <v>4666</v>
      </c>
      <c r="H1525" s="1" t="s">
        <v>4741</v>
      </c>
      <c r="I1525" s="1" t="str">
        <f t="shared" si="1"/>
        <v>24</v>
      </c>
      <c r="J1525" s="5"/>
      <c r="K1525" s="1" t="str">
        <f t="shared" si="2"/>
        <v>8</v>
      </c>
      <c r="L1525" s="5"/>
      <c r="M1525" s="2" t="str">
        <f t="shared" si="3"/>
        <v>1384</v>
      </c>
      <c r="N1525" s="1"/>
      <c r="O1525" s="13">
        <v>282.0</v>
      </c>
      <c r="P1525" s="5"/>
      <c r="Q1525" s="5"/>
      <c r="R1525" s="6" t="s">
        <v>4741</v>
      </c>
      <c r="S1525" s="5"/>
      <c r="T1525" s="1" t="str">
        <f>IFERROR(__xludf.DUMMYFUNCTION("INDEX(SPLIT(A1525, ""/""), 2)"),"کانون‌های فرهنگی هنری")</f>
        <v>کانون‌های فرهنگی هنری</v>
      </c>
      <c r="U1525" s="1" t="str">
        <f>IFERROR(__xludf.DUMMYFUNCTION("INDEX(SPLIT(A1525, ""/""), 3)"),"روزنامه شریف")</f>
        <v>روزنامه شریف</v>
      </c>
      <c r="V1525" s="1" t="str">
        <f>IFERROR(__xludf.DUMMYFUNCTION("INDEX(SPLIT(A1525, ""/""), 4)"),"#REF!")</f>
        <v>#REF!</v>
      </c>
    </row>
    <row r="1526">
      <c r="A1526" s="1" t="s">
        <v>4070</v>
      </c>
      <c r="B1526" s="1" t="s">
        <v>4742</v>
      </c>
      <c r="C1526" s="1" t="s">
        <v>21</v>
      </c>
      <c r="D1526" s="4" t="s">
        <v>4743</v>
      </c>
      <c r="E1526" s="1" t="s">
        <v>4072</v>
      </c>
      <c r="F1526" s="1" t="s">
        <v>4487</v>
      </c>
      <c r="G1526" s="1" t="s">
        <v>4666</v>
      </c>
      <c r="H1526" s="1" t="s">
        <v>4744</v>
      </c>
      <c r="I1526" s="1" t="str">
        <f t="shared" si="1"/>
        <v>28</v>
      </c>
      <c r="J1526" s="5"/>
      <c r="K1526" s="1" t="str">
        <f t="shared" si="2"/>
        <v>8</v>
      </c>
      <c r="L1526" s="5"/>
      <c r="M1526" s="2" t="str">
        <f t="shared" si="3"/>
        <v>1384</v>
      </c>
      <c r="N1526" s="1"/>
      <c r="O1526" s="13">
        <v>283.0</v>
      </c>
      <c r="P1526" s="5"/>
      <c r="Q1526" s="5"/>
      <c r="R1526" s="6" t="s">
        <v>4744</v>
      </c>
      <c r="S1526" s="5"/>
      <c r="T1526" s="1" t="str">
        <f>IFERROR(__xludf.DUMMYFUNCTION("INDEX(SPLIT(A1526, ""/""), 2)"),"کانون‌های فرهنگی هنری")</f>
        <v>کانون‌های فرهنگی هنری</v>
      </c>
      <c r="U1526" s="1" t="str">
        <f>IFERROR(__xludf.DUMMYFUNCTION("INDEX(SPLIT(A1526, ""/""), 3)"),"روزنامه شریف")</f>
        <v>روزنامه شریف</v>
      </c>
      <c r="V1526" s="1" t="str">
        <f>IFERROR(__xludf.DUMMYFUNCTION("INDEX(SPLIT(A1526, ""/""), 4)"),"#REF!")</f>
        <v>#REF!</v>
      </c>
    </row>
    <row r="1527">
      <c r="A1527" s="1" t="s">
        <v>4070</v>
      </c>
      <c r="B1527" s="1" t="s">
        <v>4745</v>
      </c>
      <c r="C1527" s="1" t="s">
        <v>21</v>
      </c>
      <c r="D1527" s="4" t="s">
        <v>4746</v>
      </c>
      <c r="E1527" s="1" t="s">
        <v>4072</v>
      </c>
      <c r="F1527" s="1" t="s">
        <v>4487</v>
      </c>
      <c r="G1527" s="1" t="s">
        <v>4666</v>
      </c>
      <c r="H1527" s="7" t="s">
        <v>4747</v>
      </c>
      <c r="I1527" s="1" t="str">
        <f t="shared" si="1"/>
        <v>1</v>
      </c>
      <c r="J1527" s="5"/>
      <c r="K1527" s="1" t="str">
        <f t="shared" si="2"/>
        <v>9</v>
      </c>
      <c r="L1527" s="5"/>
      <c r="M1527" s="2" t="str">
        <f t="shared" si="3"/>
        <v>1384</v>
      </c>
      <c r="N1527" s="1"/>
      <c r="O1527" s="13">
        <v>284.0</v>
      </c>
      <c r="P1527" s="5"/>
      <c r="Q1527" s="5"/>
      <c r="R1527" s="8" t="s">
        <v>4747</v>
      </c>
      <c r="S1527" s="5"/>
      <c r="T1527" s="1" t="str">
        <f>IFERROR(__xludf.DUMMYFUNCTION("INDEX(SPLIT(A1527, ""/""), 2)"),"کانون‌های فرهنگی هنری")</f>
        <v>کانون‌های فرهنگی هنری</v>
      </c>
      <c r="U1527" s="1" t="str">
        <f>IFERROR(__xludf.DUMMYFUNCTION("INDEX(SPLIT(A1527, ""/""), 3)"),"روزنامه شریف")</f>
        <v>روزنامه شریف</v>
      </c>
      <c r="V1527" s="1" t="str">
        <f>IFERROR(__xludf.DUMMYFUNCTION("INDEX(SPLIT(A1527, ""/""), 4)"),"#REF!")</f>
        <v>#REF!</v>
      </c>
    </row>
    <row r="1528">
      <c r="A1528" s="1" t="s">
        <v>4070</v>
      </c>
      <c r="B1528" s="1" t="s">
        <v>4748</v>
      </c>
      <c r="C1528" s="1" t="s">
        <v>21</v>
      </c>
      <c r="D1528" s="4" t="s">
        <v>4749</v>
      </c>
      <c r="E1528" s="1" t="s">
        <v>4072</v>
      </c>
      <c r="F1528" s="1" t="s">
        <v>4487</v>
      </c>
      <c r="G1528" s="1" t="s">
        <v>4666</v>
      </c>
      <c r="H1528" s="7" t="s">
        <v>4750</v>
      </c>
      <c r="I1528" s="1" t="str">
        <f t="shared" si="1"/>
        <v>5</v>
      </c>
      <c r="J1528" s="5"/>
      <c r="K1528" s="1" t="str">
        <f t="shared" si="2"/>
        <v>9</v>
      </c>
      <c r="L1528" s="5"/>
      <c r="M1528" s="2" t="str">
        <f t="shared" si="3"/>
        <v>1384</v>
      </c>
      <c r="N1528" s="1"/>
      <c r="O1528" s="13">
        <v>285.0</v>
      </c>
      <c r="P1528" s="5"/>
      <c r="Q1528" s="5"/>
      <c r="R1528" s="8" t="s">
        <v>4750</v>
      </c>
      <c r="S1528" s="5"/>
      <c r="T1528" s="1" t="str">
        <f>IFERROR(__xludf.DUMMYFUNCTION("INDEX(SPLIT(A1528, ""/""), 2)"),"کانون‌های فرهنگی هنری")</f>
        <v>کانون‌های فرهنگی هنری</v>
      </c>
      <c r="U1528" s="1" t="str">
        <f>IFERROR(__xludf.DUMMYFUNCTION("INDEX(SPLIT(A1528, ""/""), 3)"),"روزنامه شریف")</f>
        <v>روزنامه شریف</v>
      </c>
      <c r="V1528" s="1" t="str">
        <f>IFERROR(__xludf.DUMMYFUNCTION("INDEX(SPLIT(A1528, ""/""), 4)"),"#REF!")</f>
        <v>#REF!</v>
      </c>
    </row>
    <row r="1529">
      <c r="A1529" s="1" t="s">
        <v>4070</v>
      </c>
      <c r="B1529" s="1" t="s">
        <v>4751</v>
      </c>
      <c r="C1529" s="1" t="s">
        <v>21</v>
      </c>
      <c r="D1529" s="4" t="s">
        <v>4752</v>
      </c>
      <c r="E1529" s="1" t="s">
        <v>4072</v>
      </c>
      <c r="F1529" s="1" t="s">
        <v>4487</v>
      </c>
      <c r="G1529" s="1" t="s">
        <v>4666</v>
      </c>
      <c r="H1529" s="7" t="s">
        <v>4753</v>
      </c>
      <c r="I1529" s="1" t="str">
        <f t="shared" si="1"/>
        <v>8</v>
      </c>
      <c r="J1529" s="5"/>
      <c r="K1529" s="1" t="str">
        <f t="shared" si="2"/>
        <v>9</v>
      </c>
      <c r="L1529" s="5"/>
      <c r="M1529" s="2" t="str">
        <f t="shared" si="3"/>
        <v>1384</v>
      </c>
      <c r="N1529" s="1"/>
      <c r="O1529" s="13">
        <v>286.0</v>
      </c>
      <c r="P1529" s="5"/>
      <c r="Q1529" s="5"/>
      <c r="R1529" s="8" t="s">
        <v>4753</v>
      </c>
      <c r="S1529" s="5"/>
      <c r="T1529" s="1" t="str">
        <f>IFERROR(__xludf.DUMMYFUNCTION("INDEX(SPLIT(A1529, ""/""), 2)"),"کانون‌های فرهنگی هنری")</f>
        <v>کانون‌های فرهنگی هنری</v>
      </c>
      <c r="U1529" s="1" t="str">
        <f>IFERROR(__xludf.DUMMYFUNCTION("INDEX(SPLIT(A1529, ""/""), 3)"),"روزنامه شریف")</f>
        <v>روزنامه شریف</v>
      </c>
      <c r="V1529" s="1" t="str">
        <f>IFERROR(__xludf.DUMMYFUNCTION("INDEX(SPLIT(A1529, ""/""), 4)"),"#REF!")</f>
        <v>#REF!</v>
      </c>
    </row>
    <row r="1530">
      <c r="A1530" s="1" t="s">
        <v>4070</v>
      </c>
      <c r="B1530" s="1" t="s">
        <v>4754</v>
      </c>
      <c r="C1530" s="1" t="s">
        <v>21</v>
      </c>
      <c r="D1530" s="4" t="s">
        <v>4755</v>
      </c>
      <c r="E1530" s="1" t="s">
        <v>4072</v>
      </c>
      <c r="F1530" s="1" t="s">
        <v>4487</v>
      </c>
      <c r="G1530" s="1" t="s">
        <v>4666</v>
      </c>
      <c r="H1530" s="7" t="s">
        <v>4756</v>
      </c>
      <c r="I1530" s="1" t="str">
        <f t="shared" si="1"/>
        <v>12</v>
      </c>
      <c r="J1530" s="5"/>
      <c r="K1530" s="1" t="str">
        <f t="shared" si="2"/>
        <v>9</v>
      </c>
      <c r="L1530" s="5"/>
      <c r="M1530" s="2" t="str">
        <f t="shared" si="3"/>
        <v>1384</v>
      </c>
      <c r="N1530" s="1"/>
      <c r="O1530" s="13">
        <v>287.0</v>
      </c>
      <c r="P1530" s="5"/>
      <c r="Q1530" s="5"/>
      <c r="R1530" s="8" t="s">
        <v>4756</v>
      </c>
      <c r="S1530" s="5"/>
      <c r="T1530" s="1" t="str">
        <f>IFERROR(__xludf.DUMMYFUNCTION("INDEX(SPLIT(A1530, ""/""), 2)"),"کانون‌های فرهنگی هنری")</f>
        <v>کانون‌های فرهنگی هنری</v>
      </c>
      <c r="U1530" s="1" t="str">
        <f>IFERROR(__xludf.DUMMYFUNCTION("INDEX(SPLIT(A1530, ""/""), 3)"),"روزنامه شریف")</f>
        <v>روزنامه شریف</v>
      </c>
      <c r="V1530" s="1" t="str">
        <f>IFERROR(__xludf.DUMMYFUNCTION("INDEX(SPLIT(A1530, ""/""), 4)"),"#REF!")</f>
        <v>#REF!</v>
      </c>
    </row>
    <row r="1531">
      <c r="A1531" s="1" t="s">
        <v>4070</v>
      </c>
      <c r="B1531" s="1" t="s">
        <v>4757</v>
      </c>
      <c r="C1531" s="1" t="s">
        <v>21</v>
      </c>
      <c r="D1531" s="4" t="s">
        <v>4758</v>
      </c>
      <c r="E1531" s="1" t="s">
        <v>4072</v>
      </c>
      <c r="F1531" s="1" t="s">
        <v>4487</v>
      </c>
      <c r="G1531" s="1" t="s">
        <v>4666</v>
      </c>
      <c r="H1531" s="1" t="s">
        <v>79</v>
      </c>
      <c r="I1531" s="1" t="str">
        <f t="shared" si="1"/>
        <v>15</v>
      </c>
      <c r="J1531" s="5"/>
      <c r="K1531" s="1" t="str">
        <f t="shared" si="2"/>
        <v>9</v>
      </c>
      <c r="L1531" s="5"/>
      <c r="M1531" s="2" t="str">
        <f t="shared" si="3"/>
        <v>1384</v>
      </c>
      <c r="N1531" s="1"/>
      <c r="O1531" s="13">
        <v>288.0</v>
      </c>
      <c r="P1531" s="5"/>
      <c r="Q1531" s="5"/>
      <c r="R1531" s="6" t="s">
        <v>79</v>
      </c>
      <c r="S1531" s="5"/>
      <c r="T1531" s="1" t="str">
        <f>IFERROR(__xludf.DUMMYFUNCTION("INDEX(SPLIT(A1531, ""/""), 2)"),"کانون‌های فرهنگی هنری")</f>
        <v>کانون‌های فرهنگی هنری</v>
      </c>
      <c r="U1531" s="1" t="str">
        <f>IFERROR(__xludf.DUMMYFUNCTION("INDEX(SPLIT(A1531, ""/""), 3)"),"روزنامه شریف")</f>
        <v>روزنامه شریف</v>
      </c>
      <c r="V1531" s="1" t="str">
        <f>IFERROR(__xludf.DUMMYFUNCTION("INDEX(SPLIT(A1531, ""/""), 4)"),"#REF!")</f>
        <v>#REF!</v>
      </c>
    </row>
    <row r="1532">
      <c r="A1532" s="1" t="s">
        <v>4070</v>
      </c>
      <c r="B1532" s="1" t="s">
        <v>4759</v>
      </c>
      <c r="C1532" s="1" t="s">
        <v>21</v>
      </c>
      <c r="D1532" s="4" t="s">
        <v>4760</v>
      </c>
      <c r="E1532" s="1" t="s">
        <v>4072</v>
      </c>
      <c r="F1532" s="1" t="s">
        <v>4487</v>
      </c>
      <c r="G1532" s="1" t="s">
        <v>4666</v>
      </c>
      <c r="H1532" s="1" t="s">
        <v>4761</v>
      </c>
      <c r="I1532" s="1" t="str">
        <f t="shared" si="1"/>
        <v>22</v>
      </c>
      <c r="J1532" s="5"/>
      <c r="K1532" s="1" t="str">
        <f t="shared" si="2"/>
        <v>9</v>
      </c>
      <c r="L1532" s="5"/>
      <c r="M1532" s="2" t="str">
        <f t="shared" si="3"/>
        <v>1384</v>
      </c>
      <c r="N1532" s="1"/>
      <c r="O1532" s="13">
        <v>289.0</v>
      </c>
      <c r="P1532" s="5"/>
      <c r="Q1532" s="5"/>
      <c r="R1532" s="6" t="s">
        <v>4761</v>
      </c>
      <c r="S1532" s="5"/>
      <c r="T1532" s="1" t="str">
        <f>IFERROR(__xludf.DUMMYFUNCTION("INDEX(SPLIT(A1532, ""/""), 2)"),"کانون‌های فرهنگی هنری")</f>
        <v>کانون‌های فرهنگی هنری</v>
      </c>
      <c r="U1532" s="1" t="str">
        <f>IFERROR(__xludf.DUMMYFUNCTION("INDEX(SPLIT(A1532, ""/""), 3)"),"روزنامه شریف")</f>
        <v>روزنامه شریف</v>
      </c>
      <c r="V1532" s="1" t="str">
        <f>IFERROR(__xludf.DUMMYFUNCTION("INDEX(SPLIT(A1532, ""/""), 4)"),"#REF!")</f>
        <v>#REF!</v>
      </c>
    </row>
    <row r="1533">
      <c r="A1533" s="1" t="s">
        <v>4070</v>
      </c>
      <c r="B1533" s="1" t="s">
        <v>4762</v>
      </c>
      <c r="C1533" s="1" t="s">
        <v>21</v>
      </c>
      <c r="D1533" s="4" t="s">
        <v>4763</v>
      </c>
      <c r="E1533" s="1" t="s">
        <v>4072</v>
      </c>
      <c r="F1533" s="1" t="s">
        <v>4487</v>
      </c>
      <c r="G1533" s="1" t="s">
        <v>4666</v>
      </c>
      <c r="H1533" s="1" t="s">
        <v>4764</v>
      </c>
      <c r="I1533" s="1" t="str">
        <f t="shared" si="1"/>
        <v>26</v>
      </c>
      <c r="J1533" s="5"/>
      <c r="K1533" s="1" t="str">
        <f t="shared" si="2"/>
        <v>9</v>
      </c>
      <c r="L1533" s="5"/>
      <c r="M1533" s="2" t="str">
        <f t="shared" si="3"/>
        <v>1384</v>
      </c>
      <c r="N1533" s="1"/>
      <c r="O1533" s="13">
        <v>290.0</v>
      </c>
      <c r="P1533" s="5"/>
      <c r="Q1533" s="5"/>
      <c r="R1533" s="6" t="s">
        <v>4764</v>
      </c>
      <c r="S1533" s="5"/>
      <c r="T1533" s="1" t="str">
        <f>IFERROR(__xludf.DUMMYFUNCTION("INDEX(SPLIT(A1533, ""/""), 2)"),"کانون‌های فرهنگی هنری")</f>
        <v>کانون‌های فرهنگی هنری</v>
      </c>
      <c r="U1533" s="1" t="str">
        <f>IFERROR(__xludf.DUMMYFUNCTION("INDEX(SPLIT(A1533, ""/""), 3)"),"روزنامه شریف")</f>
        <v>روزنامه شریف</v>
      </c>
      <c r="V1533" s="1" t="str">
        <f>IFERROR(__xludf.DUMMYFUNCTION("INDEX(SPLIT(A1533, ""/""), 4)"),"#REF!")</f>
        <v>#REF!</v>
      </c>
    </row>
    <row r="1534">
      <c r="A1534" s="1" t="s">
        <v>4070</v>
      </c>
      <c r="B1534" s="1" t="s">
        <v>4765</v>
      </c>
      <c r="C1534" s="1" t="s">
        <v>21</v>
      </c>
      <c r="D1534" s="4" t="s">
        <v>4766</v>
      </c>
      <c r="E1534" s="1" t="s">
        <v>4072</v>
      </c>
      <c r="F1534" s="1" t="s">
        <v>4487</v>
      </c>
      <c r="G1534" s="1" t="s">
        <v>4666</v>
      </c>
      <c r="H1534" s="1" t="s">
        <v>4767</v>
      </c>
      <c r="I1534" s="1" t="str">
        <f t="shared" si="1"/>
        <v>29</v>
      </c>
      <c r="J1534" s="5"/>
      <c r="K1534" s="1" t="str">
        <f t="shared" si="2"/>
        <v>9</v>
      </c>
      <c r="L1534" s="5"/>
      <c r="M1534" s="2" t="str">
        <f t="shared" si="3"/>
        <v>1384</v>
      </c>
      <c r="N1534" s="1"/>
      <c r="O1534" s="13">
        <v>291.0</v>
      </c>
      <c r="P1534" s="5"/>
      <c r="Q1534" s="5"/>
      <c r="R1534" s="6" t="s">
        <v>4767</v>
      </c>
      <c r="S1534" s="5"/>
      <c r="T1534" s="1" t="str">
        <f>IFERROR(__xludf.DUMMYFUNCTION("INDEX(SPLIT(A1534, ""/""), 2)"),"کانون‌های فرهنگی هنری")</f>
        <v>کانون‌های فرهنگی هنری</v>
      </c>
      <c r="U1534" s="1" t="str">
        <f>IFERROR(__xludf.DUMMYFUNCTION("INDEX(SPLIT(A1534, ""/""), 3)"),"روزنامه شریف")</f>
        <v>روزنامه شریف</v>
      </c>
      <c r="V1534" s="1" t="str">
        <f>IFERROR(__xludf.DUMMYFUNCTION("INDEX(SPLIT(A1534, ""/""), 4)"),"#REF!")</f>
        <v>#REF!</v>
      </c>
    </row>
    <row r="1535">
      <c r="A1535" s="1" t="s">
        <v>4070</v>
      </c>
      <c r="B1535" s="1" t="s">
        <v>4768</v>
      </c>
      <c r="C1535" s="1" t="s">
        <v>21</v>
      </c>
      <c r="D1535" s="4" t="s">
        <v>4769</v>
      </c>
      <c r="E1535" s="1" t="s">
        <v>4072</v>
      </c>
      <c r="F1535" s="1" t="s">
        <v>4487</v>
      </c>
      <c r="G1535" s="1" t="s">
        <v>4666</v>
      </c>
      <c r="H1535" s="7" t="s">
        <v>871</v>
      </c>
      <c r="I1535" s="1" t="str">
        <f t="shared" si="1"/>
        <v>3</v>
      </c>
      <c r="J1535" s="5"/>
      <c r="K1535" s="1" t="str">
        <f t="shared" si="2"/>
        <v>10</v>
      </c>
      <c r="L1535" s="5"/>
      <c r="M1535" s="2" t="str">
        <f t="shared" si="3"/>
        <v>1384</v>
      </c>
      <c r="N1535" s="1"/>
      <c r="O1535" s="13">
        <v>292.0</v>
      </c>
      <c r="P1535" s="5"/>
      <c r="Q1535" s="5"/>
      <c r="R1535" s="8" t="s">
        <v>871</v>
      </c>
      <c r="S1535" s="5"/>
      <c r="T1535" s="1" t="str">
        <f>IFERROR(__xludf.DUMMYFUNCTION("INDEX(SPLIT(A1535, ""/""), 2)"),"کانون‌های فرهنگی هنری")</f>
        <v>کانون‌های فرهنگی هنری</v>
      </c>
      <c r="U1535" s="1" t="str">
        <f>IFERROR(__xludf.DUMMYFUNCTION("INDEX(SPLIT(A1535, ""/""), 3)"),"روزنامه شریف")</f>
        <v>روزنامه شریف</v>
      </c>
      <c r="V1535" s="1" t="str">
        <f>IFERROR(__xludf.DUMMYFUNCTION("INDEX(SPLIT(A1535, ""/""), 4)"),"#REF!")</f>
        <v>#REF!</v>
      </c>
    </row>
    <row r="1536">
      <c r="A1536" s="1" t="s">
        <v>4070</v>
      </c>
      <c r="B1536" s="1" t="s">
        <v>4770</v>
      </c>
      <c r="C1536" s="1" t="s">
        <v>21</v>
      </c>
      <c r="D1536" s="4" t="s">
        <v>4771</v>
      </c>
      <c r="E1536" s="1" t="s">
        <v>4072</v>
      </c>
      <c r="F1536" s="1" t="s">
        <v>4487</v>
      </c>
      <c r="G1536" s="1" t="s">
        <v>4666</v>
      </c>
      <c r="H1536" s="7" t="s">
        <v>4772</v>
      </c>
      <c r="I1536" s="1" t="str">
        <f t="shared" si="1"/>
        <v>6</v>
      </c>
      <c r="J1536" s="5"/>
      <c r="K1536" s="1" t="str">
        <f t="shared" si="2"/>
        <v>10</v>
      </c>
      <c r="L1536" s="5"/>
      <c r="M1536" s="2" t="str">
        <f t="shared" si="3"/>
        <v>1384</v>
      </c>
      <c r="N1536" s="1"/>
      <c r="O1536" s="13">
        <v>293.0</v>
      </c>
      <c r="P1536" s="5"/>
      <c r="Q1536" s="5"/>
      <c r="R1536" s="8" t="s">
        <v>4772</v>
      </c>
      <c r="S1536" s="5"/>
      <c r="T1536" s="1" t="str">
        <f>IFERROR(__xludf.DUMMYFUNCTION("INDEX(SPLIT(A1536, ""/""), 2)"),"کانون‌های فرهنگی هنری")</f>
        <v>کانون‌های فرهنگی هنری</v>
      </c>
      <c r="U1536" s="1" t="str">
        <f>IFERROR(__xludf.DUMMYFUNCTION("INDEX(SPLIT(A1536, ""/""), 3)"),"روزنامه شریف")</f>
        <v>روزنامه شریف</v>
      </c>
      <c r="V1536" s="1" t="str">
        <f>IFERROR(__xludf.DUMMYFUNCTION("INDEX(SPLIT(A1536, ""/""), 4)"),"#REF!")</f>
        <v>#REF!</v>
      </c>
    </row>
    <row r="1537">
      <c r="A1537" s="1" t="s">
        <v>4070</v>
      </c>
      <c r="B1537" s="1" t="s">
        <v>4773</v>
      </c>
      <c r="C1537" s="1" t="s">
        <v>21</v>
      </c>
      <c r="D1537" s="4" t="s">
        <v>4774</v>
      </c>
      <c r="E1537" s="1" t="s">
        <v>4072</v>
      </c>
      <c r="F1537" s="1" t="s">
        <v>4487</v>
      </c>
      <c r="G1537" s="1" t="s">
        <v>4666</v>
      </c>
      <c r="H1537" s="1" t="s">
        <v>4775</v>
      </c>
      <c r="I1537" s="1" t="str">
        <f t="shared" si="1"/>
        <v>15</v>
      </c>
      <c r="J1537" s="5"/>
      <c r="K1537" s="1" t="str">
        <f t="shared" si="2"/>
        <v>11</v>
      </c>
      <c r="L1537" s="5"/>
      <c r="M1537" s="2" t="str">
        <f t="shared" si="3"/>
        <v>1384</v>
      </c>
      <c r="N1537" s="1"/>
      <c r="O1537" s="13">
        <v>294.0</v>
      </c>
      <c r="P1537" s="5"/>
      <c r="Q1537" s="5"/>
      <c r="R1537" s="6" t="s">
        <v>4775</v>
      </c>
      <c r="S1537" s="5"/>
      <c r="T1537" s="1" t="str">
        <f>IFERROR(__xludf.DUMMYFUNCTION("INDEX(SPLIT(A1537, ""/""), 2)"),"کانون‌های فرهنگی هنری")</f>
        <v>کانون‌های فرهنگی هنری</v>
      </c>
      <c r="U1537" s="1" t="str">
        <f>IFERROR(__xludf.DUMMYFUNCTION("INDEX(SPLIT(A1537, ""/""), 3)"),"روزنامه شریف")</f>
        <v>روزنامه شریف</v>
      </c>
      <c r="V1537" s="1" t="str">
        <f>IFERROR(__xludf.DUMMYFUNCTION("INDEX(SPLIT(A1537, ""/""), 4)"),"#REF!")</f>
        <v>#REF!</v>
      </c>
    </row>
    <row r="1538">
      <c r="A1538" s="1" t="s">
        <v>4070</v>
      </c>
      <c r="B1538" s="1" t="s">
        <v>4776</v>
      </c>
      <c r="C1538" s="1" t="s">
        <v>21</v>
      </c>
      <c r="D1538" s="4" t="s">
        <v>4777</v>
      </c>
      <c r="E1538" s="1" t="s">
        <v>4072</v>
      </c>
      <c r="F1538" s="1" t="s">
        <v>4487</v>
      </c>
      <c r="G1538" s="1" t="s">
        <v>4666</v>
      </c>
      <c r="H1538" s="1" t="s">
        <v>908</v>
      </c>
      <c r="I1538" s="1" t="str">
        <f t="shared" si="1"/>
        <v>18</v>
      </c>
      <c r="J1538" s="5"/>
      <c r="K1538" s="1" t="str">
        <f t="shared" si="2"/>
        <v>11</v>
      </c>
      <c r="L1538" s="5"/>
      <c r="M1538" s="2" t="str">
        <f t="shared" si="3"/>
        <v>1384</v>
      </c>
      <c r="N1538" s="5"/>
      <c r="O1538" s="13">
        <v>295.0</v>
      </c>
      <c r="P1538" s="5"/>
      <c r="Q1538" s="5"/>
      <c r="R1538" s="6" t="s">
        <v>908</v>
      </c>
      <c r="S1538" s="5"/>
      <c r="T1538" s="1" t="str">
        <f>IFERROR(__xludf.DUMMYFUNCTION("INDEX(SPLIT(A1538, ""/""), 2)"),"کانون‌های فرهنگی هنری")</f>
        <v>کانون‌های فرهنگی هنری</v>
      </c>
      <c r="U1538" s="1" t="str">
        <f>IFERROR(__xludf.DUMMYFUNCTION("INDEX(SPLIT(A1538, ""/""), 3)"),"روزنامه شریف")</f>
        <v>روزنامه شریف</v>
      </c>
      <c r="V1538" s="1" t="str">
        <f>IFERROR(__xludf.DUMMYFUNCTION("INDEX(SPLIT(A1538, ""/""), 4)"),"#REF!")</f>
        <v>#REF!</v>
      </c>
    </row>
    <row r="1539">
      <c r="A1539" s="1" t="s">
        <v>4070</v>
      </c>
      <c r="B1539" s="1" t="s">
        <v>4778</v>
      </c>
      <c r="C1539" s="1" t="s">
        <v>21</v>
      </c>
      <c r="D1539" s="4" t="s">
        <v>4779</v>
      </c>
      <c r="E1539" s="1" t="s">
        <v>4072</v>
      </c>
      <c r="F1539" s="1" t="s">
        <v>4487</v>
      </c>
      <c r="G1539" s="1" t="s">
        <v>4666</v>
      </c>
      <c r="H1539" s="1" t="s">
        <v>885</v>
      </c>
      <c r="I1539" s="1" t="str">
        <f t="shared" si="1"/>
        <v>25</v>
      </c>
      <c r="J1539" s="5"/>
      <c r="K1539" s="1" t="str">
        <f t="shared" si="2"/>
        <v>11</v>
      </c>
      <c r="L1539" s="5"/>
      <c r="M1539" s="2" t="str">
        <f t="shared" si="3"/>
        <v>1384</v>
      </c>
      <c r="N1539" s="5"/>
      <c r="O1539" s="13">
        <v>296.0</v>
      </c>
      <c r="P1539" s="5"/>
      <c r="Q1539" s="5"/>
      <c r="R1539" s="6" t="s">
        <v>885</v>
      </c>
      <c r="S1539" s="5"/>
      <c r="T1539" s="1" t="str">
        <f>IFERROR(__xludf.DUMMYFUNCTION("INDEX(SPLIT(A1539, ""/""), 2)"),"کانون‌های فرهنگی هنری")</f>
        <v>کانون‌های فرهنگی هنری</v>
      </c>
      <c r="U1539" s="1" t="str">
        <f>IFERROR(__xludf.DUMMYFUNCTION("INDEX(SPLIT(A1539, ""/""), 3)"),"روزنامه شریف")</f>
        <v>روزنامه شریف</v>
      </c>
      <c r="V1539" s="1" t="str">
        <f>IFERROR(__xludf.DUMMYFUNCTION("INDEX(SPLIT(A1539, ""/""), 4)"),"#REF!")</f>
        <v>#REF!</v>
      </c>
    </row>
    <row r="1540">
      <c r="A1540" s="1" t="s">
        <v>4070</v>
      </c>
      <c r="B1540" s="1" t="s">
        <v>4780</v>
      </c>
      <c r="C1540" s="1" t="s">
        <v>21</v>
      </c>
      <c r="D1540" s="4" t="s">
        <v>4781</v>
      </c>
      <c r="E1540" s="1" t="s">
        <v>4072</v>
      </c>
      <c r="F1540" s="1" t="s">
        <v>4487</v>
      </c>
      <c r="G1540" s="1" t="s">
        <v>4666</v>
      </c>
      <c r="H1540" s="1" t="s">
        <v>4782</v>
      </c>
      <c r="I1540" s="1" t="str">
        <f t="shared" si="1"/>
        <v>29</v>
      </c>
      <c r="J1540" s="5"/>
      <c r="K1540" s="1" t="str">
        <f t="shared" si="2"/>
        <v>11</v>
      </c>
      <c r="L1540" s="5"/>
      <c r="M1540" s="2" t="str">
        <f t="shared" si="3"/>
        <v>1384</v>
      </c>
      <c r="N1540" s="5"/>
      <c r="O1540" s="13">
        <v>297.0</v>
      </c>
      <c r="P1540" s="5"/>
      <c r="Q1540" s="5"/>
      <c r="R1540" s="6" t="s">
        <v>4782</v>
      </c>
      <c r="S1540" s="5"/>
      <c r="T1540" s="1" t="str">
        <f>IFERROR(__xludf.DUMMYFUNCTION("INDEX(SPLIT(A1540, ""/""), 2)"),"کانون‌های فرهنگی هنری")</f>
        <v>کانون‌های فرهنگی هنری</v>
      </c>
      <c r="U1540" s="1" t="str">
        <f>IFERROR(__xludf.DUMMYFUNCTION("INDEX(SPLIT(A1540, ""/""), 3)"),"روزنامه شریف")</f>
        <v>روزنامه شریف</v>
      </c>
      <c r="V1540" s="1" t="str">
        <f>IFERROR(__xludf.DUMMYFUNCTION("INDEX(SPLIT(A1540, ""/""), 4)"),"#REF!")</f>
        <v>#REF!</v>
      </c>
    </row>
    <row r="1541">
      <c r="A1541" s="1" t="s">
        <v>4070</v>
      </c>
      <c r="B1541" s="1" t="s">
        <v>4783</v>
      </c>
      <c r="C1541" s="1" t="s">
        <v>21</v>
      </c>
      <c r="D1541" s="4" t="s">
        <v>4784</v>
      </c>
      <c r="E1541" s="1" t="s">
        <v>4072</v>
      </c>
      <c r="F1541" s="1" t="s">
        <v>4487</v>
      </c>
      <c r="G1541" s="1" t="s">
        <v>4666</v>
      </c>
      <c r="H1541" s="7" t="s">
        <v>4785</v>
      </c>
      <c r="I1541" s="1" t="str">
        <f t="shared" si="1"/>
        <v>2</v>
      </c>
      <c r="J1541" s="5"/>
      <c r="K1541" s="1" t="str">
        <f t="shared" si="2"/>
        <v>12</v>
      </c>
      <c r="L1541" s="5"/>
      <c r="M1541" s="2" t="str">
        <f t="shared" si="3"/>
        <v>1384</v>
      </c>
      <c r="N1541" s="5"/>
      <c r="O1541" s="13">
        <v>298.0</v>
      </c>
      <c r="P1541" s="5"/>
      <c r="Q1541" s="5"/>
      <c r="R1541" s="8" t="s">
        <v>4785</v>
      </c>
      <c r="S1541" s="5"/>
      <c r="T1541" s="1" t="str">
        <f>IFERROR(__xludf.DUMMYFUNCTION("INDEX(SPLIT(A1541, ""/""), 2)"),"کانون‌های فرهنگی هنری")</f>
        <v>کانون‌های فرهنگی هنری</v>
      </c>
      <c r="U1541" s="1" t="str">
        <f>IFERROR(__xludf.DUMMYFUNCTION("INDEX(SPLIT(A1541, ""/""), 3)"),"روزنامه شریف")</f>
        <v>روزنامه شریف</v>
      </c>
      <c r="V1541" s="1" t="str">
        <f>IFERROR(__xludf.DUMMYFUNCTION("INDEX(SPLIT(A1541, ""/""), 4)"),"#REF!")</f>
        <v>#REF!</v>
      </c>
    </row>
    <row r="1542">
      <c r="A1542" s="1" t="s">
        <v>4070</v>
      </c>
      <c r="B1542" s="1" t="s">
        <v>4786</v>
      </c>
      <c r="C1542" s="1" t="s">
        <v>21</v>
      </c>
      <c r="D1542" s="4" t="s">
        <v>4787</v>
      </c>
      <c r="E1542" s="1" t="s">
        <v>4072</v>
      </c>
      <c r="F1542" s="1" t="s">
        <v>4487</v>
      </c>
      <c r="G1542" s="1" t="s">
        <v>4666</v>
      </c>
      <c r="H1542" s="7" t="s">
        <v>4788</v>
      </c>
      <c r="I1542" s="1" t="str">
        <f t="shared" si="1"/>
        <v>6</v>
      </c>
      <c r="J1542" s="5"/>
      <c r="K1542" s="1" t="str">
        <f t="shared" si="2"/>
        <v>12</v>
      </c>
      <c r="L1542" s="5"/>
      <c r="M1542" s="2" t="str">
        <f t="shared" si="3"/>
        <v>1384</v>
      </c>
      <c r="N1542" s="5"/>
      <c r="O1542" s="13">
        <v>299.0</v>
      </c>
      <c r="P1542" s="5"/>
      <c r="Q1542" s="5"/>
      <c r="R1542" s="8" t="s">
        <v>4788</v>
      </c>
      <c r="S1542" s="5"/>
      <c r="T1542" s="1" t="str">
        <f>IFERROR(__xludf.DUMMYFUNCTION("INDEX(SPLIT(A1542, ""/""), 2)"),"کانون‌های فرهنگی هنری")</f>
        <v>کانون‌های فرهنگی هنری</v>
      </c>
      <c r="U1542" s="1" t="str">
        <f>IFERROR(__xludf.DUMMYFUNCTION("INDEX(SPLIT(A1542, ""/""), 3)"),"روزنامه شریف")</f>
        <v>روزنامه شریف</v>
      </c>
      <c r="V1542" s="1" t="str">
        <f>IFERROR(__xludf.DUMMYFUNCTION("INDEX(SPLIT(A1542, ""/""), 4)"),"#REF!")</f>
        <v>#REF!</v>
      </c>
    </row>
    <row r="1543">
      <c r="A1543" s="1" t="s">
        <v>4070</v>
      </c>
      <c r="B1543" s="1" t="s">
        <v>4789</v>
      </c>
      <c r="C1543" s="1" t="s">
        <v>21</v>
      </c>
      <c r="D1543" s="4" t="s">
        <v>4790</v>
      </c>
      <c r="E1543" s="1" t="s">
        <v>4072</v>
      </c>
      <c r="F1543" s="1" t="s">
        <v>4487</v>
      </c>
      <c r="G1543" s="1" t="s">
        <v>4666</v>
      </c>
      <c r="H1543" s="7" t="s">
        <v>4791</v>
      </c>
      <c r="I1543" s="1" t="str">
        <f t="shared" si="1"/>
        <v>9</v>
      </c>
      <c r="J1543" s="5"/>
      <c r="K1543" s="1" t="str">
        <f t="shared" si="2"/>
        <v>12</v>
      </c>
      <c r="L1543" s="5"/>
      <c r="M1543" s="2" t="str">
        <f t="shared" si="3"/>
        <v>1384</v>
      </c>
      <c r="N1543" s="5"/>
      <c r="O1543" s="13">
        <v>300.0</v>
      </c>
      <c r="P1543" s="5"/>
      <c r="Q1543" s="5"/>
      <c r="R1543" s="8" t="s">
        <v>4791</v>
      </c>
      <c r="S1543" s="5"/>
      <c r="T1543" s="1" t="str">
        <f>IFERROR(__xludf.DUMMYFUNCTION("INDEX(SPLIT(A1543, ""/""), 2)"),"کانون‌های فرهنگی هنری")</f>
        <v>کانون‌های فرهنگی هنری</v>
      </c>
      <c r="U1543" s="1" t="str">
        <f>IFERROR(__xludf.DUMMYFUNCTION("INDEX(SPLIT(A1543, ""/""), 3)"),"روزنامه شریف")</f>
        <v>روزنامه شریف</v>
      </c>
      <c r="V1543" s="1" t="str">
        <f>IFERROR(__xludf.DUMMYFUNCTION("INDEX(SPLIT(A1543, ""/""), 4)"),"#REF!")</f>
        <v>#REF!</v>
      </c>
    </row>
    <row r="1544">
      <c r="A1544" s="1" t="s">
        <v>4070</v>
      </c>
      <c r="B1544" s="1" t="s">
        <v>4792</v>
      </c>
      <c r="C1544" s="1" t="s">
        <v>21</v>
      </c>
      <c r="D1544" s="4" t="s">
        <v>4793</v>
      </c>
      <c r="E1544" s="1" t="s">
        <v>4072</v>
      </c>
      <c r="F1544" s="1" t="s">
        <v>4487</v>
      </c>
      <c r="G1544" s="1" t="s">
        <v>4666</v>
      </c>
      <c r="H1544" s="1" t="s">
        <v>4794</v>
      </c>
      <c r="I1544" s="1" t="str">
        <f t="shared" si="1"/>
        <v>13</v>
      </c>
      <c r="J1544" s="5"/>
      <c r="K1544" s="1" t="str">
        <f t="shared" si="2"/>
        <v>12</v>
      </c>
      <c r="L1544" s="5"/>
      <c r="M1544" s="2" t="str">
        <f t="shared" si="3"/>
        <v>1384</v>
      </c>
      <c r="N1544" s="5"/>
      <c r="O1544" s="13">
        <v>301.0</v>
      </c>
      <c r="P1544" s="5"/>
      <c r="Q1544" s="5"/>
      <c r="R1544" s="6" t="s">
        <v>4794</v>
      </c>
      <c r="S1544" s="5"/>
      <c r="T1544" s="1" t="str">
        <f>IFERROR(__xludf.DUMMYFUNCTION("INDEX(SPLIT(A1544, ""/""), 2)"),"کانون‌های فرهنگی هنری")</f>
        <v>کانون‌های فرهنگی هنری</v>
      </c>
      <c r="U1544" s="1" t="str">
        <f>IFERROR(__xludf.DUMMYFUNCTION("INDEX(SPLIT(A1544, ""/""), 3)"),"روزنامه شریف")</f>
        <v>روزنامه شریف</v>
      </c>
      <c r="V1544" s="1" t="str">
        <f>IFERROR(__xludf.DUMMYFUNCTION("INDEX(SPLIT(A1544, ""/""), 4)"),"#REF!")</f>
        <v>#REF!</v>
      </c>
    </row>
    <row r="1545">
      <c r="A1545" s="1" t="s">
        <v>4070</v>
      </c>
      <c r="B1545" s="1" t="s">
        <v>4795</v>
      </c>
      <c r="C1545" s="1" t="s">
        <v>21</v>
      </c>
      <c r="D1545" s="4" t="s">
        <v>4796</v>
      </c>
      <c r="E1545" s="1" t="s">
        <v>4072</v>
      </c>
      <c r="F1545" s="1" t="s">
        <v>4487</v>
      </c>
      <c r="G1545" s="1" t="s">
        <v>4666</v>
      </c>
      <c r="H1545" s="1" t="s">
        <v>4797</v>
      </c>
      <c r="I1545" s="1" t="str">
        <f t="shared" si="1"/>
        <v>16</v>
      </c>
      <c r="J1545" s="5"/>
      <c r="K1545" s="1" t="str">
        <f t="shared" si="2"/>
        <v>12</v>
      </c>
      <c r="L1545" s="5"/>
      <c r="M1545" s="2" t="str">
        <f t="shared" si="3"/>
        <v>1384</v>
      </c>
      <c r="N1545" s="5"/>
      <c r="O1545" s="13">
        <v>302.0</v>
      </c>
      <c r="P1545" s="5"/>
      <c r="Q1545" s="5"/>
      <c r="R1545" s="6" t="s">
        <v>4797</v>
      </c>
      <c r="S1545" s="5"/>
      <c r="T1545" s="1" t="str">
        <f>IFERROR(__xludf.DUMMYFUNCTION("INDEX(SPLIT(A1545, ""/""), 2)"),"کانون‌های فرهنگی هنری")</f>
        <v>کانون‌های فرهنگی هنری</v>
      </c>
      <c r="U1545" s="1" t="str">
        <f>IFERROR(__xludf.DUMMYFUNCTION("INDEX(SPLIT(A1545, ""/""), 3)"),"روزنامه شریف")</f>
        <v>روزنامه شریف</v>
      </c>
      <c r="V1545" s="1" t="str">
        <f>IFERROR(__xludf.DUMMYFUNCTION("INDEX(SPLIT(A1545, ""/""), 4)"),"#REF!")</f>
        <v>#REF!</v>
      </c>
    </row>
    <row r="1546">
      <c r="A1546" s="1" t="s">
        <v>4070</v>
      </c>
      <c r="B1546" s="1" t="s">
        <v>4798</v>
      </c>
      <c r="C1546" s="1" t="s">
        <v>21</v>
      </c>
      <c r="D1546" s="4" t="s">
        <v>4799</v>
      </c>
      <c r="E1546" s="1" t="s">
        <v>4072</v>
      </c>
      <c r="F1546" s="1" t="s">
        <v>4487</v>
      </c>
      <c r="G1546" s="1" t="s">
        <v>4666</v>
      </c>
      <c r="H1546" s="1" t="s">
        <v>4800</v>
      </c>
      <c r="I1546" s="1" t="str">
        <f t="shared" si="1"/>
        <v>20</v>
      </c>
      <c r="J1546" s="5"/>
      <c r="K1546" s="1" t="str">
        <f t="shared" si="2"/>
        <v>12</v>
      </c>
      <c r="L1546" s="5"/>
      <c r="M1546" s="2" t="str">
        <f t="shared" si="3"/>
        <v>1384</v>
      </c>
      <c r="N1546" s="5"/>
      <c r="O1546" s="13">
        <v>303.0</v>
      </c>
      <c r="P1546" s="5"/>
      <c r="Q1546" s="5"/>
      <c r="R1546" s="6" t="s">
        <v>4800</v>
      </c>
      <c r="S1546" s="5"/>
      <c r="T1546" s="1" t="str">
        <f>IFERROR(__xludf.DUMMYFUNCTION("INDEX(SPLIT(A1546, ""/""), 2)"),"کانون‌های فرهنگی هنری")</f>
        <v>کانون‌های فرهنگی هنری</v>
      </c>
      <c r="U1546" s="1" t="str">
        <f>IFERROR(__xludf.DUMMYFUNCTION("INDEX(SPLIT(A1546, ""/""), 3)"),"روزنامه شریف")</f>
        <v>روزنامه شریف</v>
      </c>
      <c r="V1546" s="1" t="str">
        <f>IFERROR(__xludf.DUMMYFUNCTION("INDEX(SPLIT(A1546, ""/""), 4)"),"#REF!")</f>
        <v>#REF!</v>
      </c>
    </row>
    <row r="1547">
      <c r="A1547" s="1" t="s">
        <v>4070</v>
      </c>
      <c r="B1547" s="1" t="s">
        <v>4801</v>
      </c>
      <c r="C1547" s="1" t="s">
        <v>21</v>
      </c>
      <c r="D1547" s="4" t="s">
        <v>4802</v>
      </c>
      <c r="E1547" s="1" t="s">
        <v>4072</v>
      </c>
      <c r="F1547" s="1" t="s">
        <v>4487</v>
      </c>
      <c r="G1547" s="1" t="s">
        <v>4666</v>
      </c>
      <c r="H1547" s="1" t="s">
        <v>4803</v>
      </c>
      <c r="I1547" s="1" t="str">
        <f t="shared" si="1"/>
        <v>19</v>
      </c>
      <c r="J1547" s="5"/>
      <c r="K1547" s="1" t="str">
        <f t="shared" si="2"/>
        <v>1</v>
      </c>
      <c r="L1547" s="5"/>
      <c r="M1547" s="2" t="str">
        <f t="shared" si="3"/>
        <v>1385</v>
      </c>
      <c r="N1547" s="5"/>
      <c r="O1547" s="13">
        <v>304.0</v>
      </c>
      <c r="P1547" s="5"/>
      <c r="Q1547" s="5"/>
      <c r="R1547" s="6" t="s">
        <v>4803</v>
      </c>
      <c r="S1547" s="5"/>
      <c r="T1547" s="1" t="str">
        <f>IFERROR(__xludf.DUMMYFUNCTION("INDEX(SPLIT(A1547, ""/""), 2)"),"کانون‌های فرهنگی هنری")</f>
        <v>کانون‌های فرهنگی هنری</v>
      </c>
      <c r="U1547" s="1" t="str">
        <f>IFERROR(__xludf.DUMMYFUNCTION("INDEX(SPLIT(A1547, ""/""), 3)"),"روزنامه شریف")</f>
        <v>روزنامه شریف</v>
      </c>
      <c r="V1547" s="1" t="str">
        <f>IFERROR(__xludf.DUMMYFUNCTION("INDEX(SPLIT(A1547, ""/""), 4)"),"#REF!")</f>
        <v>#REF!</v>
      </c>
    </row>
    <row r="1548">
      <c r="A1548" s="1" t="s">
        <v>4070</v>
      </c>
      <c r="B1548" s="1" t="s">
        <v>4804</v>
      </c>
      <c r="C1548" s="1" t="s">
        <v>21</v>
      </c>
      <c r="D1548" s="4" t="s">
        <v>4805</v>
      </c>
      <c r="E1548" s="1" t="s">
        <v>4072</v>
      </c>
      <c r="F1548" s="1" t="s">
        <v>4487</v>
      </c>
      <c r="G1548" s="1" t="s">
        <v>4666</v>
      </c>
      <c r="H1548" s="1" t="s">
        <v>4806</v>
      </c>
      <c r="I1548" s="1" t="str">
        <f t="shared" si="1"/>
        <v>22</v>
      </c>
      <c r="J1548" s="5"/>
      <c r="K1548" s="1" t="str">
        <f t="shared" si="2"/>
        <v>1</v>
      </c>
      <c r="L1548" s="5"/>
      <c r="M1548" s="2" t="str">
        <f t="shared" si="3"/>
        <v>1385</v>
      </c>
      <c r="N1548" s="5"/>
      <c r="O1548" s="13">
        <v>305.0</v>
      </c>
      <c r="P1548" s="5"/>
      <c r="Q1548" s="5"/>
      <c r="R1548" s="6" t="s">
        <v>4806</v>
      </c>
      <c r="S1548" s="5"/>
      <c r="T1548" s="1" t="str">
        <f>IFERROR(__xludf.DUMMYFUNCTION("INDEX(SPLIT(A1548, ""/""), 2)"),"کانون‌های فرهنگی هنری")</f>
        <v>کانون‌های فرهنگی هنری</v>
      </c>
      <c r="U1548" s="1" t="str">
        <f>IFERROR(__xludf.DUMMYFUNCTION("INDEX(SPLIT(A1548, ""/""), 3)"),"روزنامه شریف")</f>
        <v>روزنامه شریف</v>
      </c>
      <c r="V1548" s="1" t="str">
        <f>IFERROR(__xludf.DUMMYFUNCTION("INDEX(SPLIT(A1548, ""/""), 4)"),"#REF!")</f>
        <v>#REF!</v>
      </c>
    </row>
    <row r="1549">
      <c r="A1549" s="1" t="s">
        <v>4070</v>
      </c>
      <c r="B1549" s="1" t="s">
        <v>4807</v>
      </c>
      <c r="C1549" s="1" t="s">
        <v>21</v>
      </c>
      <c r="D1549" s="4" t="s">
        <v>4808</v>
      </c>
      <c r="E1549" s="1" t="s">
        <v>4072</v>
      </c>
      <c r="F1549" s="1" t="s">
        <v>4487</v>
      </c>
      <c r="G1549" s="1" t="s">
        <v>4666</v>
      </c>
      <c r="H1549" s="1" t="s">
        <v>4809</v>
      </c>
      <c r="I1549" s="1" t="str">
        <f t="shared" si="1"/>
        <v>26</v>
      </c>
      <c r="J1549" s="5"/>
      <c r="K1549" s="1" t="str">
        <f t="shared" si="2"/>
        <v>1</v>
      </c>
      <c r="L1549" s="5"/>
      <c r="M1549" s="2" t="str">
        <f t="shared" si="3"/>
        <v>1385</v>
      </c>
      <c r="N1549" s="5"/>
      <c r="O1549" s="13">
        <v>306.0</v>
      </c>
      <c r="P1549" s="5"/>
      <c r="Q1549" s="5"/>
      <c r="R1549" s="6" t="s">
        <v>4809</v>
      </c>
      <c r="S1549" s="5"/>
      <c r="T1549" s="1" t="str">
        <f>IFERROR(__xludf.DUMMYFUNCTION("INDEX(SPLIT(A1549, ""/""), 2)"),"کانون‌های فرهنگی هنری")</f>
        <v>کانون‌های فرهنگی هنری</v>
      </c>
      <c r="U1549" s="1" t="str">
        <f>IFERROR(__xludf.DUMMYFUNCTION("INDEX(SPLIT(A1549, ""/""), 3)"),"روزنامه شریف")</f>
        <v>روزنامه شریف</v>
      </c>
      <c r="V1549" s="1" t="str">
        <f>IFERROR(__xludf.DUMMYFUNCTION("INDEX(SPLIT(A1549, ""/""), 4)"),"#REF!")</f>
        <v>#REF!</v>
      </c>
    </row>
    <row r="1550">
      <c r="A1550" s="1" t="s">
        <v>4070</v>
      </c>
      <c r="B1550" s="1" t="s">
        <v>4810</v>
      </c>
      <c r="C1550" s="1" t="s">
        <v>21</v>
      </c>
      <c r="D1550" s="4" t="s">
        <v>4811</v>
      </c>
      <c r="E1550" s="1" t="s">
        <v>4072</v>
      </c>
      <c r="F1550" s="1" t="s">
        <v>4487</v>
      </c>
      <c r="G1550" s="1" t="s">
        <v>4666</v>
      </c>
      <c r="H1550" s="1" t="s">
        <v>918</v>
      </c>
      <c r="I1550" s="1" t="str">
        <f t="shared" si="1"/>
        <v>29</v>
      </c>
      <c r="J1550" s="5"/>
      <c r="K1550" s="1" t="str">
        <f t="shared" si="2"/>
        <v>1</v>
      </c>
      <c r="L1550" s="5"/>
      <c r="M1550" s="2" t="str">
        <f t="shared" si="3"/>
        <v>1385</v>
      </c>
      <c r="N1550" s="5"/>
      <c r="O1550" s="13">
        <v>307.0</v>
      </c>
      <c r="P1550" s="5"/>
      <c r="Q1550" s="5"/>
      <c r="R1550" s="6" t="s">
        <v>918</v>
      </c>
      <c r="S1550" s="5"/>
      <c r="T1550" s="1" t="str">
        <f>IFERROR(__xludf.DUMMYFUNCTION("INDEX(SPLIT(A1550, ""/""), 2)"),"کانون‌های فرهنگی هنری")</f>
        <v>کانون‌های فرهنگی هنری</v>
      </c>
      <c r="U1550" s="1" t="str">
        <f>IFERROR(__xludf.DUMMYFUNCTION("INDEX(SPLIT(A1550, ""/""), 3)"),"روزنامه شریف")</f>
        <v>روزنامه شریف</v>
      </c>
      <c r="V1550" s="1" t="str">
        <f>IFERROR(__xludf.DUMMYFUNCTION("INDEX(SPLIT(A1550, ""/""), 4)"),"#REF!")</f>
        <v>#REF!</v>
      </c>
    </row>
    <row r="1551">
      <c r="A1551" s="1" t="s">
        <v>4070</v>
      </c>
      <c r="B1551" s="1" t="s">
        <v>4812</v>
      </c>
      <c r="C1551" s="1" t="s">
        <v>21</v>
      </c>
      <c r="D1551" s="4" t="s">
        <v>4813</v>
      </c>
      <c r="E1551" s="1" t="s">
        <v>4072</v>
      </c>
      <c r="F1551" s="1" t="s">
        <v>4487</v>
      </c>
      <c r="G1551" s="1" t="s">
        <v>4666</v>
      </c>
      <c r="H1551" s="7" t="s">
        <v>4814</v>
      </c>
      <c r="I1551" s="1" t="str">
        <f t="shared" si="1"/>
        <v>2</v>
      </c>
      <c r="J1551" s="5"/>
      <c r="K1551" s="1" t="str">
        <f t="shared" si="2"/>
        <v>2</v>
      </c>
      <c r="L1551" s="5"/>
      <c r="M1551" s="2" t="str">
        <f t="shared" si="3"/>
        <v>1385</v>
      </c>
      <c r="N1551" s="5"/>
      <c r="O1551" s="13">
        <v>308.0</v>
      </c>
      <c r="P1551" s="5"/>
      <c r="Q1551" s="5"/>
      <c r="R1551" s="8" t="s">
        <v>4814</v>
      </c>
      <c r="S1551" s="5"/>
      <c r="T1551" s="1" t="str">
        <f>IFERROR(__xludf.DUMMYFUNCTION("INDEX(SPLIT(A1551, ""/""), 2)"),"کانون‌های فرهنگی هنری")</f>
        <v>کانون‌های فرهنگی هنری</v>
      </c>
      <c r="U1551" s="1" t="str">
        <f>IFERROR(__xludf.DUMMYFUNCTION("INDEX(SPLIT(A1551, ""/""), 3)"),"روزنامه شریف")</f>
        <v>روزنامه شریف</v>
      </c>
      <c r="V1551" s="1" t="str">
        <f>IFERROR(__xludf.DUMMYFUNCTION("INDEX(SPLIT(A1551, ""/""), 4)"),"#REF!")</f>
        <v>#REF!</v>
      </c>
    </row>
    <row r="1552">
      <c r="A1552" s="1" t="s">
        <v>4070</v>
      </c>
      <c r="B1552" s="1" t="s">
        <v>4815</v>
      </c>
      <c r="C1552" s="1" t="s">
        <v>21</v>
      </c>
      <c r="D1552" s="4" t="s">
        <v>4816</v>
      </c>
      <c r="E1552" s="1" t="s">
        <v>4072</v>
      </c>
      <c r="F1552" s="1" t="s">
        <v>4487</v>
      </c>
      <c r="G1552" s="1" t="s">
        <v>4666</v>
      </c>
      <c r="H1552" s="7" t="s">
        <v>4817</v>
      </c>
      <c r="I1552" s="1" t="str">
        <f t="shared" si="1"/>
        <v>5</v>
      </c>
      <c r="J1552" s="5"/>
      <c r="K1552" s="1" t="str">
        <f t="shared" si="2"/>
        <v>2</v>
      </c>
      <c r="L1552" s="5"/>
      <c r="M1552" s="2" t="str">
        <f t="shared" si="3"/>
        <v>1385</v>
      </c>
      <c r="N1552" s="5"/>
      <c r="O1552" s="13">
        <v>309.0</v>
      </c>
      <c r="P1552" s="5"/>
      <c r="Q1552" s="5"/>
      <c r="R1552" s="8" t="s">
        <v>4817</v>
      </c>
      <c r="S1552" s="5"/>
      <c r="T1552" s="1" t="str">
        <f>IFERROR(__xludf.DUMMYFUNCTION("INDEX(SPLIT(A1552, ""/""), 2)"),"کانون‌های فرهنگی هنری")</f>
        <v>کانون‌های فرهنگی هنری</v>
      </c>
      <c r="U1552" s="1" t="str">
        <f>IFERROR(__xludf.DUMMYFUNCTION("INDEX(SPLIT(A1552, ""/""), 3)"),"روزنامه شریف")</f>
        <v>روزنامه شریف</v>
      </c>
      <c r="V1552" s="1" t="str">
        <f>IFERROR(__xludf.DUMMYFUNCTION("INDEX(SPLIT(A1552, ""/""), 4)"),"#REF!")</f>
        <v>#REF!</v>
      </c>
    </row>
    <row r="1553">
      <c r="A1553" s="1" t="s">
        <v>4070</v>
      </c>
      <c r="B1553" s="1" t="s">
        <v>4818</v>
      </c>
      <c r="C1553" s="1" t="s">
        <v>21</v>
      </c>
      <c r="D1553" s="4" t="s">
        <v>4819</v>
      </c>
      <c r="E1553" s="1" t="s">
        <v>4072</v>
      </c>
      <c r="F1553" s="1" t="s">
        <v>4487</v>
      </c>
      <c r="G1553" s="1" t="s">
        <v>4666</v>
      </c>
      <c r="H1553" s="7" t="s">
        <v>4820</v>
      </c>
      <c r="I1553" s="1" t="str">
        <f t="shared" si="1"/>
        <v>9</v>
      </c>
      <c r="J1553" s="5"/>
      <c r="K1553" s="1" t="str">
        <f t="shared" si="2"/>
        <v>2</v>
      </c>
      <c r="L1553" s="5"/>
      <c r="M1553" s="2" t="str">
        <f t="shared" si="3"/>
        <v>1385</v>
      </c>
      <c r="N1553" s="5"/>
      <c r="O1553" s="13">
        <v>310.0</v>
      </c>
      <c r="P1553" s="5"/>
      <c r="Q1553" s="5"/>
      <c r="R1553" s="8" t="s">
        <v>4820</v>
      </c>
      <c r="S1553" s="5"/>
      <c r="T1553" s="1" t="str">
        <f>IFERROR(__xludf.DUMMYFUNCTION("INDEX(SPLIT(A1553, ""/""), 2)"),"کانون‌های فرهنگی هنری")</f>
        <v>کانون‌های فرهنگی هنری</v>
      </c>
      <c r="U1553" s="1" t="str">
        <f>IFERROR(__xludf.DUMMYFUNCTION("INDEX(SPLIT(A1553, ""/""), 3)"),"روزنامه شریف")</f>
        <v>روزنامه شریف</v>
      </c>
      <c r="V1553" s="1" t="str">
        <f>IFERROR(__xludf.DUMMYFUNCTION("INDEX(SPLIT(A1553, ""/""), 4)"),"#REF!")</f>
        <v>#REF!</v>
      </c>
    </row>
    <row r="1554">
      <c r="A1554" s="1" t="s">
        <v>4070</v>
      </c>
      <c r="B1554" s="1" t="s">
        <v>4821</v>
      </c>
      <c r="C1554" s="1" t="s">
        <v>21</v>
      </c>
      <c r="D1554" s="4" t="s">
        <v>4822</v>
      </c>
      <c r="E1554" s="1" t="s">
        <v>4072</v>
      </c>
      <c r="F1554" s="1" t="s">
        <v>4487</v>
      </c>
      <c r="G1554" s="1" t="s">
        <v>4666</v>
      </c>
      <c r="H1554" s="7" t="s">
        <v>4823</v>
      </c>
      <c r="I1554" s="1" t="str">
        <f t="shared" si="1"/>
        <v>12</v>
      </c>
      <c r="J1554" s="5"/>
      <c r="K1554" s="1" t="str">
        <f t="shared" si="2"/>
        <v>2</v>
      </c>
      <c r="L1554" s="5"/>
      <c r="M1554" s="2" t="str">
        <f t="shared" si="3"/>
        <v>1385</v>
      </c>
      <c r="N1554" s="5"/>
      <c r="O1554" s="13">
        <v>311.0</v>
      </c>
      <c r="P1554" s="5"/>
      <c r="Q1554" s="5"/>
      <c r="R1554" s="8" t="s">
        <v>4823</v>
      </c>
      <c r="S1554" s="5"/>
      <c r="T1554" s="1" t="str">
        <f>IFERROR(__xludf.DUMMYFUNCTION("INDEX(SPLIT(A1554, ""/""), 2)"),"کانون‌های فرهنگی هنری")</f>
        <v>کانون‌های فرهنگی هنری</v>
      </c>
      <c r="U1554" s="1" t="str">
        <f>IFERROR(__xludf.DUMMYFUNCTION("INDEX(SPLIT(A1554, ""/""), 3)"),"روزنامه شریف")</f>
        <v>روزنامه شریف</v>
      </c>
      <c r="V1554" s="1" t="str">
        <f>IFERROR(__xludf.DUMMYFUNCTION("INDEX(SPLIT(A1554, ""/""), 4)"),"#REF!")</f>
        <v>#REF!</v>
      </c>
    </row>
    <row r="1555">
      <c r="A1555" s="1" t="s">
        <v>4070</v>
      </c>
      <c r="B1555" s="1" t="s">
        <v>4824</v>
      </c>
      <c r="C1555" s="1" t="s">
        <v>21</v>
      </c>
      <c r="D1555" s="4" t="s">
        <v>4825</v>
      </c>
      <c r="E1555" s="1" t="s">
        <v>4072</v>
      </c>
      <c r="F1555" s="1" t="s">
        <v>4487</v>
      </c>
      <c r="G1555" s="1" t="s">
        <v>4666</v>
      </c>
      <c r="H1555" s="1" t="s">
        <v>4826</v>
      </c>
      <c r="I1555" s="1" t="str">
        <f t="shared" si="1"/>
        <v>16</v>
      </c>
      <c r="J1555" s="5"/>
      <c r="K1555" s="1" t="str">
        <f t="shared" si="2"/>
        <v>2</v>
      </c>
      <c r="L1555" s="5"/>
      <c r="M1555" s="2" t="str">
        <f t="shared" si="3"/>
        <v>1385</v>
      </c>
      <c r="N1555" s="5"/>
      <c r="O1555" s="13">
        <v>312.0</v>
      </c>
      <c r="P1555" s="5"/>
      <c r="Q1555" s="5"/>
      <c r="R1555" s="6" t="s">
        <v>4826</v>
      </c>
      <c r="S1555" s="5"/>
      <c r="T1555" s="1" t="str">
        <f>IFERROR(__xludf.DUMMYFUNCTION("INDEX(SPLIT(A1555, ""/""), 2)"),"کانون‌های فرهنگی هنری")</f>
        <v>کانون‌های فرهنگی هنری</v>
      </c>
      <c r="U1555" s="1" t="str">
        <f>IFERROR(__xludf.DUMMYFUNCTION("INDEX(SPLIT(A1555, ""/""), 3)"),"روزنامه شریف")</f>
        <v>روزنامه شریف</v>
      </c>
      <c r="V1555" s="1" t="str">
        <f>IFERROR(__xludf.DUMMYFUNCTION("INDEX(SPLIT(A1555, ""/""), 4)"),"#REF!")</f>
        <v>#REF!</v>
      </c>
    </row>
    <row r="1556">
      <c r="A1556" s="1" t="s">
        <v>4070</v>
      </c>
      <c r="B1556" s="1" t="s">
        <v>4827</v>
      </c>
      <c r="C1556" s="1" t="s">
        <v>21</v>
      </c>
      <c r="D1556" s="4" t="s">
        <v>4828</v>
      </c>
      <c r="E1556" s="1" t="s">
        <v>4072</v>
      </c>
      <c r="F1556" s="1" t="s">
        <v>4487</v>
      </c>
      <c r="G1556" s="1" t="s">
        <v>4666</v>
      </c>
      <c r="H1556" s="1" t="s">
        <v>4829</v>
      </c>
      <c r="I1556" s="1" t="str">
        <f t="shared" si="1"/>
        <v>19</v>
      </c>
      <c r="J1556" s="5"/>
      <c r="K1556" s="1" t="str">
        <f t="shared" si="2"/>
        <v>2</v>
      </c>
      <c r="L1556" s="5"/>
      <c r="M1556" s="2" t="str">
        <f t="shared" si="3"/>
        <v>1385</v>
      </c>
      <c r="N1556" s="5"/>
      <c r="O1556" s="13">
        <v>313.0</v>
      </c>
      <c r="P1556" s="5"/>
      <c r="Q1556" s="5"/>
      <c r="R1556" s="6" t="s">
        <v>4829</v>
      </c>
      <c r="S1556" s="5"/>
      <c r="T1556" s="1" t="str">
        <f>IFERROR(__xludf.DUMMYFUNCTION("INDEX(SPLIT(A1556, ""/""), 2)"),"کانون‌های فرهنگی هنری")</f>
        <v>کانون‌های فرهنگی هنری</v>
      </c>
      <c r="U1556" s="1" t="str">
        <f>IFERROR(__xludf.DUMMYFUNCTION("INDEX(SPLIT(A1556, ""/""), 3)"),"روزنامه شریف")</f>
        <v>روزنامه شریف</v>
      </c>
      <c r="V1556" s="1" t="str">
        <f>IFERROR(__xludf.DUMMYFUNCTION("INDEX(SPLIT(A1556, ""/""), 4)"),"#REF!")</f>
        <v>#REF!</v>
      </c>
    </row>
    <row r="1557">
      <c r="A1557" s="1" t="s">
        <v>4070</v>
      </c>
      <c r="B1557" s="1" t="s">
        <v>4830</v>
      </c>
      <c r="C1557" s="1" t="s">
        <v>21</v>
      </c>
      <c r="D1557" s="4" t="s">
        <v>4831</v>
      </c>
      <c r="E1557" s="1" t="s">
        <v>4072</v>
      </c>
      <c r="F1557" s="1" t="s">
        <v>4487</v>
      </c>
      <c r="G1557" s="1" t="s">
        <v>4666</v>
      </c>
      <c r="H1557" s="1" t="s">
        <v>4832</v>
      </c>
      <c r="I1557" s="1" t="str">
        <f t="shared" si="1"/>
        <v>23</v>
      </c>
      <c r="J1557" s="5"/>
      <c r="K1557" s="1" t="str">
        <f t="shared" si="2"/>
        <v>2</v>
      </c>
      <c r="L1557" s="5"/>
      <c r="M1557" s="2" t="str">
        <f t="shared" si="3"/>
        <v>1385</v>
      </c>
      <c r="N1557" s="5"/>
      <c r="O1557" s="13">
        <v>314.0</v>
      </c>
      <c r="P1557" s="5"/>
      <c r="Q1557" s="5"/>
      <c r="R1557" s="6" t="s">
        <v>4832</v>
      </c>
      <c r="S1557" s="5"/>
      <c r="T1557" s="1" t="str">
        <f>IFERROR(__xludf.DUMMYFUNCTION("INDEX(SPLIT(A1557, ""/""), 2)"),"کانون‌های فرهنگی هنری")</f>
        <v>کانون‌های فرهنگی هنری</v>
      </c>
      <c r="U1557" s="1" t="str">
        <f>IFERROR(__xludf.DUMMYFUNCTION("INDEX(SPLIT(A1557, ""/""), 3)"),"روزنامه شریف")</f>
        <v>روزنامه شریف</v>
      </c>
      <c r="V1557" s="1" t="str">
        <f>IFERROR(__xludf.DUMMYFUNCTION("INDEX(SPLIT(A1557, ""/""), 4)"),"#REF!")</f>
        <v>#REF!</v>
      </c>
    </row>
    <row r="1558">
      <c r="A1558" s="1" t="s">
        <v>4070</v>
      </c>
      <c r="B1558" s="1" t="s">
        <v>4833</v>
      </c>
      <c r="C1558" s="1" t="s">
        <v>21</v>
      </c>
      <c r="D1558" s="4" t="s">
        <v>4834</v>
      </c>
      <c r="E1558" s="1" t="s">
        <v>4072</v>
      </c>
      <c r="F1558" s="1" t="s">
        <v>4487</v>
      </c>
      <c r="G1558" s="1" t="s">
        <v>4666</v>
      </c>
      <c r="H1558" s="1" t="s">
        <v>4835</v>
      </c>
      <c r="I1558" s="1" t="str">
        <f t="shared" si="1"/>
        <v>26</v>
      </c>
      <c r="J1558" s="5"/>
      <c r="K1558" s="1" t="str">
        <f t="shared" si="2"/>
        <v>2</v>
      </c>
      <c r="L1558" s="5"/>
      <c r="M1558" s="2" t="str">
        <f t="shared" si="3"/>
        <v>1385</v>
      </c>
      <c r="N1558" s="5"/>
      <c r="O1558" s="13">
        <v>315.0</v>
      </c>
      <c r="P1558" s="5"/>
      <c r="Q1558" s="5"/>
      <c r="R1558" s="6" t="s">
        <v>4835</v>
      </c>
      <c r="S1558" s="5"/>
      <c r="T1558" s="1" t="str">
        <f>IFERROR(__xludf.DUMMYFUNCTION("INDEX(SPLIT(A1558, ""/""), 2)"),"کانون‌های فرهنگی هنری")</f>
        <v>کانون‌های فرهنگی هنری</v>
      </c>
      <c r="U1558" s="1" t="str">
        <f>IFERROR(__xludf.DUMMYFUNCTION("INDEX(SPLIT(A1558, ""/""), 3)"),"روزنامه شریف")</f>
        <v>روزنامه شریف</v>
      </c>
      <c r="V1558" s="1" t="str">
        <f>IFERROR(__xludf.DUMMYFUNCTION("INDEX(SPLIT(A1558, ""/""), 4)"),"#REF!")</f>
        <v>#REF!</v>
      </c>
    </row>
    <row r="1559">
      <c r="A1559" s="1" t="s">
        <v>4070</v>
      </c>
      <c r="B1559" s="1" t="s">
        <v>4836</v>
      </c>
      <c r="C1559" s="1" t="s">
        <v>21</v>
      </c>
      <c r="D1559" s="4" t="s">
        <v>4837</v>
      </c>
      <c r="E1559" s="1" t="s">
        <v>4072</v>
      </c>
      <c r="F1559" s="1" t="s">
        <v>4487</v>
      </c>
      <c r="G1559" s="1" t="s">
        <v>4666</v>
      </c>
      <c r="H1559" s="1" t="s">
        <v>4838</v>
      </c>
      <c r="I1559" s="1" t="str">
        <f t="shared" si="1"/>
        <v>30</v>
      </c>
      <c r="J1559" s="5"/>
      <c r="K1559" s="1" t="str">
        <f t="shared" si="2"/>
        <v>2</v>
      </c>
      <c r="L1559" s="5"/>
      <c r="M1559" s="2" t="str">
        <f t="shared" si="3"/>
        <v>1385</v>
      </c>
      <c r="N1559" s="5"/>
      <c r="O1559" s="13">
        <v>316.0</v>
      </c>
      <c r="P1559" s="5"/>
      <c r="Q1559" s="5"/>
      <c r="R1559" s="6" t="s">
        <v>4838</v>
      </c>
      <c r="S1559" s="5"/>
      <c r="T1559" s="1" t="str">
        <f>IFERROR(__xludf.DUMMYFUNCTION("INDEX(SPLIT(A1559, ""/""), 2)"),"کانون‌های فرهنگی هنری")</f>
        <v>کانون‌های فرهنگی هنری</v>
      </c>
      <c r="U1559" s="1" t="str">
        <f>IFERROR(__xludf.DUMMYFUNCTION("INDEX(SPLIT(A1559, ""/""), 3)"),"روزنامه شریف")</f>
        <v>روزنامه شریف</v>
      </c>
      <c r="V1559" s="1" t="str">
        <f>IFERROR(__xludf.DUMMYFUNCTION("INDEX(SPLIT(A1559, ""/""), 4)"),"#REF!")</f>
        <v>#REF!</v>
      </c>
    </row>
    <row r="1560">
      <c r="A1560" s="1" t="s">
        <v>4070</v>
      </c>
      <c r="B1560" s="1" t="s">
        <v>4839</v>
      </c>
      <c r="C1560" s="1" t="s">
        <v>21</v>
      </c>
      <c r="D1560" s="4" t="s">
        <v>4840</v>
      </c>
      <c r="E1560" s="1" t="s">
        <v>4072</v>
      </c>
      <c r="F1560" s="1" t="s">
        <v>4487</v>
      </c>
      <c r="G1560" s="1" t="s">
        <v>4666</v>
      </c>
      <c r="H1560" s="7" t="s">
        <v>4841</v>
      </c>
      <c r="I1560" s="1" t="str">
        <f t="shared" si="1"/>
        <v>2</v>
      </c>
      <c r="J1560" s="5"/>
      <c r="K1560" s="1" t="str">
        <f t="shared" si="2"/>
        <v>3</v>
      </c>
      <c r="L1560" s="5"/>
      <c r="M1560" s="2" t="str">
        <f t="shared" si="3"/>
        <v>1385</v>
      </c>
      <c r="N1560" s="5"/>
      <c r="O1560" s="13">
        <v>317.0</v>
      </c>
      <c r="P1560" s="5"/>
      <c r="Q1560" s="5"/>
      <c r="R1560" s="8" t="s">
        <v>4841</v>
      </c>
      <c r="S1560" s="5"/>
      <c r="T1560" s="1" t="str">
        <f>IFERROR(__xludf.DUMMYFUNCTION("INDEX(SPLIT(A1560, ""/""), 2)"),"کانون‌های فرهنگی هنری")</f>
        <v>کانون‌های فرهنگی هنری</v>
      </c>
      <c r="U1560" s="1" t="str">
        <f>IFERROR(__xludf.DUMMYFUNCTION("INDEX(SPLIT(A1560, ""/""), 3)"),"روزنامه شریف")</f>
        <v>روزنامه شریف</v>
      </c>
      <c r="V1560" s="1" t="str">
        <f>IFERROR(__xludf.DUMMYFUNCTION("INDEX(SPLIT(A1560, ""/""), 4)"),"#REF!")</f>
        <v>#REF!</v>
      </c>
    </row>
    <row r="1561">
      <c r="A1561" s="1" t="s">
        <v>4070</v>
      </c>
      <c r="B1561" s="1" t="s">
        <v>4842</v>
      </c>
      <c r="C1561" s="1" t="s">
        <v>21</v>
      </c>
      <c r="D1561" s="4" t="s">
        <v>4843</v>
      </c>
      <c r="E1561" s="1" t="s">
        <v>4072</v>
      </c>
      <c r="F1561" s="1" t="s">
        <v>4487</v>
      </c>
      <c r="G1561" s="1" t="s">
        <v>4666</v>
      </c>
      <c r="H1561" s="7" t="s">
        <v>933</v>
      </c>
      <c r="I1561" s="1" t="str">
        <f t="shared" si="1"/>
        <v>6</v>
      </c>
      <c r="J1561" s="5"/>
      <c r="K1561" s="1" t="str">
        <f t="shared" si="2"/>
        <v>3</v>
      </c>
      <c r="L1561" s="5"/>
      <c r="M1561" s="2" t="str">
        <f t="shared" si="3"/>
        <v>1385</v>
      </c>
      <c r="N1561" s="5"/>
      <c r="O1561" s="13">
        <v>318.0</v>
      </c>
      <c r="P1561" s="5"/>
      <c r="Q1561" s="5"/>
      <c r="R1561" s="8" t="s">
        <v>933</v>
      </c>
      <c r="S1561" s="5"/>
      <c r="T1561" s="1" t="str">
        <f>IFERROR(__xludf.DUMMYFUNCTION("INDEX(SPLIT(A1561, ""/""), 2)"),"کانون‌های فرهنگی هنری")</f>
        <v>کانون‌های فرهنگی هنری</v>
      </c>
      <c r="U1561" s="1" t="str">
        <f>IFERROR(__xludf.DUMMYFUNCTION("INDEX(SPLIT(A1561, ""/""), 3)"),"روزنامه شریف")</f>
        <v>روزنامه شریف</v>
      </c>
      <c r="V1561" s="1" t="str">
        <f>IFERROR(__xludf.DUMMYFUNCTION("INDEX(SPLIT(A1561, ""/""), 4)"),"#REF!")</f>
        <v>#REF!</v>
      </c>
    </row>
    <row r="1562">
      <c r="A1562" s="1" t="s">
        <v>4070</v>
      </c>
      <c r="B1562" s="1" t="s">
        <v>4844</v>
      </c>
      <c r="C1562" s="1" t="s">
        <v>21</v>
      </c>
      <c r="D1562" s="4" t="s">
        <v>4845</v>
      </c>
      <c r="E1562" s="1" t="s">
        <v>4072</v>
      </c>
      <c r="F1562" s="1" t="s">
        <v>4487</v>
      </c>
      <c r="G1562" s="1" t="s">
        <v>4666</v>
      </c>
      <c r="H1562" s="7" t="s">
        <v>4846</v>
      </c>
      <c r="I1562" s="1" t="str">
        <f t="shared" si="1"/>
        <v>9</v>
      </c>
      <c r="J1562" s="5"/>
      <c r="K1562" s="1" t="str">
        <f t="shared" si="2"/>
        <v>3</v>
      </c>
      <c r="L1562" s="5"/>
      <c r="M1562" s="2" t="str">
        <f t="shared" si="3"/>
        <v>1385</v>
      </c>
      <c r="N1562" s="5"/>
      <c r="O1562" s="13">
        <v>319.0</v>
      </c>
      <c r="P1562" s="5"/>
      <c r="Q1562" s="5"/>
      <c r="R1562" s="8" t="s">
        <v>4846</v>
      </c>
      <c r="S1562" s="5"/>
      <c r="T1562" s="1" t="str">
        <f>IFERROR(__xludf.DUMMYFUNCTION("INDEX(SPLIT(A1562, ""/""), 2)"),"کانون‌های فرهنگی هنری")</f>
        <v>کانون‌های فرهنگی هنری</v>
      </c>
      <c r="U1562" s="1" t="str">
        <f>IFERROR(__xludf.DUMMYFUNCTION("INDEX(SPLIT(A1562, ""/""), 3)"),"روزنامه شریف")</f>
        <v>روزنامه شریف</v>
      </c>
      <c r="V1562" s="1" t="str">
        <f>IFERROR(__xludf.DUMMYFUNCTION("INDEX(SPLIT(A1562, ""/""), 4)"),"#REF!")</f>
        <v>#REF!</v>
      </c>
    </row>
    <row r="1563">
      <c r="A1563" s="1" t="s">
        <v>4070</v>
      </c>
      <c r="B1563" s="1" t="s">
        <v>4847</v>
      </c>
      <c r="C1563" s="1" t="s">
        <v>21</v>
      </c>
      <c r="D1563" s="4" t="s">
        <v>4848</v>
      </c>
      <c r="E1563" s="1" t="s">
        <v>4072</v>
      </c>
      <c r="F1563" s="1" t="s">
        <v>4487</v>
      </c>
      <c r="G1563" s="1" t="s">
        <v>4666</v>
      </c>
      <c r="H1563" s="1" t="s">
        <v>4849</v>
      </c>
      <c r="I1563" s="1" t="str">
        <f t="shared" si="1"/>
        <v>13</v>
      </c>
      <c r="J1563" s="5"/>
      <c r="K1563" s="1" t="str">
        <f t="shared" si="2"/>
        <v>3</v>
      </c>
      <c r="L1563" s="5"/>
      <c r="M1563" s="2" t="str">
        <f t="shared" si="3"/>
        <v>1385</v>
      </c>
      <c r="N1563" s="5"/>
      <c r="O1563" s="13">
        <v>320.0</v>
      </c>
      <c r="P1563" s="5"/>
      <c r="Q1563" s="5"/>
      <c r="R1563" s="6" t="s">
        <v>4849</v>
      </c>
      <c r="S1563" s="5"/>
      <c r="T1563" s="1" t="str">
        <f>IFERROR(__xludf.DUMMYFUNCTION("INDEX(SPLIT(A1563, ""/""), 2)"),"کانون‌های فرهنگی هنری")</f>
        <v>کانون‌های فرهنگی هنری</v>
      </c>
      <c r="U1563" s="1" t="str">
        <f>IFERROR(__xludf.DUMMYFUNCTION("INDEX(SPLIT(A1563, ""/""), 3)"),"روزنامه شریف")</f>
        <v>روزنامه شریف</v>
      </c>
      <c r="V1563" s="1" t="str">
        <f>IFERROR(__xludf.DUMMYFUNCTION("INDEX(SPLIT(A1563, ""/""), 4)"),"#REF!")</f>
        <v>#REF!</v>
      </c>
    </row>
    <row r="1564">
      <c r="A1564" s="1" t="s">
        <v>4070</v>
      </c>
      <c r="B1564" s="1" t="s">
        <v>4850</v>
      </c>
      <c r="C1564" s="1" t="s">
        <v>21</v>
      </c>
      <c r="D1564" s="4" t="s">
        <v>4851</v>
      </c>
      <c r="E1564" s="1" t="s">
        <v>4072</v>
      </c>
      <c r="F1564" s="1" t="s">
        <v>4487</v>
      </c>
      <c r="G1564" s="1" t="s">
        <v>4666</v>
      </c>
      <c r="H1564" s="1" t="s">
        <v>4852</v>
      </c>
      <c r="I1564" s="1" t="str">
        <f t="shared" si="1"/>
        <v>20</v>
      </c>
      <c r="J1564" s="5"/>
      <c r="K1564" s="1" t="str">
        <f t="shared" si="2"/>
        <v>4</v>
      </c>
      <c r="L1564" s="5"/>
      <c r="M1564" s="2" t="str">
        <f t="shared" si="3"/>
        <v>1385</v>
      </c>
      <c r="N1564" s="5"/>
      <c r="O1564" s="13">
        <v>321.0</v>
      </c>
      <c r="P1564" s="5"/>
      <c r="Q1564" s="5"/>
      <c r="R1564" s="6" t="s">
        <v>4852</v>
      </c>
      <c r="S1564" s="5"/>
      <c r="T1564" s="1" t="str">
        <f>IFERROR(__xludf.DUMMYFUNCTION("INDEX(SPLIT(A1564, ""/""), 2)"),"کانون‌های فرهنگی هنری")</f>
        <v>کانون‌های فرهنگی هنری</v>
      </c>
      <c r="U1564" s="1" t="str">
        <f>IFERROR(__xludf.DUMMYFUNCTION("INDEX(SPLIT(A1564, ""/""), 3)"),"روزنامه شریف")</f>
        <v>روزنامه شریف</v>
      </c>
      <c r="V1564" s="1" t="str">
        <f>IFERROR(__xludf.DUMMYFUNCTION("INDEX(SPLIT(A1564, ""/""), 4)"),"#REF!")</f>
        <v>#REF!</v>
      </c>
    </row>
    <row r="1565">
      <c r="A1565" s="1" t="s">
        <v>4070</v>
      </c>
      <c r="B1565" s="1" t="s">
        <v>4853</v>
      </c>
      <c r="C1565" s="1" t="s">
        <v>21</v>
      </c>
      <c r="D1565" s="4" t="s">
        <v>4854</v>
      </c>
      <c r="E1565" s="1" t="s">
        <v>4072</v>
      </c>
      <c r="F1565" s="1" t="s">
        <v>4487</v>
      </c>
      <c r="G1565" s="1" t="s">
        <v>4666</v>
      </c>
      <c r="H1565" s="1" t="s">
        <v>4855</v>
      </c>
      <c r="I1565" s="1" t="str">
        <f t="shared" si="1"/>
        <v>27</v>
      </c>
      <c r="J1565" s="5"/>
      <c r="K1565" s="1" t="str">
        <f t="shared" si="2"/>
        <v>4</v>
      </c>
      <c r="L1565" s="5"/>
      <c r="M1565" s="2" t="str">
        <f t="shared" si="3"/>
        <v>1385</v>
      </c>
      <c r="N1565" s="5"/>
      <c r="O1565" s="13">
        <v>322.0</v>
      </c>
      <c r="P1565" s="5"/>
      <c r="Q1565" s="5"/>
      <c r="R1565" s="6" t="s">
        <v>4855</v>
      </c>
      <c r="S1565" s="5"/>
      <c r="T1565" s="1" t="str">
        <f>IFERROR(__xludf.DUMMYFUNCTION("INDEX(SPLIT(A1565, ""/""), 2)"),"کانون‌های فرهنگی هنری")</f>
        <v>کانون‌های فرهنگی هنری</v>
      </c>
      <c r="U1565" s="1" t="str">
        <f>IFERROR(__xludf.DUMMYFUNCTION("INDEX(SPLIT(A1565, ""/""), 3)"),"روزنامه شریف")</f>
        <v>روزنامه شریف</v>
      </c>
      <c r="V1565" s="1" t="str">
        <f>IFERROR(__xludf.DUMMYFUNCTION("INDEX(SPLIT(A1565, ""/""), 4)"),"#REF!")</f>
        <v>#REF!</v>
      </c>
    </row>
    <row r="1566">
      <c r="A1566" s="1" t="s">
        <v>4070</v>
      </c>
      <c r="B1566" s="1" t="s">
        <v>4856</v>
      </c>
      <c r="C1566" s="1" t="s">
        <v>21</v>
      </c>
      <c r="D1566" s="4" t="s">
        <v>4857</v>
      </c>
      <c r="E1566" s="1" t="s">
        <v>4072</v>
      </c>
      <c r="F1566" s="1" t="s">
        <v>4487</v>
      </c>
      <c r="G1566" s="1" t="s">
        <v>4666</v>
      </c>
      <c r="H1566" s="7" t="s">
        <v>4858</v>
      </c>
      <c r="I1566" s="1" t="str">
        <f t="shared" si="1"/>
        <v>3</v>
      </c>
      <c r="J1566" s="5"/>
      <c r="K1566" s="1" t="str">
        <f t="shared" si="2"/>
        <v>5</v>
      </c>
      <c r="L1566" s="5"/>
      <c r="M1566" s="2" t="str">
        <f t="shared" si="3"/>
        <v>1385</v>
      </c>
      <c r="N1566" s="5"/>
      <c r="O1566" s="13">
        <v>323.0</v>
      </c>
      <c r="P1566" s="5"/>
      <c r="Q1566" s="5"/>
      <c r="R1566" s="8" t="s">
        <v>4858</v>
      </c>
      <c r="S1566" s="5"/>
      <c r="T1566" s="1" t="str">
        <f>IFERROR(__xludf.DUMMYFUNCTION("INDEX(SPLIT(A1566, ""/""), 2)"),"کانون‌های فرهنگی هنری")</f>
        <v>کانون‌های فرهنگی هنری</v>
      </c>
      <c r="U1566" s="1" t="str">
        <f>IFERROR(__xludf.DUMMYFUNCTION("INDEX(SPLIT(A1566, ""/""), 3)"),"روزنامه شریف")</f>
        <v>روزنامه شریف</v>
      </c>
      <c r="V1566" s="1" t="str">
        <f>IFERROR(__xludf.DUMMYFUNCTION("INDEX(SPLIT(A1566, ""/""), 4)"),"#REF!")</f>
        <v>#REF!</v>
      </c>
    </row>
    <row r="1567">
      <c r="A1567" s="1" t="s">
        <v>4070</v>
      </c>
      <c r="B1567" s="1" t="s">
        <v>4859</v>
      </c>
      <c r="C1567" s="1" t="s">
        <v>21</v>
      </c>
      <c r="D1567" s="4" t="s">
        <v>4860</v>
      </c>
      <c r="E1567" s="1" t="s">
        <v>4072</v>
      </c>
      <c r="F1567" s="1" t="s">
        <v>4487</v>
      </c>
      <c r="G1567" s="1" t="s">
        <v>4666</v>
      </c>
      <c r="H1567" s="7" t="s">
        <v>4861</v>
      </c>
      <c r="I1567" s="1" t="str">
        <f t="shared" si="1"/>
        <v>10</v>
      </c>
      <c r="J1567" s="5"/>
      <c r="K1567" s="1" t="str">
        <f t="shared" si="2"/>
        <v>5</v>
      </c>
      <c r="L1567" s="5"/>
      <c r="M1567" s="2" t="str">
        <f t="shared" si="3"/>
        <v>1385</v>
      </c>
      <c r="N1567" s="5"/>
      <c r="O1567" s="13">
        <v>324.0</v>
      </c>
      <c r="P1567" s="5"/>
      <c r="Q1567" s="5"/>
      <c r="R1567" s="8" t="s">
        <v>4861</v>
      </c>
      <c r="S1567" s="5"/>
      <c r="T1567" s="1" t="str">
        <f>IFERROR(__xludf.DUMMYFUNCTION("INDEX(SPLIT(A1567, ""/""), 2)"),"کانون‌های فرهنگی هنری")</f>
        <v>کانون‌های فرهنگی هنری</v>
      </c>
      <c r="U1567" s="1" t="str">
        <f>IFERROR(__xludf.DUMMYFUNCTION("INDEX(SPLIT(A1567, ""/""), 3)"),"روزنامه شریف")</f>
        <v>روزنامه شریف</v>
      </c>
      <c r="V1567" s="1" t="str">
        <f>IFERROR(__xludf.DUMMYFUNCTION("INDEX(SPLIT(A1567, ""/""), 4)"),"#REF!")</f>
        <v>#REF!</v>
      </c>
    </row>
    <row r="1568">
      <c r="A1568" s="1" t="s">
        <v>4070</v>
      </c>
      <c r="B1568" s="1" t="s">
        <v>4862</v>
      </c>
      <c r="C1568" s="1" t="s">
        <v>21</v>
      </c>
      <c r="D1568" s="4" t="s">
        <v>4863</v>
      </c>
      <c r="E1568" s="1" t="s">
        <v>4072</v>
      </c>
      <c r="F1568" s="1" t="s">
        <v>4487</v>
      </c>
      <c r="G1568" s="1" t="s">
        <v>4666</v>
      </c>
      <c r="H1568" s="1" t="s">
        <v>4864</v>
      </c>
      <c r="I1568" s="1" t="str">
        <f t="shared" si="1"/>
        <v>24</v>
      </c>
      <c r="J1568" s="5"/>
      <c r="K1568" s="1" t="str">
        <f t="shared" si="2"/>
        <v>5</v>
      </c>
      <c r="L1568" s="5"/>
      <c r="M1568" s="2" t="str">
        <f t="shared" si="3"/>
        <v>1385</v>
      </c>
      <c r="N1568" s="5"/>
      <c r="O1568" s="13">
        <v>325.0</v>
      </c>
      <c r="P1568" s="5"/>
      <c r="Q1568" s="5"/>
      <c r="R1568" s="6" t="s">
        <v>4864</v>
      </c>
      <c r="S1568" s="5"/>
      <c r="T1568" s="1" t="str">
        <f>IFERROR(__xludf.DUMMYFUNCTION("INDEX(SPLIT(A1568, ""/""), 2)"),"کانون‌های فرهنگی هنری")</f>
        <v>کانون‌های فرهنگی هنری</v>
      </c>
      <c r="U1568" s="1" t="str">
        <f>IFERROR(__xludf.DUMMYFUNCTION("INDEX(SPLIT(A1568, ""/""), 3)"),"روزنامه شریف")</f>
        <v>روزنامه شریف</v>
      </c>
      <c r="V1568" s="1" t="str">
        <f>IFERROR(__xludf.DUMMYFUNCTION("INDEX(SPLIT(A1568, ""/""), 4)"),"#REF!")</f>
        <v>#REF!</v>
      </c>
    </row>
    <row r="1569">
      <c r="A1569" s="1" t="s">
        <v>4070</v>
      </c>
      <c r="B1569" s="1" t="s">
        <v>4865</v>
      </c>
      <c r="C1569" s="1" t="s">
        <v>21</v>
      </c>
      <c r="D1569" s="4" t="s">
        <v>4866</v>
      </c>
      <c r="E1569" s="1" t="s">
        <v>4072</v>
      </c>
      <c r="F1569" s="1" t="s">
        <v>4487</v>
      </c>
      <c r="G1569" s="1" t="s">
        <v>4666</v>
      </c>
      <c r="H1569" s="1" t="s">
        <v>4867</v>
      </c>
      <c r="I1569" s="1" t="str">
        <f t="shared" si="1"/>
        <v>30</v>
      </c>
      <c r="J1569" s="5"/>
      <c r="K1569" s="1" t="str">
        <f t="shared" si="2"/>
        <v>5</v>
      </c>
      <c r="L1569" s="5"/>
      <c r="M1569" s="2" t="str">
        <f t="shared" si="3"/>
        <v>1385</v>
      </c>
      <c r="N1569" s="5"/>
      <c r="O1569" s="13">
        <v>326.0</v>
      </c>
      <c r="P1569" s="5"/>
      <c r="Q1569" s="5"/>
      <c r="R1569" s="6" t="s">
        <v>4867</v>
      </c>
      <c r="S1569" s="5"/>
      <c r="T1569" s="1" t="str">
        <f>IFERROR(__xludf.DUMMYFUNCTION("INDEX(SPLIT(A1569, ""/""), 2)"),"کانون‌های فرهنگی هنری")</f>
        <v>کانون‌های فرهنگی هنری</v>
      </c>
      <c r="U1569" s="1" t="str">
        <f>IFERROR(__xludf.DUMMYFUNCTION("INDEX(SPLIT(A1569, ""/""), 3)"),"روزنامه شریف")</f>
        <v>روزنامه شریف</v>
      </c>
      <c r="V1569" s="1" t="str">
        <f>IFERROR(__xludf.DUMMYFUNCTION("INDEX(SPLIT(A1569, ""/""), 4)"),"#REF!")</f>
        <v>#REF!</v>
      </c>
    </row>
    <row r="1570">
      <c r="A1570" s="1" t="s">
        <v>4070</v>
      </c>
      <c r="B1570" s="1" t="s">
        <v>4868</v>
      </c>
      <c r="C1570" s="1" t="s">
        <v>21</v>
      </c>
      <c r="D1570" s="4" t="s">
        <v>4869</v>
      </c>
      <c r="E1570" s="1" t="s">
        <v>4072</v>
      </c>
      <c r="F1570" s="1" t="s">
        <v>4487</v>
      </c>
      <c r="G1570" s="1" t="s">
        <v>4666</v>
      </c>
      <c r="H1570" s="7" t="s">
        <v>4870</v>
      </c>
      <c r="I1570" s="1" t="str">
        <f t="shared" si="1"/>
        <v>7</v>
      </c>
      <c r="J1570" s="5"/>
      <c r="K1570" s="1" t="str">
        <f t="shared" si="2"/>
        <v>6</v>
      </c>
      <c r="L1570" s="5"/>
      <c r="M1570" s="2" t="str">
        <f t="shared" si="3"/>
        <v>1385</v>
      </c>
      <c r="N1570" s="5"/>
      <c r="O1570" s="13">
        <v>327.0</v>
      </c>
      <c r="P1570" s="5"/>
      <c r="Q1570" s="5"/>
      <c r="R1570" s="8" t="s">
        <v>4870</v>
      </c>
      <c r="S1570" s="5"/>
      <c r="T1570" s="1" t="str">
        <f>IFERROR(__xludf.DUMMYFUNCTION("INDEX(SPLIT(A1570, ""/""), 2)"),"کانون‌های فرهنگی هنری")</f>
        <v>کانون‌های فرهنگی هنری</v>
      </c>
      <c r="U1570" s="1" t="str">
        <f>IFERROR(__xludf.DUMMYFUNCTION("INDEX(SPLIT(A1570, ""/""), 3)"),"روزنامه شریف")</f>
        <v>روزنامه شریف</v>
      </c>
      <c r="V1570" s="1" t="str">
        <f>IFERROR(__xludf.DUMMYFUNCTION("INDEX(SPLIT(A1570, ""/""), 4)"),"#REF!")</f>
        <v>#REF!</v>
      </c>
    </row>
    <row r="1571">
      <c r="A1571" s="1" t="s">
        <v>4070</v>
      </c>
      <c r="B1571" s="1" t="s">
        <v>4871</v>
      </c>
      <c r="C1571" s="1" t="s">
        <v>21</v>
      </c>
      <c r="D1571" s="4" t="s">
        <v>4872</v>
      </c>
      <c r="E1571" s="1" t="s">
        <v>4072</v>
      </c>
      <c r="F1571" s="1" t="s">
        <v>4487</v>
      </c>
      <c r="G1571" s="1" t="s">
        <v>4666</v>
      </c>
      <c r="H1571" s="1" t="s">
        <v>4873</v>
      </c>
      <c r="I1571" s="1" t="str">
        <f t="shared" si="1"/>
        <v>14</v>
      </c>
      <c r="J1571" s="5"/>
      <c r="K1571" s="1" t="str">
        <f t="shared" si="2"/>
        <v>6</v>
      </c>
      <c r="L1571" s="5"/>
      <c r="M1571" s="2" t="str">
        <f t="shared" si="3"/>
        <v>1385</v>
      </c>
      <c r="N1571" s="5"/>
      <c r="O1571" s="13">
        <v>328.0</v>
      </c>
      <c r="P1571" s="5"/>
      <c r="Q1571" s="5"/>
      <c r="R1571" s="6" t="s">
        <v>4873</v>
      </c>
      <c r="S1571" s="5"/>
      <c r="T1571" s="1" t="str">
        <f>IFERROR(__xludf.DUMMYFUNCTION("INDEX(SPLIT(A1571, ""/""), 2)"),"کانون‌های فرهنگی هنری")</f>
        <v>کانون‌های فرهنگی هنری</v>
      </c>
      <c r="U1571" s="1" t="str">
        <f>IFERROR(__xludf.DUMMYFUNCTION("INDEX(SPLIT(A1571, ""/""), 3)"),"روزنامه شریف")</f>
        <v>روزنامه شریف</v>
      </c>
      <c r="V1571" s="1" t="str">
        <f>IFERROR(__xludf.DUMMYFUNCTION("INDEX(SPLIT(A1571, ""/""), 4)"),"#REF!")</f>
        <v>#REF!</v>
      </c>
    </row>
    <row r="1572">
      <c r="A1572" s="1" t="s">
        <v>4070</v>
      </c>
      <c r="B1572" s="1" t="s">
        <v>4874</v>
      </c>
      <c r="C1572" s="1" t="s">
        <v>21</v>
      </c>
      <c r="D1572" s="4" t="s">
        <v>4875</v>
      </c>
      <c r="E1572" s="1" t="s">
        <v>4072</v>
      </c>
      <c r="F1572" s="1" t="s">
        <v>4487</v>
      </c>
      <c r="G1572" s="1" t="s">
        <v>4666</v>
      </c>
      <c r="H1572" s="1" t="s">
        <v>4876</v>
      </c>
      <c r="I1572" s="1" t="str">
        <f t="shared" si="1"/>
        <v>21</v>
      </c>
      <c r="J1572" s="5"/>
      <c r="K1572" s="1" t="str">
        <f t="shared" si="2"/>
        <v>6</v>
      </c>
      <c r="L1572" s="5"/>
      <c r="M1572" s="2" t="str">
        <f t="shared" si="3"/>
        <v>1385</v>
      </c>
      <c r="N1572" s="5"/>
      <c r="O1572" s="13">
        <v>329.0</v>
      </c>
      <c r="P1572" s="5"/>
      <c r="Q1572" s="5"/>
      <c r="R1572" s="6" t="s">
        <v>4876</v>
      </c>
      <c r="S1572" s="5"/>
      <c r="T1572" s="1" t="str">
        <f>IFERROR(__xludf.DUMMYFUNCTION("INDEX(SPLIT(A1572, ""/""), 2)"),"کانون‌های فرهنگی هنری")</f>
        <v>کانون‌های فرهنگی هنری</v>
      </c>
      <c r="U1572" s="1" t="str">
        <f>IFERROR(__xludf.DUMMYFUNCTION("INDEX(SPLIT(A1572, ""/""), 3)"),"روزنامه شریف")</f>
        <v>روزنامه شریف</v>
      </c>
      <c r="V1572" s="1" t="str">
        <f>IFERROR(__xludf.DUMMYFUNCTION("INDEX(SPLIT(A1572, ""/""), 4)"),"#REF!")</f>
        <v>#REF!</v>
      </c>
    </row>
    <row r="1573">
      <c r="A1573" s="1" t="s">
        <v>4070</v>
      </c>
      <c r="B1573" s="1" t="s">
        <v>4877</v>
      </c>
      <c r="C1573" s="1" t="s">
        <v>21</v>
      </c>
      <c r="D1573" s="4" t="s">
        <v>4878</v>
      </c>
      <c r="E1573" s="1" t="s">
        <v>4072</v>
      </c>
      <c r="F1573" s="1" t="s">
        <v>4487</v>
      </c>
      <c r="G1573" s="1" t="s">
        <v>4666</v>
      </c>
      <c r="H1573" s="1" t="s">
        <v>4879</v>
      </c>
      <c r="I1573" s="1" t="str">
        <f t="shared" si="1"/>
        <v>28</v>
      </c>
      <c r="J1573" s="5"/>
      <c r="K1573" s="1" t="str">
        <f t="shared" si="2"/>
        <v>6</v>
      </c>
      <c r="L1573" s="5"/>
      <c r="M1573" s="2" t="str">
        <f t="shared" si="3"/>
        <v>1385</v>
      </c>
      <c r="N1573" s="5"/>
      <c r="O1573" s="13">
        <v>330.0</v>
      </c>
      <c r="P1573" s="5"/>
      <c r="Q1573" s="5"/>
      <c r="R1573" s="6" t="s">
        <v>4879</v>
      </c>
      <c r="S1573" s="5"/>
      <c r="T1573" s="1" t="str">
        <f>IFERROR(__xludf.DUMMYFUNCTION("INDEX(SPLIT(A1573, ""/""), 2)"),"کانون‌های فرهنگی هنری")</f>
        <v>کانون‌های فرهنگی هنری</v>
      </c>
      <c r="U1573" s="1" t="str">
        <f>IFERROR(__xludf.DUMMYFUNCTION("INDEX(SPLIT(A1573, ""/""), 3)"),"روزنامه شریف")</f>
        <v>روزنامه شریف</v>
      </c>
      <c r="V1573" s="1" t="str">
        <f>IFERROR(__xludf.DUMMYFUNCTION("INDEX(SPLIT(A1573, ""/""), 4)"),"#REF!")</f>
        <v>#REF!</v>
      </c>
    </row>
    <row r="1574">
      <c r="A1574" s="1" t="s">
        <v>4070</v>
      </c>
      <c r="B1574" s="1" t="s">
        <v>4880</v>
      </c>
      <c r="C1574" s="1" t="s">
        <v>21</v>
      </c>
      <c r="D1574" s="4" t="s">
        <v>4881</v>
      </c>
      <c r="E1574" s="1" t="s">
        <v>4072</v>
      </c>
      <c r="F1574" s="1" t="s">
        <v>4487</v>
      </c>
      <c r="G1574" s="1" t="s">
        <v>4666</v>
      </c>
      <c r="H1574" s="1" t="s">
        <v>4882</v>
      </c>
      <c r="I1574" s="1" t="str">
        <f t="shared" si="1"/>
        <v>29</v>
      </c>
      <c r="J1574" s="5"/>
      <c r="K1574" s="1" t="str">
        <f t="shared" si="2"/>
        <v>6</v>
      </c>
      <c r="L1574" s="5"/>
      <c r="M1574" s="2" t="str">
        <f t="shared" si="3"/>
        <v>1385</v>
      </c>
      <c r="N1574" s="5"/>
      <c r="O1574" s="13">
        <v>331.0</v>
      </c>
      <c r="P1574" s="5"/>
      <c r="Q1574" s="5"/>
      <c r="R1574" s="6" t="s">
        <v>4882</v>
      </c>
      <c r="S1574" s="5"/>
      <c r="T1574" s="1" t="str">
        <f>IFERROR(__xludf.DUMMYFUNCTION("INDEX(SPLIT(A1574, ""/""), 2)"),"کانون‌های فرهنگی هنری")</f>
        <v>کانون‌های فرهنگی هنری</v>
      </c>
      <c r="U1574" s="1" t="str">
        <f>IFERROR(__xludf.DUMMYFUNCTION("INDEX(SPLIT(A1574, ""/""), 3)"),"روزنامه شریف")</f>
        <v>روزنامه شریف</v>
      </c>
      <c r="V1574" s="1" t="str">
        <f>IFERROR(__xludf.DUMMYFUNCTION("INDEX(SPLIT(A1574, ""/""), 4)"),"#REF!")</f>
        <v>#REF!</v>
      </c>
    </row>
    <row r="1575">
      <c r="A1575" s="1" t="s">
        <v>4070</v>
      </c>
      <c r="B1575" s="1" t="s">
        <v>4883</v>
      </c>
      <c r="C1575" s="1" t="s">
        <v>21</v>
      </c>
      <c r="D1575" s="4" t="s">
        <v>4884</v>
      </c>
      <c r="E1575" s="1" t="s">
        <v>4072</v>
      </c>
      <c r="F1575" s="1" t="s">
        <v>4487</v>
      </c>
      <c r="G1575" s="1" t="s">
        <v>4666</v>
      </c>
      <c r="H1575" s="7" t="s">
        <v>2663</v>
      </c>
      <c r="I1575" s="1" t="str">
        <f t="shared" si="1"/>
        <v>1</v>
      </c>
      <c r="J1575" s="5"/>
      <c r="K1575" s="1" t="str">
        <f t="shared" si="2"/>
        <v>7</v>
      </c>
      <c r="L1575" s="5"/>
      <c r="M1575" s="2" t="str">
        <f t="shared" si="3"/>
        <v>1385</v>
      </c>
      <c r="N1575" s="5"/>
      <c r="O1575" s="13">
        <v>332.0</v>
      </c>
      <c r="P1575" s="5"/>
      <c r="Q1575" s="5"/>
      <c r="R1575" s="8" t="s">
        <v>2663</v>
      </c>
      <c r="S1575" s="5"/>
      <c r="T1575" s="1" t="str">
        <f>IFERROR(__xludf.DUMMYFUNCTION("INDEX(SPLIT(A1575, ""/""), 2)"),"کانون‌های فرهنگی هنری")</f>
        <v>کانون‌های فرهنگی هنری</v>
      </c>
      <c r="U1575" s="1" t="str">
        <f>IFERROR(__xludf.DUMMYFUNCTION("INDEX(SPLIT(A1575, ""/""), 3)"),"روزنامه شریف")</f>
        <v>روزنامه شریف</v>
      </c>
      <c r="V1575" s="1" t="str">
        <f>IFERROR(__xludf.DUMMYFUNCTION("INDEX(SPLIT(A1575, ""/""), 4)"),"#REF!")</f>
        <v>#REF!</v>
      </c>
    </row>
    <row r="1576">
      <c r="A1576" s="1" t="s">
        <v>4070</v>
      </c>
      <c r="B1576" s="1" t="s">
        <v>4885</v>
      </c>
      <c r="C1576" s="1" t="s">
        <v>21</v>
      </c>
      <c r="D1576" s="4" t="s">
        <v>4886</v>
      </c>
      <c r="E1576" s="1" t="s">
        <v>4072</v>
      </c>
      <c r="F1576" s="1" t="s">
        <v>4487</v>
      </c>
      <c r="G1576" s="1" t="s">
        <v>4666</v>
      </c>
      <c r="H1576" s="7" t="s">
        <v>4887</v>
      </c>
      <c r="I1576" s="1" t="str">
        <f t="shared" si="1"/>
        <v>4</v>
      </c>
      <c r="J1576" s="5"/>
      <c r="K1576" s="1" t="str">
        <f t="shared" si="2"/>
        <v>7</v>
      </c>
      <c r="L1576" s="5"/>
      <c r="M1576" s="2" t="str">
        <f t="shared" si="3"/>
        <v>1385</v>
      </c>
      <c r="N1576" s="5"/>
      <c r="O1576" s="13">
        <v>333.0</v>
      </c>
      <c r="P1576" s="5"/>
      <c r="Q1576" s="5"/>
      <c r="R1576" s="8" t="s">
        <v>4887</v>
      </c>
      <c r="S1576" s="5"/>
      <c r="T1576" s="1" t="str">
        <f>IFERROR(__xludf.DUMMYFUNCTION("INDEX(SPLIT(A1576, ""/""), 2)"),"کانون‌های فرهنگی هنری")</f>
        <v>کانون‌های فرهنگی هنری</v>
      </c>
      <c r="U1576" s="1" t="str">
        <f>IFERROR(__xludf.DUMMYFUNCTION("INDEX(SPLIT(A1576, ""/""), 3)"),"روزنامه شریف")</f>
        <v>روزنامه شریف</v>
      </c>
      <c r="V1576" s="1" t="str">
        <f>IFERROR(__xludf.DUMMYFUNCTION("INDEX(SPLIT(A1576, ""/""), 4)"),"#REF!")</f>
        <v>#REF!</v>
      </c>
    </row>
    <row r="1577">
      <c r="A1577" s="1" t="s">
        <v>4070</v>
      </c>
      <c r="B1577" s="1" t="s">
        <v>4888</v>
      </c>
      <c r="C1577" s="1" t="s">
        <v>21</v>
      </c>
      <c r="D1577" s="4" t="s">
        <v>4889</v>
      </c>
      <c r="E1577" s="1" t="s">
        <v>4072</v>
      </c>
      <c r="F1577" s="1" t="s">
        <v>4487</v>
      </c>
      <c r="G1577" s="1" t="s">
        <v>4666</v>
      </c>
      <c r="H1577" s="7" t="s">
        <v>4890</v>
      </c>
      <c r="I1577" s="1" t="str">
        <f t="shared" si="1"/>
        <v>8</v>
      </c>
      <c r="J1577" s="5"/>
      <c r="K1577" s="1" t="str">
        <f t="shared" si="2"/>
        <v>7</v>
      </c>
      <c r="L1577" s="5"/>
      <c r="M1577" s="2" t="str">
        <f t="shared" si="3"/>
        <v>1385</v>
      </c>
      <c r="N1577" s="5"/>
      <c r="O1577" s="13">
        <v>334.0</v>
      </c>
      <c r="P1577" s="5"/>
      <c r="Q1577" s="5"/>
      <c r="R1577" s="8" t="s">
        <v>4890</v>
      </c>
      <c r="S1577" s="5"/>
      <c r="T1577" s="1" t="str">
        <f>IFERROR(__xludf.DUMMYFUNCTION("INDEX(SPLIT(A1577, ""/""), 2)"),"کانون‌های فرهنگی هنری")</f>
        <v>کانون‌های فرهنگی هنری</v>
      </c>
      <c r="U1577" s="1" t="str">
        <f>IFERROR(__xludf.DUMMYFUNCTION("INDEX(SPLIT(A1577, ""/""), 3)"),"روزنامه شریف")</f>
        <v>روزنامه شریف</v>
      </c>
      <c r="V1577" s="1" t="str">
        <f>IFERROR(__xludf.DUMMYFUNCTION("INDEX(SPLIT(A1577, ""/""), 4)"),"#REF!")</f>
        <v>#REF!</v>
      </c>
    </row>
    <row r="1578">
      <c r="A1578" s="1" t="s">
        <v>4070</v>
      </c>
      <c r="B1578" s="1" t="s">
        <v>4891</v>
      </c>
      <c r="C1578" s="1" t="s">
        <v>21</v>
      </c>
      <c r="D1578" s="4" t="s">
        <v>4892</v>
      </c>
      <c r="E1578" s="1" t="s">
        <v>4072</v>
      </c>
      <c r="F1578" s="1" t="s">
        <v>4487</v>
      </c>
      <c r="G1578" s="1" t="s">
        <v>4666</v>
      </c>
      <c r="H1578" s="7" t="s">
        <v>4893</v>
      </c>
      <c r="I1578" s="1" t="str">
        <f t="shared" si="1"/>
        <v>11</v>
      </c>
      <c r="J1578" s="5"/>
      <c r="K1578" s="1" t="str">
        <f t="shared" si="2"/>
        <v>7</v>
      </c>
      <c r="L1578" s="5"/>
      <c r="M1578" s="2" t="str">
        <f t="shared" si="3"/>
        <v>1385</v>
      </c>
      <c r="N1578" s="5"/>
      <c r="O1578" s="13">
        <v>335.0</v>
      </c>
      <c r="P1578" s="5"/>
      <c r="Q1578" s="5"/>
      <c r="R1578" s="8" t="s">
        <v>4893</v>
      </c>
      <c r="S1578" s="5"/>
      <c r="T1578" s="1" t="str">
        <f>IFERROR(__xludf.DUMMYFUNCTION("INDEX(SPLIT(A1578, ""/""), 2)"),"کانون‌های فرهنگی هنری")</f>
        <v>کانون‌های فرهنگی هنری</v>
      </c>
      <c r="U1578" s="1" t="str">
        <f>IFERROR(__xludf.DUMMYFUNCTION("INDEX(SPLIT(A1578, ""/""), 3)"),"روزنامه شریف")</f>
        <v>روزنامه شریف</v>
      </c>
      <c r="V1578" s="1" t="str">
        <f>IFERROR(__xludf.DUMMYFUNCTION("INDEX(SPLIT(A1578, ""/""), 4)"),"#REF!")</f>
        <v>#REF!</v>
      </c>
    </row>
    <row r="1579">
      <c r="A1579" s="1" t="s">
        <v>4070</v>
      </c>
      <c r="B1579" s="1" t="s">
        <v>4894</v>
      </c>
      <c r="C1579" s="1" t="s">
        <v>21</v>
      </c>
      <c r="D1579" s="4" t="s">
        <v>4895</v>
      </c>
      <c r="E1579" s="1" t="s">
        <v>4072</v>
      </c>
      <c r="F1579" s="1" t="s">
        <v>4487</v>
      </c>
      <c r="G1579" s="1" t="s">
        <v>4666</v>
      </c>
      <c r="H1579" s="1" t="s">
        <v>1595</v>
      </c>
      <c r="I1579" s="1" t="str">
        <f t="shared" si="1"/>
        <v>15</v>
      </c>
      <c r="J1579" s="5"/>
      <c r="K1579" s="1" t="str">
        <f t="shared" si="2"/>
        <v>7</v>
      </c>
      <c r="L1579" s="5"/>
      <c r="M1579" s="2" t="str">
        <f t="shared" si="3"/>
        <v>1385</v>
      </c>
      <c r="N1579" s="5"/>
      <c r="O1579" s="13">
        <v>336.0</v>
      </c>
      <c r="P1579" s="5"/>
      <c r="Q1579" s="5"/>
      <c r="R1579" s="6" t="s">
        <v>1595</v>
      </c>
      <c r="S1579" s="5"/>
      <c r="T1579" s="1" t="str">
        <f>IFERROR(__xludf.DUMMYFUNCTION("INDEX(SPLIT(A1579, ""/""), 2)"),"کانون‌های فرهنگی هنری")</f>
        <v>کانون‌های فرهنگی هنری</v>
      </c>
      <c r="U1579" s="1" t="str">
        <f>IFERROR(__xludf.DUMMYFUNCTION("INDEX(SPLIT(A1579, ""/""), 3)"),"روزنامه شریف")</f>
        <v>روزنامه شریف</v>
      </c>
      <c r="V1579" s="1" t="str">
        <f>IFERROR(__xludf.DUMMYFUNCTION("INDEX(SPLIT(A1579, ""/""), 4)"),"#REF!")</f>
        <v>#REF!</v>
      </c>
    </row>
    <row r="1580">
      <c r="A1580" s="1" t="s">
        <v>4070</v>
      </c>
      <c r="B1580" s="1" t="s">
        <v>4896</v>
      </c>
      <c r="C1580" s="1" t="s">
        <v>21</v>
      </c>
      <c r="D1580" s="4" t="s">
        <v>4897</v>
      </c>
      <c r="E1580" s="1" t="s">
        <v>4072</v>
      </c>
      <c r="F1580" s="1" t="s">
        <v>4487</v>
      </c>
      <c r="G1580" s="1" t="s">
        <v>4666</v>
      </c>
      <c r="H1580" s="1" t="s">
        <v>4898</v>
      </c>
      <c r="I1580" s="1" t="str">
        <f t="shared" si="1"/>
        <v>18</v>
      </c>
      <c r="J1580" s="5"/>
      <c r="K1580" s="1" t="str">
        <f t="shared" si="2"/>
        <v>7</v>
      </c>
      <c r="L1580" s="5"/>
      <c r="M1580" s="2" t="str">
        <f t="shared" si="3"/>
        <v>1385</v>
      </c>
      <c r="N1580" s="5"/>
      <c r="O1580" s="13">
        <v>337.0</v>
      </c>
      <c r="P1580" s="5"/>
      <c r="Q1580" s="5"/>
      <c r="R1580" s="6" t="s">
        <v>4898</v>
      </c>
      <c r="S1580" s="5"/>
      <c r="T1580" s="1" t="str">
        <f>IFERROR(__xludf.DUMMYFUNCTION("INDEX(SPLIT(A1580, ""/""), 2)"),"کانون‌های فرهنگی هنری")</f>
        <v>کانون‌های فرهنگی هنری</v>
      </c>
      <c r="U1580" s="1" t="str">
        <f>IFERROR(__xludf.DUMMYFUNCTION("INDEX(SPLIT(A1580, ""/""), 3)"),"روزنامه شریف")</f>
        <v>روزنامه شریف</v>
      </c>
      <c r="V1580" s="1" t="str">
        <f>IFERROR(__xludf.DUMMYFUNCTION("INDEX(SPLIT(A1580, ""/""), 4)"),"#REF!")</f>
        <v>#REF!</v>
      </c>
    </row>
    <row r="1581">
      <c r="A1581" s="1" t="s">
        <v>4070</v>
      </c>
      <c r="B1581" s="1" t="s">
        <v>4899</v>
      </c>
      <c r="C1581" s="1" t="s">
        <v>21</v>
      </c>
      <c r="D1581" s="4" t="s">
        <v>4900</v>
      </c>
      <c r="E1581" s="1" t="s">
        <v>4072</v>
      </c>
      <c r="F1581" s="1" t="s">
        <v>4487</v>
      </c>
      <c r="G1581" s="1" t="s">
        <v>4666</v>
      </c>
      <c r="H1581" s="1" t="s">
        <v>4901</v>
      </c>
      <c r="I1581" s="1" t="str">
        <f t="shared" si="1"/>
        <v>22</v>
      </c>
      <c r="J1581" s="5"/>
      <c r="K1581" s="1" t="str">
        <f t="shared" si="2"/>
        <v>7</v>
      </c>
      <c r="L1581" s="5"/>
      <c r="M1581" s="2" t="str">
        <f t="shared" si="3"/>
        <v>1385</v>
      </c>
      <c r="N1581" s="5"/>
      <c r="O1581" s="13">
        <v>338.0</v>
      </c>
      <c r="P1581" s="5"/>
      <c r="Q1581" s="5"/>
      <c r="R1581" s="6" t="s">
        <v>4901</v>
      </c>
      <c r="S1581" s="5"/>
      <c r="T1581" s="1" t="str">
        <f>IFERROR(__xludf.DUMMYFUNCTION("INDEX(SPLIT(A1581, ""/""), 2)"),"کانون‌های فرهنگی هنری")</f>
        <v>کانون‌های فرهنگی هنری</v>
      </c>
      <c r="U1581" s="1" t="str">
        <f>IFERROR(__xludf.DUMMYFUNCTION("INDEX(SPLIT(A1581, ""/""), 3)"),"روزنامه شریف")</f>
        <v>روزنامه شریف</v>
      </c>
      <c r="V1581" s="1" t="str">
        <f>IFERROR(__xludf.DUMMYFUNCTION("INDEX(SPLIT(A1581, ""/""), 4)"),"#REF!")</f>
        <v>#REF!</v>
      </c>
    </row>
    <row r="1582">
      <c r="A1582" s="1" t="s">
        <v>4070</v>
      </c>
      <c r="B1582" s="1" t="s">
        <v>4902</v>
      </c>
      <c r="C1582" s="1" t="s">
        <v>21</v>
      </c>
      <c r="D1582" s="4" t="s">
        <v>4903</v>
      </c>
      <c r="E1582" s="1" t="s">
        <v>4072</v>
      </c>
      <c r="F1582" s="1" t="s">
        <v>4487</v>
      </c>
      <c r="G1582" s="1" t="s">
        <v>4666</v>
      </c>
      <c r="H1582" s="1" t="s">
        <v>4904</v>
      </c>
      <c r="I1582" s="1" t="str">
        <f t="shared" si="1"/>
        <v>29</v>
      </c>
      <c r="J1582" s="5"/>
      <c r="K1582" s="1" t="str">
        <f t="shared" si="2"/>
        <v>7</v>
      </c>
      <c r="L1582" s="5"/>
      <c r="M1582" s="2" t="str">
        <f t="shared" si="3"/>
        <v>1385</v>
      </c>
      <c r="N1582" s="5"/>
      <c r="O1582" s="13">
        <v>339.0</v>
      </c>
      <c r="P1582" s="5"/>
      <c r="Q1582" s="5"/>
      <c r="R1582" s="6" t="s">
        <v>4904</v>
      </c>
      <c r="S1582" s="5"/>
      <c r="T1582" s="1" t="str">
        <f>IFERROR(__xludf.DUMMYFUNCTION("INDEX(SPLIT(A1582, ""/""), 2)"),"کانون‌های فرهنگی هنری")</f>
        <v>کانون‌های فرهنگی هنری</v>
      </c>
      <c r="U1582" s="1" t="str">
        <f>IFERROR(__xludf.DUMMYFUNCTION("INDEX(SPLIT(A1582, ""/""), 3)"),"روزنامه شریف")</f>
        <v>روزنامه شریف</v>
      </c>
      <c r="V1582" s="1" t="str">
        <f>IFERROR(__xludf.DUMMYFUNCTION("INDEX(SPLIT(A1582, ""/""), 4)"),"#REF!")</f>
        <v>#REF!</v>
      </c>
    </row>
    <row r="1583">
      <c r="A1583" s="1" t="s">
        <v>4070</v>
      </c>
      <c r="B1583" s="1" t="s">
        <v>4905</v>
      </c>
      <c r="C1583" s="1" t="s">
        <v>21</v>
      </c>
      <c r="D1583" s="4" t="s">
        <v>4906</v>
      </c>
      <c r="E1583" s="1" t="s">
        <v>4072</v>
      </c>
      <c r="F1583" s="1" t="s">
        <v>4487</v>
      </c>
      <c r="G1583" s="1" t="s">
        <v>4666</v>
      </c>
      <c r="H1583" s="7" t="s">
        <v>4907</v>
      </c>
      <c r="I1583" s="1" t="str">
        <f t="shared" si="1"/>
        <v>6</v>
      </c>
      <c r="J1583" s="5"/>
      <c r="K1583" s="1" t="str">
        <f t="shared" si="2"/>
        <v>8</v>
      </c>
      <c r="L1583" s="5"/>
      <c r="M1583" s="2" t="str">
        <f t="shared" si="3"/>
        <v>1385</v>
      </c>
      <c r="N1583" s="5"/>
      <c r="O1583" s="13">
        <v>340.0</v>
      </c>
      <c r="P1583" s="5"/>
      <c r="Q1583" s="5"/>
      <c r="R1583" s="8" t="s">
        <v>4907</v>
      </c>
      <c r="S1583" s="5"/>
      <c r="T1583" s="1" t="str">
        <f>IFERROR(__xludf.DUMMYFUNCTION("INDEX(SPLIT(A1583, ""/""), 2)"),"کانون‌های فرهنگی هنری")</f>
        <v>کانون‌های فرهنگی هنری</v>
      </c>
      <c r="U1583" s="1" t="str">
        <f>IFERROR(__xludf.DUMMYFUNCTION("INDEX(SPLIT(A1583, ""/""), 3)"),"روزنامه شریف")</f>
        <v>روزنامه شریف</v>
      </c>
      <c r="V1583" s="1" t="str">
        <f>IFERROR(__xludf.DUMMYFUNCTION("INDEX(SPLIT(A1583, ""/""), 4)"),"#REF!")</f>
        <v>#REF!</v>
      </c>
    </row>
    <row r="1584">
      <c r="A1584" s="1" t="s">
        <v>4070</v>
      </c>
      <c r="B1584" s="1" t="s">
        <v>4908</v>
      </c>
      <c r="C1584" s="1" t="s">
        <v>21</v>
      </c>
      <c r="D1584" s="4" t="s">
        <v>4909</v>
      </c>
      <c r="E1584" s="1" t="s">
        <v>4072</v>
      </c>
      <c r="F1584" s="1" t="s">
        <v>4487</v>
      </c>
      <c r="G1584" s="1" t="s">
        <v>4666</v>
      </c>
      <c r="H1584" s="7" t="s">
        <v>4910</v>
      </c>
      <c r="I1584" s="1" t="str">
        <f t="shared" si="1"/>
        <v>9</v>
      </c>
      <c r="J1584" s="5"/>
      <c r="K1584" s="1" t="str">
        <f t="shared" si="2"/>
        <v>8</v>
      </c>
      <c r="L1584" s="5"/>
      <c r="M1584" s="2" t="str">
        <f t="shared" si="3"/>
        <v>1385</v>
      </c>
      <c r="N1584" s="5"/>
      <c r="O1584" s="13">
        <v>341.0</v>
      </c>
      <c r="P1584" s="5"/>
      <c r="Q1584" s="5"/>
      <c r="R1584" s="8" t="s">
        <v>4910</v>
      </c>
      <c r="S1584" s="5"/>
      <c r="T1584" s="1" t="str">
        <f>IFERROR(__xludf.DUMMYFUNCTION("INDEX(SPLIT(A1584, ""/""), 2)"),"کانون‌های فرهنگی هنری")</f>
        <v>کانون‌های فرهنگی هنری</v>
      </c>
      <c r="U1584" s="1" t="str">
        <f>IFERROR(__xludf.DUMMYFUNCTION("INDEX(SPLIT(A1584, ""/""), 3)"),"روزنامه شریف")</f>
        <v>روزنامه شریف</v>
      </c>
      <c r="V1584" s="1" t="str">
        <f>IFERROR(__xludf.DUMMYFUNCTION("INDEX(SPLIT(A1584, ""/""), 4)"),"#REF!")</f>
        <v>#REF!</v>
      </c>
    </row>
    <row r="1585">
      <c r="A1585" s="1" t="s">
        <v>4070</v>
      </c>
      <c r="B1585" s="1" t="s">
        <v>4911</v>
      </c>
      <c r="C1585" s="1" t="s">
        <v>21</v>
      </c>
      <c r="D1585" s="4" t="s">
        <v>4912</v>
      </c>
      <c r="E1585" s="1" t="s">
        <v>4072</v>
      </c>
      <c r="F1585" s="1" t="s">
        <v>4487</v>
      </c>
      <c r="G1585" s="1" t="s">
        <v>4666</v>
      </c>
      <c r="H1585" s="1" t="s">
        <v>4913</v>
      </c>
      <c r="I1585" s="1" t="str">
        <f t="shared" si="1"/>
        <v>13</v>
      </c>
      <c r="J1585" s="5"/>
      <c r="K1585" s="1" t="str">
        <f t="shared" si="2"/>
        <v>8</v>
      </c>
      <c r="L1585" s="5"/>
      <c r="M1585" s="2" t="str">
        <f t="shared" si="3"/>
        <v>1385</v>
      </c>
      <c r="N1585" s="5"/>
      <c r="O1585" s="13">
        <v>342.0</v>
      </c>
      <c r="P1585" s="5"/>
      <c r="Q1585" s="5"/>
      <c r="R1585" s="6" t="s">
        <v>4913</v>
      </c>
      <c r="S1585" s="5"/>
      <c r="T1585" s="1" t="str">
        <f>IFERROR(__xludf.DUMMYFUNCTION("INDEX(SPLIT(A1585, ""/""), 2)"),"کانون‌های فرهنگی هنری")</f>
        <v>کانون‌های فرهنگی هنری</v>
      </c>
      <c r="U1585" s="1" t="str">
        <f>IFERROR(__xludf.DUMMYFUNCTION("INDEX(SPLIT(A1585, ""/""), 3)"),"روزنامه شریف")</f>
        <v>روزنامه شریف</v>
      </c>
      <c r="V1585" s="1" t="str">
        <f>IFERROR(__xludf.DUMMYFUNCTION("INDEX(SPLIT(A1585, ""/""), 4)"),"#REF!")</f>
        <v>#REF!</v>
      </c>
    </row>
    <row r="1586">
      <c r="A1586" s="1" t="s">
        <v>4070</v>
      </c>
      <c r="B1586" s="1" t="s">
        <v>4914</v>
      </c>
      <c r="C1586" s="1" t="s">
        <v>21</v>
      </c>
      <c r="D1586" s="4" t="s">
        <v>4915</v>
      </c>
      <c r="E1586" s="1" t="s">
        <v>4072</v>
      </c>
      <c r="F1586" s="1" t="s">
        <v>4487</v>
      </c>
      <c r="G1586" s="1" t="s">
        <v>4666</v>
      </c>
      <c r="H1586" s="1" t="s">
        <v>4916</v>
      </c>
      <c r="I1586" s="1" t="str">
        <f t="shared" si="1"/>
        <v>16</v>
      </c>
      <c r="J1586" s="5"/>
      <c r="K1586" s="1" t="str">
        <f t="shared" si="2"/>
        <v>8</v>
      </c>
      <c r="L1586" s="5"/>
      <c r="M1586" s="2" t="str">
        <f t="shared" si="3"/>
        <v>1385</v>
      </c>
      <c r="N1586" s="5"/>
      <c r="O1586" s="13">
        <v>343.0</v>
      </c>
      <c r="P1586" s="5"/>
      <c r="Q1586" s="5"/>
      <c r="R1586" s="6" t="s">
        <v>4916</v>
      </c>
      <c r="S1586" s="5"/>
      <c r="T1586" s="1" t="str">
        <f>IFERROR(__xludf.DUMMYFUNCTION("INDEX(SPLIT(A1586, ""/""), 2)"),"کانون‌های فرهنگی هنری")</f>
        <v>کانون‌های فرهنگی هنری</v>
      </c>
      <c r="U1586" s="1" t="str">
        <f>IFERROR(__xludf.DUMMYFUNCTION("INDEX(SPLIT(A1586, ""/""), 3)"),"روزنامه شریف")</f>
        <v>روزنامه شریف</v>
      </c>
      <c r="V1586" s="1" t="str">
        <f>IFERROR(__xludf.DUMMYFUNCTION("INDEX(SPLIT(A1586, ""/""), 4)"),"#REF!")</f>
        <v>#REF!</v>
      </c>
    </row>
    <row r="1587">
      <c r="A1587" s="1" t="s">
        <v>4070</v>
      </c>
      <c r="B1587" s="1" t="s">
        <v>4917</v>
      </c>
      <c r="C1587" s="1" t="s">
        <v>21</v>
      </c>
      <c r="D1587" s="4" t="s">
        <v>4918</v>
      </c>
      <c r="E1587" s="1" t="s">
        <v>4072</v>
      </c>
      <c r="F1587" s="1" t="s">
        <v>4487</v>
      </c>
      <c r="G1587" s="1" t="s">
        <v>4666</v>
      </c>
      <c r="H1587" s="1" t="s">
        <v>4919</v>
      </c>
      <c r="I1587" s="1" t="str">
        <f t="shared" si="1"/>
        <v>20</v>
      </c>
      <c r="J1587" s="5"/>
      <c r="K1587" s="1" t="str">
        <f t="shared" si="2"/>
        <v>8</v>
      </c>
      <c r="L1587" s="5"/>
      <c r="M1587" s="2" t="str">
        <f t="shared" si="3"/>
        <v>1385</v>
      </c>
      <c r="N1587" s="5"/>
      <c r="O1587" s="13">
        <v>344.0</v>
      </c>
      <c r="P1587" s="5"/>
      <c r="Q1587" s="5"/>
      <c r="R1587" s="6" t="s">
        <v>4919</v>
      </c>
      <c r="S1587" s="5"/>
      <c r="T1587" s="1" t="str">
        <f>IFERROR(__xludf.DUMMYFUNCTION("INDEX(SPLIT(A1587, ""/""), 2)"),"کانون‌های فرهنگی هنری")</f>
        <v>کانون‌های فرهنگی هنری</v>
      </c>
      <c r="U1587" s="1" t="str">
        <f>IFERROR(__xludf.DUMMYFUNCTION("INDEX(SPLIT(A1587, ""/""), 3)"),"روزنامه شریف")</f>
        <v>روزنامه شریف</v>
      </c>
      <c r="V1587" s="1" t="str">
        <f>IFERROR(__xludf.DUMMYFUNCTION("INDEX(SPLIT(A1587, ""/""), 4)"),"#REF!")</f>
        <v>#REF!</v>
      </c>
    </row>
    <row r="1588">
      <c r="A1588" s="1" t="s">
        <v>4070</v>
      </c>
      <c r="B1588" s="1" t="s">
        <v>4920</v>
      </c>
      <c r="C1588" s="1" t="s">
        <v>21</v>
      </c>
      <c r="D1588" s="4" t="s">
        <v>4921</v>
      </c>
      <c r="E1588" s="1" t="s">
        <v>4072</v>
      </c>
      <c r="F1588" s="1" t="s">
        <v>4487</v>
      </c>
      <c r="G1588" s="1" t="s">
        <v>4666</v>
      </c>
      <c r="H1588" s="1" t="s">
        <v>952</v>
      </c>
      <c r="I1588" s="1" t="str">
        <f t="shared" si="1"/>
        <v>22</v>
      </c>
      <c r="J1588" s="5"/>
      <c r="K1588" s="1" t="str">
        <f t="shared" si="2"/>
        <v>8</v>
      </c>
      <c r="L1588" s="5"/>
      <c r="M1588" s="2" t="str">
        <f t="shared" si="3"/>
        <v>1385</v>
      </c>
      <c r="N1588" s="5"/>
      <c r="O1588" s="13">
        <v>345.0</v>
      </c>
      <c r="P1588" s="5"/>
      <c r="Q1588" s="5"/>
      <c r="R1588" s="6" t="s">
        <v>952</v>
      </c>
      <c r="S1588" s="5"/>
      <c r="T1588" s="1" t="str">
        <f>IFERROR(__xludf.DUMMYFUNCTION("INDEX(SPLIT(A1588, ""/""), 2)"),"کانون‌های فرهنگی هنری")</f>
        <v>کانون‌های فرهنگی هنری</v>
      </c>
      <c r="U1588" s="1" t="str">
        <f>IFERROR(__xludf.DUMMYFUNCTION("INDEX(SPLIT(A1588, ""/""), 3)"),"روزنامه شریف")</f>
        <v>روزنامه شریف</v>
      </c>
      <c r="V1588" s="1" t="str">
        <f>IFERROR(__xludf.DUMMYFUNCTION("INDEX(SPLIT(A1588, ""/""), 4)"),"#REF!")</f>
        <v>#REF!</v>
      </c>
    </row>
    <row r="1589">
      <c r="A1589" s="1" t="s">
        <v>4070</v>
      </c>
      <c r="B1589" s="1" t="s">
        <v>4922</v>
      </c>
      <c r="C1589" s="1" t="s">
        <v>21</v>
      </c>
      <c r="D1589" s="4" t="s">
        <v>4923</v>
      </c>
      <c r="E1589" s="1" t="s">
        <v>4072</v>
      </c>
      <c r="F1589" s="1" t="s">
        <v>4487</v>
      </c>
      <c r="G1589" s="1" t="s">
        <v>4666</v>
      </c>
      <c r="H1589" s="1" t="s">
        <v>1601</v>
      </c>
      <c r="I1589" s="1" t="str">
        <f t="shared" si="1"/>
        <v>23</v>
      </c>
      <c r="J1589" s="5"/>
      <c r="K1589" s="1" t="str">
        <f t="shared" si="2"/>
        <v>8</v>
      </c>
      <c r="L1589" s="5"/>
      <c r="M1589" s="2" t="str">
        <f t="shared" si="3"/>
        <v>1385</v>
      </c>
      <c r="N1589" s="5"/>
      <c r="O1589" s="13">
        <v>346.0</v>
      </c>
      <c r="P1589" s="5"/>
      <c r="Q1589" s="5"/>
      <c r="R1589" s="6" t="s">
        <v>1601</v>
      </c>
      <c r="S1589" s="5"/>
      <c r="T1589" s="1" t="str">
        <f>IFERROR(__xludf.DUMMYFUNCTION("INDEX(SPLIT(A1589, ""/""), 2)"),"کانون‌های فرهنگی هنری")</f>
        <v>کانون‌های فرهنگی هنری</v>
      </c>
      <c r="U1589" s="1" t="str">
        <f>IFERROR(__xludf.DUMMYFUNCTION("INDEX(SPLIT(A1589, ""/""), 3)"),"روزنامه شریف")</f>
        <v>روزنامه شریف</v>
      </c>
      <c r="V1589" s="1" t="str">
        <f>IFERROR(__xludf.DUMMYFUNCTION("INDEX(SPLIT(A1589, ""/""), 4)"),"#REF!")</f>
        <v>#REF!</v>
      </c>
    </row>
    <row r="1590">
      <c r="A1590" s="1" t="s">
        <v>4070</v>
      </c>
      <c r="B1590" s="1" t="s">
        <v>4924</v>
      </c>
      <c r="C1590" s="1" t="s">
        <v>21</v>
      </c>
      <c r="D1590" s="4" t="s">
        <v>4925</v>
      </c>
      <c r="E1590" s="1" t="s">
        <v>4072</v>
      </c>
      <c r="F1590" s="1" t="s">
        <v>4487</v>
      </c>
      <c r="G1590" s="1" t="s">
        <v>4666</v>
      </c>
      <c r="H1590" s="1" t="s">
        <v>4926</v>
      </c>
      <c r="I1590" s="1" t="str">
        <f t="shared" si="1"/>
        <v>27</v>
      </c>
      <c r="J1590" s="5"/>
      <c r="K1590" s="1" t="str">
        <f t="shared" si="2"/>
        <v>8</v>
      </c>
      <c r="L1590" s="5"/>
      <c r="M1590" s="2" t="str">
        <f t="shared" si="3"/>
        <v>1385</v>
      </c>
      <c r="N1590" s="5"/>
      <c r="O1590" s="13">
        <v>347.0</v>
      </c>
      <c r="P1590" s="5"/>
      <c r="Q1590" s="5"/>
      <c r="R1590" s="6" t="s">
        <v>4926</v>
      </c>
      <c r="S1590" s="5"/>
      <c r="T1590" s="1" t="str">
        <f>IFERROR(__xludf.DUMMYFUNCTION("INDEX(SPLIT(A1590, ""/""), 2)"),"کانون‌های فرهنگی هنری")</f>
        <v>کانون‌های فرهنگی هنری</v>
      </c>
      <c r="U1590" s="1" t="str">
        <f>IFERROR(__xludf.DUMMYFUNCTION("INDEX(SPLIT(A1590, ""/""), 3)"),"روزنامه شریف")</f>
        <v>روزنامه شریف</v>
      </c>
      <c r="V1590" s="1" t="str">
        <f>IFERROR(__xludf.DUMMYFUNCTION("INDEX(SPLIT(A1590, ""/""), 4)"),"#REF!")</f>
        <v>#REF!</v>
      </c>
    </row>
    <row r="1591">
      <c r="A1591" s="1" t="s">
        <v>4070</v>
      </c>
      <c r="B1591" s="1" t="s">
        <v>4927</v>
      </c>
      <c r="C1591" s="1" t="s">
        <v>21</v>
      </c>
      <c r="D1591" s="4" t="s">
        <v>4928</v>
      </c>
      <c r="E1591" s="1" t="s">
        <v>4072</v>
      </c>
      <c r="F1591" s="1" t="s">
        <v>4487</v>
      </c>
      <c r="G1591" s="1" t="s">
        <v>4666</v>
      </c>
      <c r="H1591" s="1" t="s">
        <v>4929</v>
      </c>
      <c r="I1591" s="1" t="str">
        <f t="shared" si="1"/>
        <v>30</v>
      </c>
      <c r="J1591" s="5"/>
      <c r="K1591" s="1" t="str">
        <f t="shared" si="2"/>
        <v>8</v>
      </c>
      <c r="L1591" s="5"/>
      <c r="M1591" s="2" t="str">
        <f t="shared" si="3"/>
        <v>1385</v>
      </c>
      <c r="N1591" s="5"/>
      <c r="O1591" s="13">
        <v>348.0</v>
      </c>
      <c r="P1591" s="5"/>
      <c r="Q1591" s="5"/>
      <c r="R1591" s="6" t="s">
        <v>4929</v>
      </c>
      <c r="S1591" s="5"/>
      <c r="T1591" s="1" t="str">
        <f>IFERROR(__xludf.DUMMYFUNCTION("INDEX(SPLIT(A1591, ""/""), 2)"),"کانون‌های فرهنگی هنری")</f>
        <v>کانون‌های فرهنگی هنری</v>
      </c>
      <c r="U1591" s="1" t="str">
        <f>IFERROR(__xludf.DUMMYFUNCTION("INDEX(SPLIT(A1591, ""/""), 3)"),"روزنامه شریف")</f>
        <v>روزنامه شریف</v>
      </c>
      <c r="V1591" s="1" t="str">
        <f>IFERROR(__xludf.DUMMYFUNCTION("INDEX(SPLIT(A1591, ""/""), 4)"),"#REF!")</f>
        <v>#REF!</v>
      </c>
    </row>
    <row r="1592">
      <c r="A1592" s="1" t="s">
        <v>4070</v>
      </c>
      <c r="B1592" s="1" t="s">
        <v>4930</v>
      </c>
      <c r="C1592" s="1" t="s">
        <v>21</v>
      </c>
      <c r="D1592" s="4" t="s">
        <v>4931</v>
      </c>
      <c r="E1592" s="1" t="s">
        <v>4072</v>
      </c>
      <c r="F1592" s="1" t="s">
        <v>4487</v>
      </c>
      <c r="G1592" s="1" t="s">
        <v>4666</v>
      </c>
      <c r="H1592" s="7" t="s">
        <v>4932</v>
      </c>
      <c r="I1592" s="1" t="str">
        <f t="shared" si="1"/>
        <v>4</v>
      </c>
      <c r="J1592" s="5"/>
      <c r="K1592" s="1" t="str">
        <f t="shared" si="2"/>
        <v>9</v>
      </c>
      <c r="L1592" s="5"/>
      <c r="M1592" s="2" t="str">
        <f t="shared" si="3"/>
        <v>1385</v>
      </c>
      <c r="N1592" s="5"/>
      <c r="O1592" s="13">
        <v>349.0</v>
      </c>
      <c r="P1592" s="5"/>
      <c r="Q1592" s="5"/>
      <c r="R1592" s="8" t="s">
        <v>4932</v>
      </c>
      <c r="S1592" s="5"/>
      <c r="T1592" s="1" t="str">
        <f>IFERROR(__xludf.DUMMYFUNCTION("INDEX(SPLIT(A1592, ""/""), 2)"),"کانون‌های فرهنگی هنری")</f>
        <v>کانون‌های فرهنگی هنری</v>
      </c>
      <c r="U1592" s="1" t="str">
        <f>IFERROR(__xludf.DUMMYFUNCTION("INDEX(SPLIT(A1592, ""/""), 3)"),"روزنامه شریف")</f>
        <v>روزنامه شریف</v>
      </c>
      <c r="V1592" s="1" t="str">
        <f>IFERROR(__xludf.DUMMYFUNCTION("INDEX(SPLIT(A1592, ""/""), 4)"),"#REF!")</f>
        <v>#REF!</v>
      </c>
    </row>
    <row r="1593">
      <c r="A1593" s="1" t="s">
        <v>4070</v>
      </c>
      <c r="B1593" s="1" t="s">
        <v>4933</v>
      </c>
      <c r="C1593" s="1" t="s">
        <v>21</v>
      </c>
      <c r="D1593" s="4" t="s">
        <v>4934</v>
      </c>
      <c r="E1593" s="1" t="s">
        <v>4072</v>
      </c>
      <c r="F1593" s="1" t="s">
        <v>4487</v>
      </c>
      <c r="G1593" s="1" t="s">
        <v>4666</v>
      </c>
      <c r="H1593" s="7" t="s">
        <v>4935</v>
      </c>
      <c r="I1593" s="1" t="str">
        <f t="shared" si="1"/>
        <v>7</v>
      </c>
      <c r="J1593" s="5"/>
      <c r="K1593" s="1" t="str">
        <f t="shared" si="2"/>
        <v>9</v>
      </c>
      <c r="L1593" s="5"/>
      <c r="M1593" s="2" t="str">
        <f t="shared" si="3"/>
        <v>1385</v>
      </c>
      <c r="N1593" s="5"/>
      <c r="O1593" s="13">
        <v>350.0</v>
      </c>
      <c r="P1593" s="5"/>
      <c r="Q1593" s="5"/>
      <c r="R1593" s="8" t="s">
        <v>4935</v>
      </c>
      <c r="S1593" s="5"/>
      <c r="T1593" s="1" t="str">
        <f>IFERROR(__xludf.DUMMYFUNCTION("INDEX(SPLIT(A1593, ""/""), 2)"),"کانون‌های فرهنگی هنری")</f>
        <v>کانون‌های فرهنگی هنری</v>
      </c>
      <c r="U1593" s="1" t="str">
        <f>IFERROR(__xludf.DUMMYFUNCTION("INDEX(SPLIT(A1593, ""/""), 3)"),"روزنامه شریف")</f>
        <v>روزنامه شریف</v>
      </c>
      <c r="V1593" s="1" t="str">
        <f>IFERROR(__xludf.DUMMYFUNCTION("INDEX(SPLIT(A1593, ""/""), 4)"),"#REF!")</f>
        <v>#REF!</v>
      </c>
    </row>
    <row r="1594">
      <c r="A1594" s="1" t="s">
        <v>4070</v>
      </c>
      <c r="B1594" s="1" t="s">
        <v>4936</v>
      </c>
      <c r="C1594" s="1" t="s">
        <v>21</v>
      </c>
      <c r="D1594" s="4" t="s">
        <v>4937</v>
      </c>
      <c r="E1594" s="1" t="s">
        <v>4072</v>
      </c>
      <c r="F1594" s="1" t="s">
        <v>4487</v>
      </c>
      <c r="G1594" s="1" t="s">
        <v>4666</v>
      </c>
      <c r="H1594" s="7" t="s">
        <v>4938</v>
      </c>
      <c r="I1594" s="1" t="str">
        <f t="shared" si="1"/>
        <v>11</v>
      </c>
      <c r="J1594" s="5"/>
      <c r="K1594" s="1" t="str">
        <f t="shared" si="2"/>
        <v>9</v>
      </c>
      <c r="L1594" s="5"/>
      <c r="M1594" s="2" t="str">
        <f t="shared" si="3"/>
        <v>1385</v>
      </c>
      <c r="N1594" s="5"/>
      <c r="O1594" s="13">
        <v>351.0</v>
      </c>
      <c r="P1594" s="5"/>
      <c r="Q1594" s="5"/>
      <c r="R1594" s="8" t="s">
        <v>4938</v>
      </c>
      <c r="S1594" s="5"/>
      <c r="T1594" s="1" t="str">
        <f>IFERROR(__xludf.DUMMYFUNCTION("INDEX(SPLIT(A1594, ""/""), 2)"),"کانون‌های فرهنگی هنری")</f>
        <v>کانون‌های فرهنگی هنری</v>
      </c>
      <c r="U1594" s="1" t="str">
        <f>IFERROR(__xludf.DUMMYFUNCTION("INDEX(SPLIT(A1594, ""/""), 3)"),"روزنامه شریف")</f>
        <v>روزنامه شریف</v>
      </c>
      <c r="V1594" s="1" t="str">
        <f>IFERROR(__xludf.DUMMYFUNCTION("INDEX(SPLIT(A1594, ""/""), 4)"),"#REF!")</f>
        <v>#REF!</v>
      </c>
    </row>
    <row r="1595">
      <c r="A1595" s="1" t="s">
        <v>4070</v>
      </c>
      <c r="B1595" s="1" t="s">
        <v>4939</v>
      </c>
      <c r="C1595" s="1" t="s">
        <v>21</v>
      </c>
      <c r="D1595" s="4" t="s">
        <v>4940</v>
      </c>
      <c r="E1595" s="1" t="s">
        <v>4072</v>
      </c>
      <c r="F1595" s="1" t="s">
        <v>4487</v>
      </c>
      <c r="G1595" s="1" t="s">
        <v>4666</v>
      </c>
      <c r="H1595" s="1" t="s">
        <v>961</v>
      </c>
      <c r="I1595" s="1" t="str">
        <f t="shared" si="1"/>
        <v>14</v>
      </c>
      <c r="J1595" s="5"/>
      <c r="K1595" s="1" t="str">
        <f t="shared" si="2"/>
        <v>9</v>
      </c>
      <c r="L1595" s="5"/>
      <c r="M1595" s="2" t="str">
        <f t="shared" si="3"/>
        <v>1385</v>
      </c>
      <c r="N1595" s="5"/>
      <c r="O1595" s="13">
        <v>352.0</v>
      </c>
      <c r="P1595" s="5"/>
      <c r="Q1595" s="5"/>
      <c r="R1595" s="6" t="s">
        <v>961</v>
      </c>
      <c r="S1595" s="5"/>
      <c r="T1595" s="1" t="str">
        <f>IFERROR(__xludf.DUMMYFUNCTION("INDEX(SPLIT(A1595, ""/""), 2)"),"کانون‌های فرهنگی هنری")</f>
        <v>کانون‌های فرهنگی هنری</v>
      </c>
      <c r="U1595" s="1" t="str">
        <f>IFERROR(__xludf.DUMMYFUNCTION("INDEX(SPLIT(A1595, ""/""), 3)"),"روزنامه شریف")</f>
        <v>روزنامه شریف</v>
      </c>
      <c r="V1595" s="1" t="str">
        <f>IFERROR(__xludf.DUMMYFUNCTION("INDEX(SPLIT(A1595, ""/""), 4)"),"#REF!")</f>
        <v>#REF!</v>
      </c>
    </row>
    <row r="1596">
      <c r="A1596" s="1" t="s">
        <v>4070</v>
      </c>
      <c r="B1596" s="1" t="s">
        <v>4941</v>
      </c>
      <c r="C1596" s="1" t="s">
        <v>21</v>
      </c>
      <c r="D1596" s="4" t="s">
        <v>4942</v>
      </c>
      <c r="E1596" s="1" t="s">
        <v>4072</v>
      </c>
      <c r="F1596" s="1" t="s">
        <v>4487</v>
      </c>
      <c r="G1596" s="1" t="s">
        <v>4666</v>
      </c>
      <c r="H1596" s="1" t="s">
        <v>4943</v>
      </c>
      <c r="I1596" s="1" t="str">
        <f t="shared" si="1"/>
        <v>18</v>
      </c>
      <c r="J1596" s="5"/>
      <c r="K1596" s="1" t="str">
        <f t="shared" si="2"/>
        <v>9</v>
      </c>
      <c r="L1596" s="5"/>
      <c r="M1596" s="2" t="str">
        <f t="shared" si="3"/>
        <v>1385</v>
      </c>
      <c r="N1596" s="5"/>
      <c r="O1596" s="13">
        <v>353.0</v>
      </c>
      <c r="P1596" s="5"/>
      <c r="Q1596" s="5"/>
      <c r="R1596" s="6" t="s">
        <v>4943</v>
      </c>
      <c r="S1596" s="5"/>
      <c r="T1596" s="1" t="str">
        <f>IFERROR(__xludf.DUMMYFUNCTION("INDEX(SPLIT(A1596, ""/""), 2)"),"کانون‌های فرهنگی هنری")</f>
        <v>کانون‌های فرهنگی هنری</v>
      </c>
      <c r="U1596" s="1" t="str">
        <f>IFERROR(__xludf.DUMMYFUNCTION("INDEX(SPLIT(A1596, ""/""), 3)"),"روزنامه شریف")</f>
        <v>روزنامه شریف</v>
      </c>
      <c r="V1596" s="1" t="str">
        <f>IFERROR(__xludf.DUMMYFUNCTION("INDEX(SPLIT(A1596, ""/""), 4)"),"#REF!")</f>
        <v>#REF!</v>
      </c>
    </row>
    <row r="1597">
      <c r="A1597" s="1" t="s">
        <v>4070</v>
      </c>
      <c r="B1597" s="1" t="s">
        <v>4944</v>
      </c>
      <c r="C1597" s="1" t="s">
        <v>21</v>
      </c>
      <c r="D1597" s="4" t="s">
        <v>4945</v>
      </c>
      <c r="E1597" s="1" t="s">
        <v>4072</v>
      </c>
      <c r="F1597" s="1" t="s">
        <v>4487</v>
      </c>
      <c r="G1597" s="1" t="s">
        <v>4666</v>
      </c>
      <c r="H1597" s="1" t="s">
        <v>4946</v>
      </c>
      <c r="I1597" s="1" t="str">
        <f t="shared" si="1"/>
        <v>21</v>
      </c>
      <c r="J1597" s="5"/>
      <c r="K1597" s="1" t="str">
        <f t="shared" si="2"/>
        <v>9</v>
      </c>
      <c r="L1597" s="5"/>
      <c r="M1597" s="2" t="str">
        <f t="shared" si="3"/>
        <v>1385</v>
      </c>
      <c r="N1597" s="5"/>
      <c r="O1597" s="13">
        <v>354.0</v>
      </c>
      <c r="P1597" s="5"/>
      <c r="Q1597" s="5"/>
      <c r="R1597" s="6" t="s">
        <v>4946</v>
      </c>
      <c r="S1597" s="5"/>
      <c r="T1597" s="1" t="str">
        <f>IFERROR(__xludf.DUMMYFUNCTION("INDEX(SPLIT(A1597, ""/""), 2)"),"کانون‌های فرهنگی هنری")</f>
        <v>کانون‌های فرهنگی هنری</v>
      </c>
      <c r="U1597" s="1" t="str">
        <f>IFERROR(__xludf.DUMMYFUNCTION("INDEX(SPLIT(A1597, ""/""), 3)"),"روزنامه شریف")</f>
        <v>روزنامه شریف</v>
      </c>
      <c r="V1597" s="1" t="str">
        <f>IFERROR(__xludf.DUMMYFUNCTION("INDEX(SPLIT(A1597, ""/""), 4)"),"#REF!")</f>
        <v>#REF!</v>
      </c>
    </row>
    <row r="1598">
      <c r="A1598" s="1" t="s">
        <v>4070</v>
      </c>
      <c r="B1598" s="1" t="s">
        <v>4947</v>
      </c>
      <c r="C1598" s="1" t="s">
        <v>21</v>
      </c>
      <c r="D1598" s="4" t="s">
        <v>4948</v>
      </c>
      <c r="E1598" s="1" t="s">
        <v>4072</v>
      </c>
      <c r="F1598" s="1" t="s">
        <v>4487</v>
      </c>
      <c r="G1598" s="1" t="s">
        <v>4666</v>
      </c>
      <c r="H1598" s="1" t="s">
        <v>4949</v>
      </c>
      <c r="I1598" s="1" t="str">
        <f t="shared" si="1"/>
        <v>25</v>
      </c>
      <c r="J1598" s="5"/>
      <c r="K1598" s="1" t="str">
        <f t="shared" si="2"/>
        <v>9</v>
      </c>
      <c r="L1598" s="5"/>
      <c r="M1598" s="2" t="str">
        <f t="shared" si="3"/>
        <v>1385</v>
      </c>
      <c r="N1598" s="5"/>
      <c r="O1598" s="13">
        <v>355.0</v>
      </c>
      <c r="P1598" s="5"/>
      <c r="Q1598" s="5"/>
      <c r="R1598" s="6" t="s">
        <v>4949</v>
      </c>
      <c r="S1598" s="5"/>
      <c r="T1598" s="1" t="str">
        <f>IFERROR(__xludf.DUMMYFUNCTION("INDEX(SPLIT(A1598, ""/""), 2)"),"کانون‌های فرهنگی هنری")</f>
        <v>کانون‌های فرهنگی هنری</v>
      </c>
      <c r="U1598" s="1" t="str">
        <f>IFERROR(__xludf.DUMMYFUNCTION("INDEX(SPLIT(A1598, ""/""), 3)"),"روزنامه شریف")</f>
        <v>روزنامه شریف</v>
      </c>
      <c r="V1598" s="1" t="str">
        <f>IFERROR(__xludf.DUMMYFUNCTION("INDEX(SPLIT(A1598, ""/""), 4)"),"#REF!")</f>
        <v>#REF!</v>
      </c>
    </row>
    <row r="1599">
      <c r="A1599" s="1" t="s">
        <v>4070</v>
      </c>
      <c r="B1599" s="1" t="s">
        <v>4950</v>
      </c>
      <c r="C1599" s="1" t="s">
        <v>21</v>
      </c>
      <c r="D1599" s="4" t="s">
        <v>4951</v>
      </c>
      <c r="E1599" s="1" t="s">
        <v>4072</v>
      </c>
      <c r="F1599" s="1" t="s">
        <v>4487</v>
      </c>
      <c r="G1599" s="1" t="s">
        <v>4666</v>
      </c>
      <c r="H1599" s="1" t="s">
        <v>4952</v>
      </c>
      <c r="I1599" s="1" t="str">
        <f t="shared" si="1"/>
        <v>28</v>
      </c>
      <c r="J1599" s="5"/>
      <c r="K1599" s="1" t="str">
        <f t="shared" si="2"/>
        <v>9</v>
      </c>
      <c r="L1599" s="5"/>
      <c r="M1599" s="2" t="str">
        <f t="shared" si="3"/>
        <v>1385</v>
      </c>
      <c r="N1599" s="5"/>
      <c r="O1599" s="13">
        <v>356.0</v>
      </c>
      <c r="P1599" s="5"/>
      <c r="Q1599" s="5"/>
      <c r="R1599" s="6" t="s">
        <v>4952</v>
      </c>
      <c r="S1599" s="5"/>
      <c r="T1599" s="1" t="str">
        <f>IFERROR(__xludf.DUMMYFUNCTION("INDEX(SPLIT(A1599, ""/""), 2)"),"کانون‌های فرهنگی هنری")</f>
        <v>کانون‌های فرهنگی هنری</v>
      </c>
      <c r="U1599" s="1" t="str">
        <f>IFERROR(__xludf.DUMMYFUNCTION("INDEX(SPLIT(A1599, ""/""), 3)"),"روزنامه شریف")</f>
        <v>روزنامه شریف</v>
      </c>
      <c r="V1599" s="1" t="str">
        <f>IFERROR(__xludf.DUMMYFUNCTION("INDEX(SPLIT(A1599, ""/""), 4)"),"#REF!")</f>
        <v>#REF!</v>
      </c>
    </row>
    <row r="1600">
      <c r="A1600" s="1" t="s">
        <v>4070</v>
      </c>
      <c r="B1600" s="1" t="s">
        <v>4953</v>
      </c>
      <c r="C1600" s="1" t="s">
        <v>21</v>
      </c>
      <c r="D1600" s="4" t="s">
        <v>4954</v>
      </c>
      <c r="E1600" s="1" t="s">
        <v>4072</v>
      </c>
      <c r="F1600" s="1" t="s">
        <v>4487</v>
      </c>
      <c r="G1600" s="1" t="s">
        <v>4666</v>
      </c>
      <c r="H1600" s="7" t="s">
        <v>4955</v>
      </c>
      <c r="I1600" s="1" t="str">
        <f t="shared" si="1"/>
        <v>2</v>
      </c>
      <c r="J1600" s="5"/>
      <c r="K1600" s="1" t="str">
        <f t="shared" si="2"/>
        <v>10</v>
      </c>
      <c r="L1600" s="5"/>
      <c r="M1600" s="2" t="str">
        <f t="shared" si="3"/>
        <v>1385</v>
      </c>
      <c r="N1600" s="5"/>
      <c r="O1600" s="13">
        <v>357.0</v>
      </c>
      <c r="P1600" s="5"/>
      <c r="Q1600" s="5"/>
      <c r="R1600" s="8" t="s">
        <v>4955</v>
      </c>
      <c r="S1600" s="5"/>
      <c r="T1600" s="1" t="str">
        <f>IFERROR(__xludf.DUMMYFUNCTION("INDEX(SPLIT(A1600, ""/""), 2)"),"کانون‌های فرهنگی هنری")</f>
        <v>کانون‌های فرهنگی هنری</v>
      </c>
      <c r="U1600" s="1" t="str">
        <f>IFERROR(__xludf.DUMMYFUNCTION("INDEX(SPLIT(A1600, ""/""), 3)"),"روزنامه شریف")</f>
        <v>روزنامه شریف</v>
      </c>
      <c r="V1600" s="1" t="str">
        <f>IFERROR(__xludf.DUMMYFUNCTION("INDEX(SPLIT(A1600, ""/""), 4)"),"#REF!")</f>
        <v>#REF!</v>
      </c>
    </row>
    <row r="1601">
      <c r="A1601" s="1" t="s">
        <v>4070</v>
      </c>
      <c r="B1601" s="1" t="s">
        <v>4956</v>
      </c>
      <c r="C1601" s="1" t="s">
        <v>21</v>
      </c>
      <c r="D1601" s="4" t="s">
        <v>4957</v>
      </c>
      <c r="E1601" s="1" t="s">
        <v>4072</v>
      </c>
      <c r="F1601" s="1" t="s">
        <v>4487</v>
      </c>
      <c r="G1601" s="1" t="s">
        <v>4666</v>
      </c>
      <c r="H1601" s="7" t="s">
        <v>4958</v>
      </c>
      <c r="I1601" s="1" t="str">
        <f t="shared" si="1"/>
        <v>5</v>
      </c>
      <c r="J1601" s="5"/>
      <c r="K1601" s="1" t="str">
        <f t="shared" si="2"/>
        <v>10</v>
      </c>
      <c r="L1601" s="5"/>
      <c r="M1601" s="2" t="str">
        <f t="shared" si="3"/>
        <v>1385</v>
      </c>
      <c r="N1601" s="5"/>
      <c r="O1601" s="13">
        <v>358.0</v>
      </c>
      <c r="P1601" s="5"/>
      <c r="Q1601" s="5"/>
      <c r="R1601" s="8" t="s">
        <v>4958</v>
      </c>
      <c r="S1601" s="5"/>
      <c r="T1601" s="1" t="str">
        <f>IFERROR(__xludf.DUMMYFUNCTION("INDEX(SPLIT(A1601, ""/""), 2)"),"کانون‌های فرهنگی هنری")</f>
        <v>کانون‌های فرهنگی هنری</v>
      </c>
      <c r="U1601" s="1" t="str">
        <f>IFERROR(__xludf.DUMMYFUNCTION("INDEX(SPLIT(A1601, ""/""), 3)"),"روزنامه شریف")</f>
        <v>روزنامه شریف</v>
      </c>
      <c r="V1601" s="1" t="str">
        <f>IFERROR(__xludf.DUMMYFUNCTION("INDEX(SPLIT(A1601, ""/""), 4)"),"#REF!")</f>
        <v>#REF!</v>
      </c>
    </row>
    <row r="1602">
      <c r="A1602" s="1" t="s">
        <v>4070</v>
      </c>
      <c r="B1602" s="1" t="s">
        <v>4959</v>
      </c>
      <c r="C1602" s="1" t="s">
        <v>21</v>
      </c>
      <c r="D1602" s="4" t="s">
        <v>4960</v>
      </c>
      <c r="E1602" s="1" t="s">
        <v>4072</v>
      </c>
      <c r="F1602" s="1" t="s">
        <v>4487</v>
      </c>
      <c r="G1602" s="1" t="s">
        <v>4666</v>
      </c>
      <c r="H1602" s="7" t="s">
        <v>4961</v>
      </c>
      <c r="I1602" s="1" t="str">
        <f t="shared" si="1"/>
        <v>9</v>
      </c>
      <c r="J1602" s="5"/>
      <c r="K1602" s="1" t="str">
        <f t="shared" si="2"/>
        <v>10</v>
      </c>
      <c r="L1602" s="5"/>
      <c r="M1602" s="2" t="str">
        <f t="shared" si="3"/>
        <v>1385</v>
      </c>
      <c r="N1602" s="5"/>
      <c r="O1602" s="13">
        <v>359.0</v>
      </c>
      <c r="P1602" s="5"/>
      <c r="Q1602" s="5"/>
      <c r="R1602" s="8" t="s">
        <v>4961</v>
      </c>
      <c r="S1602" s="5"/>
      <c r="T1602" s="1" t="str">
        <f>IFERROR(__xludf.DUMMYFUNCTION("INDEX(SPLIT(A1602, ""/""), 2)"),"کانون‌های فرهنگی هنری")</f>
        <v>کانون‌های فرهنگی هنری</v>
      </c>
      <c r="U1602" s="1" t="str">
        <f>IFERROR(__xludf.DUMMYFUNCTION("INDEX(SPLIT(A1602, ""/""), 3)"),"روزنامه شریف")</f>
        <v>روزنامه شریف</v>
      </c>
      <c r="V1602" s="1" t="str">
        <f>IFERROR(__xludf.DUMMYFUNCTION("INDEX(SPLIT(A1602, ""/""), 4)"),"#REF!")</f>
        <v>#REF!</v>
      </c>
    </row>
    <row r="1603">
      <c r="A1603" s="1" t="s">
        <v>4070</v>
      </c>
      <c r="B1603" s="1" t="s">
        <v>4962</v>
      </c>
      <c r="C1603" s="1" t="s">
        <v>21</v>
      </c>
      <c r="D1603" s="4" t="s">
        <v>4963</v>
      </c>
      <c r="E1603" s="1" t="s">
        <v>4072</v>
      </c>
      <c r="F1603" s="1" t="s">
        <v>4487</v>
      </c>
      <c r="G1603" s="1" t="s">
        <v>4666</v>
      </c>
      <c r="H1603" s="1" t="s">
        <v>4964</v>
      </c>
      <c r="I1603" s="1" t="str">
        <f t="shared" si="1"/>
        <v>17</v>
      </c>
      <c r="J1603" s="5"/>
      <c r="K1603" s="1" t="str">
        <f t="shared" si="2"/>
        <v>10</v>
      </c>
      <c r="L1603" s="5"/>
      <c r="M1603" s="2" t="str">
        <f t="shared" si="3"/>
        <v>1385</v>
      </c>
      <c r="N1603" s="5"/>
      <c r="O1603" s="13">
        <v>360.0</v>
      </c>
      <c r="P1603" s="5"/>
      <c r="Q1603" s="5"/>
      <c r="R1603" s="6" t="s">
        <v>4964</v>
      </c>
      <c r="S1603" s="5"/>
      <c r="T1603" s="1" t="str">
        <f>IFERROR(__xludf.DUMMYFUNCTION("INDEX(SPLIT(A1603, ""/""), 2)"),"کانون‌های فرهنگی هنری")</f>
        <v>کانون‌های فرهنگی هنری</v>
      </c>
      <c r="U1603" s="1" t="str">
        <f>IFERROR(__xludf.DUMMYFUNCTION("INDEX(SPLIT(A1603, ""/""), 3)"),"روزنامه شریف")</f>
        <v>روزنامه شریف</v>
      </c>
      <c r="V1603" s="1" t="str">
        <f>IFERROR(__xludf.DUMMYFUNCTION("INDEX(SPLIT(A1603, ""/""), 4)"),"#REF!")</f>
        <v>#REF!</v>
      </c>
    </row>
    <row r="1604">
      <c r="A1604" s="1" t="s">
        <v>4070</v>
      </c>
      <c r="B1604" s="1" t="s">
        <v>4965</v>
      </c>
      <c r="C1604" s="1" t="s">
        <v>21</v>
      </c>
      <c r="D1604" s="4" t="s">
        <v>4966</v>
      </c>
      <c r="E1604" s="1" t="s">
        <v>4072</v>
      </c>
      <c r="F1604" s="1" t="s">
        <v>4487</v>
      </c>
      <c r="G1604" s="1" t="s">
        <v>4666</v>
      </c>
      <c r="H1604" s="1" t="s">
        <v>4967</v>
      </c>
      <c r="I1604" s="1" t="str">
        <f t="shared" si="1"/>
        <v>24</v>
      </c>
      <c r="J1604" s="5"/>
      <c r="K1604" s="1" t="str">
        <f t="shared" si="2"/>
        <v>11</v>
      </c>
      <c r="L1604" s="5"/>
      <c r="M1604" s="2" t="str">
        <f t="shared" si="3"/>
        <v>1385</v>
      </c>
      <c r="N1604" s="5"/>
      <c r="O1604" s="13">
        <v>361.0</v>
      </c>
      <c r="P1604" s="5"/>
      <c r="Q1604" s="5"/>
      <c r="R1604" s="6" t="s">
        <v>4967</v>
      </c>
      <c r="S1604" s="5"/>
      <c r="T1604" s="1" t="str">
        <f>IFERROR(__xludf.DUMMYFUNCTION("INDEX(SPLIT(A1604, ""/""), 2)"),"کانون‌های فرهنگی هنری")</f>
        <v>کانون‌های فرهنگی هنری</v>
      </c>
      <c r="U1604" s="1" t="str">
        <f>IFERROR(__xludf.DUMMYFUNCTION("INDEX(SPLIT(A1604, ""/""), 3)"),"روزنامه شریف")</f>
        <v>روزنامه شریف</v>
      </c>
      <c r="V1604" s="1" t="str">
        <f>IFERROR(__xludf.DUMMYFUNCTION("INDEX(SPLIT(A1604, ""/""), 4)"),"#REF!")</f>
        <v>#REF!</v>
      </c>
    </row>
    <row r="1605">
      <c r="A1605" s="1" t="s">
        <v>4070</v>
      </c>
      <c r="B1605" s="1" t="s">
        <v>4968</v>
      </c>
      <c r="C1605" s="1" t="s">
        <v>21</v>
      </c>
      <c r="D1605" s="4" t="s">
        <v>4969</v>
      </c>
      <c r="E1605" s="1" t="s">
        <v>4072</v>
      </c>
      <c r="F1605" s="1" t="s">
        <v>4487</v>
      </c>
      <c r="G1605" s="1" t="s">
        <v>4666</v>
      </c>
      <c r="H1605" s="1" t="s">
        <v>4970</v>
      </c>
      <c r="I1605" s="1" t="str">
        <f t="shared" si="1"/>
        <v>28</v>
      </c>
      <c r="J1605" s="5"/>
      <c r="K1605" s="1" t="str">
        <f t="shared" si="2"/>
        <v>11</v>
      </c>
      <c r="L1605" s="5"/>
      <c r="M1605" s="2" t="str">
        <f t="shared" si="3"/>
        <v>1385</v>
      </c>
      <c r="N1605" s="5"/>
      <c r="O1605" s="13">
        <v>362.0</v>
      </c>
      <c r="P1605" s="5"/>
      <c r="Q1605" s="5"/>
      <c r="R1605" s="6" t="s">
        <v>4970</v>
      </c>
      <c r="S1605" s="5"/>
      <c r="T1605" s="1" t="str">
        <f>IFERROR(__xludf.DUMMYFUNCTION("INDEX(SPLIT(A1605, ""/""), 2)"),"کانون‌های فرهنگی هنری")</f>
        <v>کانون‌های فرهنگی هنری</v>
      </c>
      <c r="U1605" s="1" t="str">
        <f>IFERROR(__xludf.DUMMYFUNCTION("INDEX(SPLIT(A1605, ""/""), 3)"),"روزنامه شریف")</f>
        <v>روزنامه شریف</v>
      </c>
      <c r="V1605" s="1" t="str">
        <f>IFERROR(__xludf.DUMMYFUNCTION("INDEX(SPLIT(A1605, ""/""), 4)"),"#REF!")</f>
        <v>#REF!</v>
      </c>
    </row>
    <row r="1606">
      <c r="A1606" s="1" t="s">
        <v>4070</v>
      </c>
      <c r="B1606" s="1" t="s">
        <v>4971</v>
      </c>
      <c r="C1606" s="1" t="s">
        <v>21</v>
      </c>
      <c r="D1606" s="4" t="s">
        <v>4972</v>
      </c>
      <c r="E1606" s="1" t="s">
        <v>4072</v>
      </c>
      <c r="F1606" s="1" t="s">
        <v>4487</v>
      </c>
      <c r="G1606" s="1" t="s">
        <v>4666</v>
      </c>
      <c r="H1606" s="7" t="s">
        <v>4973</v>
      </c>
      <c r="I1606" s="1" t="str">
        <f t="shared" si="1"/>
        <v>1</v>
      </c>
      <c r="J1606" s="5"/>
      <c r="K1606" s="1" t="str">
        <f t="shared" si="2"/>
        <v>12</v>
      </c>
      <c r="L1606" s="5"/>
      <c r="M1606" s="2" t="str">
        <f t="shared" si="3"/>
        <v>1385</v>
      </c>
      <c r="N1606" s="5"/>
      <c r="O1606" s="13">
        <v>363.0</v>
      </c>
      <c r="P1606" s="5"/>
      <c r="Q1606" s="5"/>
      <c r="R1606" s="8" t="s">
        <v>4973</v>
      </c>
      <c r="S1606" s="5"/>
      <c r="T1606" s="1" t="str">
        <f>IFERROR(__xludf.DUMMYFUNCTION("INDEX(SPLIT(A1606, ""/""), 2)"),"کانون‌های فرهنگی هنری")</f>
        <v>کانون‌های فرهنگی هنری</v>
      </c>
      <c r="U1606" s="1" t="str">
        <f>IFERROR(__xludf.DUMMYFUNCTION("INDEX(SPLIT(A1606, ""/""), 3)"),"روزنامه شریف")</f>
        <v>روزنامه شریف</v>
      </c>
      <c r="V1606" s="1" t="str">
        <f>IFERROR(__xludf.DUMMYFUNCTION("INDEX(SPLIT(A1606, ""/""), 4)"),"#REF!")</f>
        <v>#REF!</v>
      </c>
    </row>
    <row r="1607">
      <c r="A1607" s="1" t="s">
        <v>4070</v>
      </c>
      <c r="B1607" s="1" t="s">
        <v>4974</v>
      </c>
      <c r="C1607" s="1" t="s">
        <v>21</v>
      </c>
      <c r="D1607" s="4" t="s">
        <v>4975</v>
      </c>
      <c r="E1607" s="1" t="s">
        <v>4072</v>
      </c>
      <c r="F1607" s="1" t="s">
        <v>4487</v>
      </c>
      <c r="G1607" s="1" t="s">
        <v>4666</v>
      </c>
      <c r="H1607" s="7" t="s">
        <v>4976</v>
      </c>
      <c r="I1607" s="1" t="str">
        <f t="shared" si="1"/>
        <v>5</v>
      </c>
      <c r="J1607" s="5"/>
      <c r="K1607" s="1" t="str">
        <f t="shared" si="2"/>
        <v>12</v>
      </c>
      <c r="L1607" s="5"/>
      <c r="M1607" s="2" t="str">
        <f t="shared" si="3"/>
        <v>1385</v>
      </c>
      <c r="N1607" s="5"/>
      <c r="O1607" s="13">
        <v>364.0</v>
      </c>
      <c r="P1607" s="5"/>
      <c r="Q1607" s="5"/>
      <c r="R1607" s="8" t="s">
        <v>4976</v>
      </c>
      <c r="S1607" s="5"/>
      <c r="T1607" s="1" t="str">
        <f>IFERROR(__xludf.DUMMYFUNCTION("INDEX(SPLIT(A1607, ""/""), 2)"),"کانون‌های فرهنگی هنری")</f>
        <v>کانون‌های فرهنگی هنری</v>
      </c>
      <c r="U1607" s="1" t="str">
        <f>IFERROR(__xludf.DUMMYFUNCTION("INDEX(SPLIT(A1607, ""/""), 3)"),"روزنامه شریف")</f>
        <v>روزنامه شریف</v>
      </c>
      <c r="V1607" s="1" t="str">
        <f>IFERROR(__xludf.DUMMYFUNCTION("INDEX(SPLIT(A1607, ""/""), 4)"),"#REF!")</f>
        <v>#REF!</v>
      </c>
    </row>
    <row r="1608">
      <c r="A1608" s="1" t="s">
        <v>4070</v>
      </c>
      <c r="B1608" s="1" t="s">
        <v>4977</v>
      </c>
      <c r="C1608" s="1" t="s">
        <v>21</v>
      </c>
      <c r="D1608" s="4" t="s">
        <v>4978</v>
      </c>
      <c r="E1608" s="1" t="s">
        <v>4072</v>
      </c>
      <c r="F1608" s="1" t="s">
        <v>4487</v>
      </c>
      <c r="G1608" s="1" t="s">
        <v>4666</v>
      </c>
      <c r="H1608" s="7" t="s">
        <v>4979</v>
      </c>
      <c r="I1608" s="1" t="str">
        <f t="shared" si="1"/>
        <v>8</v>
      </c>
      <c r="J1608" s="5"/>
      <c r="K1608" s="1" t="str">
        <f t="shared" si="2"/>
        <v>12</v>
      </c>
      <c r="L1608" s="5"/>
      <c r="M1608" s="2" t="str">
        <f t="shared" si="3"/>
        <v>1385</v>
      </c>
      <c r="N1608" s="5"/>
      <c r="O1608" s="13">
        <v>365.0</v>
      </c>
      <c r="P1608" s="5"/>
      <c r="Q1608" s="5"/>
      <c r="R1608" s="8" t="s">
        <v>4979</v>
      </c>
      <c r="S1608" s="5"/>
      <c r="T1608" s="1" t="str">
        <f>IFERROR(__xludf.DUMMYFUNCTION("INDEX(SPLIT(A1608, ""/""), 2)"),"کانون‌های فرهنگی هنری")</f>
        <v>کانون‌های فرهنگی هنری</v>
      </c>
      <c r="U1608" s="1" t="str">
        <f>IFERROR(__xludf.DUMMYFUNCTION("INDEX(SPLIT(A1608, ""/""), 3)"),"روزنامه شریف")</f>
        <v>روزنامه شریف</v>
      </c>
      <c r="V1608" s="1" t="str">
        <f>IFERROR(__xludf.DUMMYFUNCTION("INDEX(SPLIT(A1608, ""/""), 4)"),"#REF!")</f>
        <v>#REF!</v>
      </c>
    </row>
    <row r="1609">
      <c r="A1609" s="1" t="s">
        <v>4070</v>
      </c>
      <c r="B1609" s="1" t="s">
        <v>4980</v>
      </c>
      <c r="C1609" s="1" t="s">
        <v>21</v>
      </c>
      <c r="D1609" s="4" t="s">
        <v>4981</v>
      </c>
      <c r="E1609" s="1" t="s">
        <v>4072</v>
      </c>
      <c r="F1609" s="1" t="s">
        <v>4487</v>
      </c>
      <c r="G1609" s="1" t="s">
        <v>4666</v>
      </c>
      <c r="H1609" s="7" t="s">
        <v>4982</v>
      </c>
      <c r="I1609" s="1" t="str">
        <f t="shared" si="1"/>
        <v>12</v>
      </c>
      <c r="J1609" s="5"/>
      <c r="K1609" s="1" t="str">
        <f t="shared" si="2"/>
        <v>12</v>
      </c>
      <c r="L1609" s="5"/>
      <c r="M1609" s="2" t="str">
        <f t="shared" si="3"/>
        <v>1385</v>
      </c>
      <c r="N1609" s="5"/>
      <c r="O1609" s="13">
        <v>366.0</v>
      </c>
      <c r="P1609" s="5"/>
      <c r="Q1609" s="5"/>
      <c r="R1609" s="8" t="s">
        <v>4982</v>
      </c>
      <c r="S1609" s="5"/>
      <c r="T1609" s="1" t="str">
        <f>IFERROR(__xludf.DUMMYFUNCTION("INDEX(SPLIT(A1609, ""/""), 2)"),"کانون‌های فرهنگی هنری")</f>
        <v>کانون‌های فرهنگی هنری</v>
      </c>
      <c r="U1609" s="1" t="str">
        <f>IFERROR(__xludf.DUMMYFUNCTION("INDEX(SPLIT(A1609, ""/""), 3)"),"روزنامه شریف")</f>
        <v>روزنامه شریف</v>
      </c>
      <c r="V1609" s="1" t="str">
        <f>IFERROR(__xludf.DUMMYFUNCTION("INDEX(SPLIT(A1609, ""/""), 4)"),"#REF!")</f>
        <v>#REF!</v>
      </c>
    </row>
    <row r="1610">
      <c r="A1610" s="1" t="s">
        <v>4070</v>
      </c>
      <c r="B1610" s="1" t="s">
        <v>4983</v>
      </c>
      <c r="C1610" s="1" t="s">
        <v>21</v>
      </c>
      <c r="D1610" s="4" t="s">
        <v>4984</v>
      </c>
      <c r="E1610" s="1" t="s">
        <v>4072</v>
      </c>
      <c r="F1610" s="1" t="s">
        <v>4487</v>
      </c>
      <c r="G1610" s="1" t="s">
        <v>4666</v>
      </c>
      <c r="H1610" s="1" t="s">
        <v>1614</v>
      </c>
      <c r="I1610" s="1" t="str">
        <f t="shared" si="1"/>
        <v>15</v>
      </c>
      <c r="J1610" s="5"/>
      <c r="K1610" s="1" t="str">
        <f t="shared" si="2"/>
        <v>12</v>
      </c>
      <c r="L1610" s="5"/>
      <c r="M1610" s="2" t="str">
        <f t="shared" si="3"/>
        <v>1385</v>
      </c>
      <c r="N1610" s="5"/>
      <c r="O1610" s="13">
        <v>367.0</v>
      </c>
      <c r="P1610" s="5"/>
      <c r="Q1610" s="5"/>
      <c r="R1610" s="6" t="s">
        <v>1614</v>
      </c>
      <c r="S1610" s="5"/>
      <c r="T1610" s="1" t="str">
        <f>IFERROR(__xludf.DUMMYFUNCTION("INDEX(SPLIT(A1610, ""/""), 2)"),"کانون‌های فرهنگی هنری")</f>
        <v>کانون‌های فرهنگی هنری</v>
      </c>
      <c r="U1610" s="1" t="str">
        <f>IFERROR(__xludf.DUMMYFUNCTION("INDEX(SPLIT(A1610, ""/""), 3)"),"روزنامه شریف")</f>
        <v>روزنامه شریف</v>
      </c>
      <c r="V1610" s="1" t="str">
        <f>IFERROR(__xludf.DUMMYFUNCTION("INDEX(SPLIT(A1610, ""/""), 4)"),"#REF!")</f>
        <v>#REF!</v>
      </c>
    </row>
    <row r="1611">
      <c r="A1611" s="1" t="s">
        <v>4070</v>
      </c>
      <c r="B1611" s="1" t="s">
        <v>4985</v>
      </c>
      <c r="C1611" s="1" t="s">
        <v>21</v>
      </c>
      <c r="D1611" s="4" t="s">
        <v>4986</v>
      </c>
      <c r="E1611" s="1" t="s">
        <v>4072</v>
      </c>
      <c r="F1611" s="1" t="s">
        <v>4487</v>
      </c>
      <c r="G1611" s="1" t="s">
        <v>4666</v>
      </c>
      <c r="H1611" s="1" t="s">
        <v>4987</v>
      </c>
      <c r="I1611" s="1" t="str">
        <f t="shared" si="1"/>
        <v>22</v>
      </c>
      <c r="J1611" s="5"/>
      <c r="K1611" s="1" t="str">
        <f t="shared" si="2"/>
        <v>12</v>
      </c>
      <c r="L1611" s="5"/>
      <c r="M1611" s="2" t="str">
        <f t="shared" si="3"/>
        <v>1385</v>
      </c>
      <c r="N1611" s="5"/>
      <c r="O1611" s="13">
        <v>368.0</v>
      </c>
      <c r="P1611" s="5"/>
      <c r="Q1611" s="5"/>
      <c r="R1611" s="6" t="s">
        <v>4987</v>
      </c>
      <c r="S1611" s="5"/>
      <c r="T1611" s="1" t="str">
        <f>IFERROR(__xludf.DUMMYFUNCTION("INDEX(SPLIT(A1611, ""/""), 2)"),"کانون‌های فرهنگی هنری")</f>
        <v>کانون‌های فرهنگی هنری</v>
      </c>
      <c r="U1611" s="1" t="str">
        <f>IFERROR(__xludf.DUMMYFUNCTION("INDEX(SPLIT(A1611, ""/""), 3)"),"روزنامه شریف")</f>
        <v>روزنامه شریف</v>
      </c>
      <c r="V1611" s="1" t="str">
        <f>IFERROR(__xludf.DUMMYFUNCTION("INDEX(SPLIT(A1611, ""/""), 4)"),"#REF!")</f>
        <v>#REF!</v>
      </c>
    </row>
    <row r="1612">
      <c r="A1612" s="1" t="s">
        <v>4070</v>
      </c>
      <c r="B1612" s="1" t="s">
        <v>4988</v>
      </c>
      <c r="C1612" s="1" t="s">
        <v>21</v>
      </c>
      <c r="D1612" s="4" t="s">
        <v>4989</v>
      </c>
      <c r="E1612" s="1" t="s">
        <v>4072</v>
      </c>
      <c r="F1612" s="1" t="s">
        <v>4487</v>
      </c>
      <c r="G1612" s="1" t="s">
        <v>4666</v>
      </c>
      <c r="H1612" s="1" t="s">
        <v>4990</v>
      </c>
      <c r="I1612" s="1" t="str">
        <f t="shared" si="1"/>
        <v>21</v>
      </c>
      <c r="J1612" s="5"/>
      <c r="K1612" s="1" t="str">
        <f t="shared" si="2"/>
        <v>1</v>
      </c>
      <c r="L1612" s="5"/>
      <c r="M1612" s="2" t="str">
        <f t="shared" si="3"/>
        <v>1386</v>
      </c>
      <c r="N1612" s="5"/>
      <c r="O1612" s="13">
        <v>369.0</v>
      </c>
      <c r="P1612" s="5"/>
      <c r="Q1612" s="5"/>
      <c r="R1612" s="6" t="s">
        <v>4990</v>
      </c>
      <c r="S1612" s="5"/>
      <c r="T1612" s="1" t="str">
        <f>IFERROR(__xludf.DUMMYFUNCTION("INDEX(SPLIT(A1612, ""/""), 2)"),"کانون‌های فرهنگی هنری")</f>
        <v>کانون‌های فرهنگی هنری</v>
      </c>
      <c r="U1612" s="1" t="str">
        <f>IFERROR(__xludf.DUMMYFUNCTION("INDEX(SPLIT(A1612, ""/""), 3)"),"روزنامه شریف")</f>
        <v>روزنامه شریف</v>
      </c>
      <c r="V1612" s="1" t="str">
        <f>IFERROR(__xludf.DUMMYFUNCTION("INDEX(SPLIT(A1612, ""/""), 4)"),"#REF!")</f>
        <v>#REF!</v>
      </c>
    </row>
    <row r="1613">
      <c r="A1613" s="1" t="s">
        <v>4070</v>
      </c>
      <c r="B1613" s="1" t="s">
        <v>4991</v>
      </c>
      <c r="C1613" s="1" t="s">
        <v>21</v>
      </c>
      <c r="D1613" s="4" t="s">
        <v>4992</v>
      </c>
      <c r="E1613" s="1" t="s">
        <v>4072</v>
      </c>
      <c r="F1613" s="1" t="s">
        <v>4487</v>
      </c>
      <c r="G1613" s="1" t="s">
        <v>4666</v>
      </c>
      <c r="H1613" s="1" t="s">
        <v>4993</v>
      </c>
      <c r="I1613" s="1" t="str">
        <f t="shared" si="1"/>
        <v>25</v>
      </c>
      <c r="J1613" s="5"/>
      <c r="K1613" s="1" t="str">
        <f t="shared" si="2"/>
        <v>1</v>
      </c>
      <c r="L1613" s="5"/>
      <c r="M1613" s="2" t="str">
        <f t="shared" si="3"/>
        <v>1386</v>
      </c>
      <c r="N1613" s="5"/>
      <c r="O1613" s="13">
        <v>370.0</v>
      </c>
      <c r="P1613" s="5"/>
      <c r="Q1613" s="5"/>
      <c r="R1613" s="6" t="s">
        <v>4993</v>
      </c>
      <c r="S1613" s="5"/>
      <c r="T1613" s="1" t="str">
        <f>IFERROR(__xludf.DUMMYFUNCTION("INDEX(SPLIT(A1613, ""/""), 2)"),"کانون‌های فرهنگی هنری")</f>
        <v>کانون‌های فرهنگی هنری</v>
      </c>
      <c r="U1613" s="1" t="str">
        <f>IFERROR(__xludf.DUMMYFUNCTION("INDEX(SPLIT(A1613, ""/""), 3)"),"روزنامه شریف")</f>
        <v>روزنامه شریف</v>
      </c>
      <c r="V1613" s="1" t="str">
        <f>IFERROR(__xludf.DUMMYFUNCTION("INDEX(SPLIT(A1613, ""/""), 4)"),"#REF!")</f>
        <v>#REF!</v>
      </c>
    </row>
    <row r="1614">
      <c r="A1614" s="1" t="s">
        <v>4070</v>
      </c>
      <c r="B1614" s="1" t="s">
        <v>4994</v>
      </c>
      <c r="C1614" s="1" t="s">
        <v>21</v>
      </c>
      <c r="D1614" s="4" t="s">
        <v>4995</v>
      </c>
      <c r="E1614" s="1" t="s">
        <v>4072</v>
      </c>
      <c r="F1614" s="1" t="s">
        <v>4487</v>
      </c>
      <c r="G1614" s="1" t="s">
        <v>4666</v>
      </c>
      <c r="H1614" s="1" t="s">
        <v>4996</v>
      </c>
      <c r="I1614" s="1" t="str">
        <f t="shared" si="1"/>
        <v>28</v>
      </c>
      <c r="J1614" s="5"/>
      <c r="K1614" s="1" t="str">
        <f t="shared" si="2"/>
        <v>1</v>
      </c>
      <c r="L1614" s="5"/>
      <c r="M1614" s="2" t="str">
        <f t="shared" si="3"/>
        <v>1386</v>
      </c>
      <c r="N1614" s="1"/>
      <c r="O1614" s="13">
        <v>371.0</v>
      </c>
      <c r="P1614" s="5"/>
      <c r="Q1614" s="5"/>
      <c r="R1614" s="6" t="s">
        <v>4996</v>
      </c>
      <c r="S1614" s="5"/>
      <c r="T1614" s="1" t="str">
        <f>IFERROR(__xludf.DUMMYFUNCTION("INDEX(SPLIT(A1614, ""/""), 2)"),"کانون‌های فرهنگی هنری")</f>
        <v>کانون‌های فرهنگی هنری</v>
      </c>
      <c r="U1614" s="1" t="str">
        <f>IFERROR(__xludf.DUMMYFUNCTION("INDEX(SPLIT(A1614, ""/""), 3)"),"روزنامه شریف")</f>
        <v>روزنامه شریف</v>
      </c>
      <c r="V1614" s="1" t="str">
        <f>IFERROR(__xludf.DUMMYFUNCTION("INDEX(SPLIT(A1614, ""/""), 4)"),"#REF!")</f>
        <v>#REF!</v>
      </c>
    </row>
    <row r="1615">
      <c r="A1615" s="1" t="s">
        <v>4070</v>
      </c>
      <c r="B1615" s="1" t="s">
        <v>4997</v>
      </c>
      <c r="C1615" s="1" t="s">
        <v>21</v>
      </c>
      <c r="D1615" s="4" t="s">
        <v>4998</v>
      </c>
      <c r="E1615" s="1" t="s">
        <v>4072</v>
      </c>
      <c r="F1615" s="1" t="s">
        <v>4487</v>
      </c>
      <c r="G1615" s="1" t="s">
        <v>4666</v>
      </c>
      <c r="H1615" s="7" t="s">
        <v>4999</v>
      </c>
      <c r="I1615" s="1" t="str">
        <f t="shared" si="1"/>
        <v>1</v>
      </c>
      <c r="J1615" s="5"/>
      <c r="K1615" s="1" t="str">
        <f t="shared" si="2"/>
        <v>2</v>
      </c>
      <c r="L1615" s="5"/>
      <c r="M1615" s="2" t="str">
        <f t="shared" si="3"/>
        <v>1386</v>
      </c>
      <c r="N1615" s="1"/>
      <c r="O1615" s="13">
        <v>372.0</v>
      </c>
      <c r="P1615" s="5"/>
      <c r="Q1615" s="5"/>
      <c r="R1615" s="8" t="s">
        <v>4999</v>
      </c>
      <c r="S1615" s="5"/>
      <c r="T1615" s="1" t="str">
        <f>IFERROR(__xludf.DUMMYFUNCTION("INDEX(SPLIT(A1615, ""/""), 2)"),"کانون‌های فرهنگی هنری")</f>
        <v>کانون‌های فرهنگی هنری</v>
      </c>
      <c r="U1615" s="1" t="str">
        <f>IFERROR(__xludf.DUMMYFUNCTION("INDEX(SPLIT(A1615, ""/""), 3)"),"روزنامه شریف")</f>
        <v>روزنامه شریف</v>
      </c>
      <c r="V1615" s="1" t="str">
        <f>IFERROR(__xludf.DUMMYFUNCTION("INDEX(SPLIT(A1615, ""/""), 4)"),"#REF!")</f>
        <v>#REF!</v>
      </c>
    </row>
    <row r="1616">
      <c r="A1616" s="1" t="s">
        <v>4070</v>
      </c>
      <c r="B1616" s="1" t="s">
        <v>5000</v>
      </c>
      <c r="C1616" s="1" t="s">
        <v>21</v>
      </c>
      <c r="D1616" s="4" t="s">
        <v>5001</v>
      </c>
      <c r="E1616" s="1" t="s">
        <v>4072</v>
      </c>
      <c r="F1616" s="1" t="s">
        <v>4487</v>
      </c>
      <c r="G1616" s="1" t="s">
        <v>4666</v>
      </c>
      <c r="H1616" s="7" t="s">
        <v>5002</v>
      </c>
      <c r="I1616" s="1" t="str">
        <f t="shared" si="1"/>
        <v>4</v>
      </c>
      <c r="J1616" s="5"/>
      <c r="K1616" s="1" t="str">
        <f t="shared" si="2"/>
        <v>2</v>
      </c>
      <c r="L1616" s="5"/>
      <c r="M1616" s="2" t="str">
        <f t="shared" si="3"/>
        <v>1386</v>
      </c>
      <c r="N1616" s="1"/>
      <c r="O1616" s="13">
        <v>373.0</v>
      </c>
      <c r="P1616" s="5"/>
      <c r="Q1616" s="5"/>
      <c r="R1616" s="8" t="s">
        <v>5002</v>
      </c>
      <c r="S1616" s="5"/>
      <c r="T1616" s="1" t="str">
        <f>IFERROR(__xludf.DUMMYFUNCTION("INDEX(SPLIT(A1616, ""/""), 2)"),"کانون‌های فرهنگی هنری")</f>
        <v>کانون‌های فرهنگی هنری</v>
      </c>
      <c r="U1616" s="1" t="str">
        <f>IFERROR(__xludf.DUMMYFUNCTION("INDEX(SPLIT(A1616, ""/""), 3)"),"روزنامه شریف")</f>
        <v>روزنامه شریف</v>
      </c>
      <c r="V1616" s="1" t="str">
        <f>IFERROR(__xludf.DUMMYFUNCTION("INDEX(SPLIT(A1616, ""/""), 4)"),"#REF!")</f>
        <v>#REF!</v>
      </c>
    </row>
    <row r="1617">
      <c r="A1617" s="1" t="s">
        <v>4070</v>
      </c>
      <c r="B1617" s="1" t="s">
        <v>5003</v>
      </c>
      <c r="C1617" s="1" t="s">
        <v>21</v>
      </c>
      <c r="D1617" s="4" t="s">
        <v>5004</v>
      </c>
      <c r="E1617" s="1" t="s">
        <v>4072</v>
      </c>
      <c r="F1617" s="1" t="s">
        <v>4487</v>
      </c>
      <c r="G1617" s="1" t="s">
        <v>4666</v>
      </c>
      <c r="H1617" s="7" t="s">
        <v>5005</v>
      </c>
      <c r="I1617" s="1" t="str">
        <f t="shared" si="1"/>
        <v>8</v>
      </c>
      <c r="J1617" s="5"/>
      <c r="K1617" s="1" t="str">
        <f t="shared" si="2"/>
        <v>2</v>
      </c>
      <c r="L1617" s="5"/>
      <c r="M1617" s="2" t="str">
        <f t="shared" si="3"/>
        <v>1386</v>
      </c>
      <c r="N1617" s="1"/>
      <c r="O1617" s="13">
        <v>374.0</v>
      </c>
      <c r="P1617" s="5"/>
      <c r="Q1617" s="5"/>
      <c r="R1617" s="8" t="s">
        <v>5005</v>
      </c>
      <c r="S1617" s="5"/>
      <c r="T1617" s="1" t="str">
        <f>IFERROR(__xludf.DUMMYFUNCTION("INDEX(SPLIT(A1617, ""/""), 2)"),"کانون‌های فرهنگی هنری")</f>
        <v>کانون‌های فرهنگی هنری</v>
      </c>
      <c r="U1617" s="1" t="str">
        <f>IFERROR(__xludf.DUMMYFUNCTION("INDEX(SPLIT(A1617, ""/""), 3)"),"روزنامه شریف")</f>
        <v>روزنامه شریف</v>
      </c>
      <c r="V1617" s="1" t="str">
        <f>IFERROR(__xludf.DUMMYFUNCTION("INDEX(SPLIT(A1617, ""/""), 4)"),"#REF!")</f>
        <v>#REF!</v>
      </c>
    </row>
    <row r="1618">
      <c r="A1618" s="1" t="s">
        <v>4070</v>
      </c>
      <c r="B1618" s="1" t="s">
        <v>5006</v>
      </c>
      <c r="C1618" s="1" t="s">
        <v>21</v>
      </c>
      <c r="D1618" s="4" t="s">
        <v>5007</v>
      </c>
      <c r="E1618" s="1" t="s">
        <v>4072</v>
      </c>
      <c r="F1618" s="1" t="s">
        <v>4487</v>
      </c>
      <c r="G1618" s="1" t="s">
        <v>4666</v>
      </c>
      <c r="H1618" s="7" t="s">
        <v>5008</v>
      </c>
      <c r="I1618" s="1" t="str">
        <f t="shared" si="1"/>
        <v>11</v>
      </c>
      <c r="J1618" s="5"/>
      <c r="K1618" s="1" t="str">
        <f t="shared" si="2"/>
        <v>2</v>
      </c>
      <c r="L1618" s="5"/>
      <c r="M1618" s="2" t="str">
        <f t="shared" si="3"/>
        <v>1386</v>
      </c>
      <c r="N1618" s="1"/>
      <c r="O1618" s="13">
        <v>375.0</v>
      </c>
      <c r="P1618" s="5"/>
      <c r="Q1618" s="5"/>
      <c r="R1618" s="8" t="s">
        <v>5008</v>
      </c>
      <c r="S1618" s="5"/>
      <c r="T1618" s="1" t="str">
        <f>IFERROR(__xludf.DUMMYFUNCTION("INDEX(SPLIT(A1618, ""/""), 2)"),"کانون‌های فرهنگی هنری")</f>
        <v>کانون‌های فرهنگی هنری</v>
      </c>
      <c r="U1618" s="1" t="str">
        <f>IFERROR(__xludf.DUMMYFUNCTION("INDEX(SPLIT(A1618, ""/""), 3)"),"روزنامه شریف")</f>
        <v>روزنامه شریف</v>
      </c>
      <c r="V1618" s="1" t="str">
        <f>IFERROR(__xludf.DUMMYFUNCTION("INDEX(SPLIT(A1618, ""/""), 4)"),"#REF!")</f>
        <v>#REF!</v>
      </c>
    </row>
    <row r="1619">
      <c r="A1619" s="1" t="s">
        <v>4070</v>
      </c>
      <c r="B1619" s="1" t="s">
        <v>5009</v>
      </c>
      <c r="C1619" s="1" t="s">
        <v>21</v>
      </c>
      <c r="D1619" s="4" t="s">
        <v>5010</v>
      </c>
      <c r="E1619" s="1" t="s">
        <v>4072</v>
      </c>
      <c r="F1619" s="1" t="s">
        <v>4487</v>
      </c>
      <c r="G1619" s="1" t="s">
        <v>4666</v>
      </c>
      <c r="H1619" s="1" t="s">
        <v>981</v>
      </c>
      <c r="I1619" s="1" t="str">
        <f t="shared" si="1"/>
        <v>15</v>
      </c>
      <c r="J1619" s="5"/>
      <c r="K1619" s="1" t="str">
        <f t="shared" si="2"/>
        <v>2</v>
      </c>
      <c r="L1619" s="5"/>
      <c r="M1619" s="2" t="str">
        <f t="shared" si="3"/>
        <v>1386</v>
      </c>
      <c r="N1619" s="1"/>
      <c r="O1619" s="13">
        <v>376.0</v>
      </c>
      <c r="P1619" s="5"/>
      <c r="Q1619" s="5"/>
      <c r="R1619" s="6" t="s">
        <v>981</v>
      </c>
      <c r="S1619" s="5"/>
      <c r="T1619" s="1" t="str">
        <f>IFERROR(__xludf.DUMMYFUNCTION("INDEX(SPLIT(A1619, ""/""), 2)"),"کانون‌های فرهنگی هنری")</f>
        <v>کانون‌های فرهنگی هنری</v>
      </c>
      <c r="U1619" s="1" t="str">
        <f>IFERROR(__xludf.DUMMYFUNCTION("INDEX(SPLIT(A1619, ""/""), 3)"),"روزنامه شریف")</f>
        <v>روزنامه شریف</v>
      </c>
      <c r="V1619" s="1" t="str">
        <f>IFERROR(__xludf.DUMMYFUNCTION("INDEX(SPLIT(A1619, ""/""), 4)"),"#REF!")</f>
        <v>#REF!</v>
      </c>
    </row>
    <row r="1620">
      <c r="A1620" s="1" t="s">
        <v>4070</v>
      </c>
      <c r="B1620" s="1" t="s">
        <v>5011</v>
      </c>
      <c r="C1620" s="1" t="s">
        <v>21</v>
      </c>
      <c r="D1620" s="4" t="s">
        <v>5012</v>
      </c>
      <c r="E1620" s="1" t="s">
        <v>4072</v>
      </c>
      <c r="F1620" s="1" t="s">
        <v>4487</v>
      </c>
      <c r="G1620" s="1" t="s">
        <v>4666</v>
      </c>
      <c r="H1620" s="1" t="s">
        <v>5013</v>
      </c>
      <c r="I1620" s="1" t="str">
        <f t="shared" si="1"/>
        <v>18</v>
      </c>
      <c r="J1620" s="5"/>
      <c r="K1620" s="1" t="str">
        <f t="shared" si="2"/>
        <v>2</v>
      </c>
      <c r="L1620" s="5"/>
      <c r="M1620" s="2" t="str">
        <f t="shared" si="3"/>
        <v>1386</v>
      </c>
      <c r="N1620" s="1"/>
      <c r="O1620" s="13">
        <v>377.0</v>
      </c>
      <c r="P1620" s="5"/>
      <c r="Q1620" s="5"/>
      <c r="R1620" s="6" t="s">
        <v>5013</v>
      </c>
      <c r="S1620" s="5"/>
      <c r="T1620" s="1" t="str">
        <f>IFERROR(__xludf.DUMMYFUNCTION("INDEX(SPLIT(A1620, ""/""), 2)"),"کانون‌های فرهنگی هنری")</f>
        <v>کانون‌های فرهنگی هنری</v>
      </c>
      <c r="U1620" s="1" t="str">
        <f>IFERROR(__xludf.DUMMYFUNCTION("INDEX(SPLIT(A1620, ""/""), 3)"),"روزنامه شریف")</f>
        <v>روزنامه شریف</v>
      </c>
      <c r="V1620" s="1" t="str">
        <f>IFERROR(__xludf.DUMMYFUNCTION("INDEX(SPLIT(A1620, ""/""), 4)"),"#REF!")</f>
        <v>#REF!</v>
      </c>
    </row>
    <row r="1621">
      <c r="A1621" s="1" t="s">
        <v>4070</v>
      </c>
      <c r="B1621" s="1" t="s">
        <v>5014</v>
      </c>
      <c r="C1621" s="1" t="s">
        <v>21</v>
      </c>
      <c r="D1621" s="4" t="s">
        <v>5015</v>
      </c>
      <c r="E1621" s="1" t="s">
        <v>4072</v>
      </c>
      <c r="F1621" s="1" t="s">
        <v>4487</v>
      </c>
      <c r="G1621" s="1" t="s">
        <v>4666</v>
      </c>
      <c r="H1621" s="1" t="s">
        <v>5016</v>
      </c>
      <c r="I1621" s="1" t="str">
        <f t="shared" si="1"/>
        <v>22</v>
      </c>
      <c r="J1621" s="5"/>
      <c r="K1621" s="1" t="str">
        <f t="shared" si="2"/>
        <v>2</v>
      </c>
      <c r="L1621" s="5"/>
      <c r="M1621" s="2" t="str">
        <f t="shared" si="3"/>
        <v>1386</v>
      </c>
      <c r="N1621" s="1"/>
      <c r="O1621" s="13">
        <v>378.0</v>
      </c>
      <c r="P1621" s="5"/>
      <c r="Q1621" s="5"/>
      <c r="R1621" s="6" t="s">
        <v>5016</v>
      </c>
      <c r="S1621" s="5"/>
      <c r="T1621" s="1" t="str">
        <f>IFERROR(__xludf.DUMMYFUNCTION("INDEX(SPLIT(A1621, ""/""), 2)"),"کانون‌های فرهنگی هنری")</f>
        <v>کانون‌های فرهنگی هنری</v>
      </c>
      <c r="U1621" s="1" t="str">
        <f>IFERROR(__xludf.DUMMYFUNCTION("INDEX(SPLIT(A1621, ""/""), 3)"),"روزنامه شریف")</f>
        <v>روزنامه شریف</v>
      </c>
      <c r="V1621" s="1" t="str">
        <f>IFERROR(__xludf.DUMMYFUNCTION("INDEX(SPLIT(A1621, ""/""), 4)"),"#REF!")</f>
        <v>#REF!</v>
      </c>
    </row>
    <row r="1622">
      <c r="A1622" s="1" t="s">
        <v>4070</v>
      </c>
      <c r="B1622" s="1" t="s">
        <v>5017</v>
      </c>
      <c r="C1622" s="1" t="s">
        <v>21</v>
      </c>
      <c r="D1622" s="4" t="s">
        <v>5018</v>
      </c>
      <c r="E1622" s="1" t="s">
        <v>4072</v>
      </c>
      <c r="F1622" s="1" t="s">
        <v>4487</v>
      </c>
      <c r="G1622" s="1" t="s">
        <v>4666</v>
      </c>
      <c r="H1622" s="1" t="s">
        <v>5019</v>
      </c>
      <c r="I1622" s="1" t="str">
        <f t="shared" si="1"/>
        <v>25</v>
      </c>
      <c r="J1622" s="5"/>
      <c r="K1622" s="1" t="str">
        <f t="shared" si="2"/>
        <v>2</v>
      </c>
      <c r="L1622" s="5"/>
      <c r="M1622" s="2" t="str">
        <f t="shared" si="3"/>
        <v>1386</v>
      </c>
      <c r="N1622" s="1"/>
      <c r="O1622" s="13">
        <v>379.0</v>
      </c>
      <c r="P1622" s="5"/>
      <c r="Q1622" s="5"/>
      <c r="R1622" s="6" t="s">
        <v>5019</v>
      </c>
      <c r="S1622" s="5"/>
      <c r="T1622" s="1" t="str">
        <f>IFERROR(__xludf.DUMMYFUNCTION("INDEX(SPLIT(A1622, ""/""), 2)"),"کانون‌های فرهنگی هنری")</f>
        <v>کانون‌های فرهنگی هنری</v>
      </c>
      <c r="U1622" s="1" t="str">
        <f>IFERROR(__xludf.DUMMYFUNCTION("INDEX(SPLIT(A1622, ""/""), 3)"),"روزنامه شریف")</f>
        <v>روزنامه شریف</v>
      </c>
      <c r="V1622" s="1" t="str">
        <f>IFERROR(__xludf.DUMMYFUNCTION("INDEX(SPLIT(A1622, ""/""), 4)"),"#REF!")</f>
        <v>#REF!</v>
      </c>
    </row>
    <row r="1623">
      <c r="A1623" s="1" t="s">
        <v>4070</v>
      </c>
      <c r="B1623" s="1" t="s">
        <v>5020</v>
      </c>
      <c r="C1623" s="1" t="s">
        <v>21</v>
      </c>
      <c r="D1623" s="4" t="s">
        <v>5021</v>
      </c>
      <c r="E1623" s="1" t="s">
        <v>4072</v>
      </c>
      <c r="F1623" s="1" t="s">
        <v>4487</v>
      </c>
      <c r="G1623" s="1" t="s">
        <v>4666</v>
      </c>
      <c r="H1623" s="1" t="s">
        <v>989</v>
      </c>
      <c r="I1623" s="1" t="str">
        <f t="shared" si="1"/>
        <v>29</v>
      </c>
      <c r="J1623" s="5"/>
      <c r="K1623" s="1" t="str">
        <f t="shared" si="2"/>
        <v>2</v>
      </c>
      <c r="L1623" s="5"/>
      <c r="M1623" s="2" t="str">
        <f t="shared" si="3"/>
        <v>1386</v>
      </c>
      <c r="N1623" s="1"/>
      <c r="O1623" s="13">
        <v>380.0</v>
      </c>
      <c r="P1623" s="5"/>
      <c r="Q1623" s="5"/>
      <c r="R1623" s="6" t="s">
        <v>989</v>
      </c>
      <c r="S1623" s="5"/>
      <c r="T1623" s="1" t="str">
        <f>IFERROR(__xludf.DUMMYFUNCTION("INDEX(SPLIT(A1623, ""/""), 2)"),"کانون‌های فرهنگی هنری")</f>
        <v>کانون‌های فرهنگی هنری</v>
      </c>
      <c r="U1623" s="1" t="str">
        <f>IFERROR(__xludf.DUMMYFUNCTION("INDEX(SPLIT(A1623, ""/""), 3)"),"روزنامه شریف")</f>
        <v>روزنامه شریف</v>
      </c>
      <c r="V1623" s="1" t="str">
        <f>IFERROR(__xludf.DUMMYFUNCTION("INDEX(SPLIT(A1623, ""/""), 4)"),"#REF!")</f>
        <v>#REF!</v>
      </c>
    </row>
    <row r="1624">
      <c r="A1624" s="1" t="s">
        <v>4070</v>
      </c>
      <c r="B1624" s="1" t="s">
        <v>5022</v>
      </c>
      <c r="C1624" s="1" t="s">
        <v>21</v>
      </c>
      <c r="D1624" s="4" t="s">
        <v>5023</v>
      </c>
      <c r="E1624" s="1" t="s">
        <v>4072</v>
      </c>
      <c r="F1624" s="1" t="s">
        <v>4487</v>
      </c>
      <c r="G1624" s="1" t="s">
        <v>4666</v>
      </c>
      <c r="H1624" s="7" t="s">
        <v>5024</v>
      </c>
      <c r="I1624" s="1" t="str">
        <f t="shared" si="1"/>
        <v>1</v>
      </c>
      <c r="J1624" s="5"/>
      <c r="K1624" s="1" t="str">
        <f t="shared" si="2"/>
        <v>3</v>
      </c>
      <c r="L1624" s="5"/>
      <c r="M1624" s="2" t="str">
        <f t="shared" si="3"/>
        <v>1386</v>
      </c>
      <c r="N1624" s="1"/>
      <c r="O1624" s="13">
        <v>381.0</v>
      </c>
      <c r="P1624" s="5"/>
      <c r="Q1624" s="5"/>
      <c r="R1624" s="8" t="s">
        <v>5024</v>
      </c>
      <c r="S1624" s="5"/>
      <c r="T1624" s="1" t="str">
        <f>IFERROR(__xludf.DUMMYFUNCTION("INDEX(SPLIT(A1624, ""/""), 2)"),"کانون‌های فرهنگی هنری")</f>
        <v>کانون‌های فرهنگی هنری</v>
      </c>
      <c r="U1624" s="1" t="str">
        <f>IFERROR(__xludf.DUMMYFUNCTION("INDEX(SPLIT(A1624, ""/""), 3)"),"روزنامه شریف")</f>
        <v>روزنامه شریف</v>
      </c>
      <c r="V1624" s="1" t="str">
        <f>IFERROR(__xludf.DUMMYFUNCTION("INDEX(SPLIT(A1624, ""/""), 4)"),"#REF!")</f>
        <v>#REF!</v>
      </c>
    </row>
    <row r="1625">
      <c r="A1625" s="1" t="s">
        <v>4070</v>
      </c>
      <c r="B1625" s="1" t="s">
        <v>5025</v>
      </c>
      <c r="C1625" s="1" t="s">
        <v>21</v>
      </c>
      <c r="D1625" s="4" t="s">
        <v>5026</v>
      </c>
      <c r="E1625" s="1" t="s">
        <v>4072</v>
      </c>
      <c r="F1625" s="1" t="s">
        <v>4487</v>
      </c>
      <c r="G1625" s="1" t="s">
        <v>4666</v>
      </c>
      <c r="H1625" s="7" t="s">
        <v>5027</v>
      </c>
      <c r="I1625" s="1" t="str">
        <f t="shared" si="1"/>
        <v>5</v>
      </c>
      <c r="J1625" s="5"/>
      <c r="K1625" s="1" t="str">
        <f t="shared" si="2"/>
        <v>3</v>
      </c>
      <c r="L1625" s="5"/>
      <c r="M1625" s="2" t="str">
        <f t="shared" si="3"/>
        <v>1386</v>
      </c>
      <c r="N1625" s="1"/>
      <c r="O1625" s="13">
        <v>382.0</v>
      </c>
      <c r="P1625" s="5"/>
      <c r="Q1625" s="5"/>
      <c r="R1625" s="8" t="s">
        <v>5027</v>
      </c>
      <c r="S1625" s="5"/>
      <c r="T1625" s="1" t="str">
        <f>IFERROR(__xludf.DUMMYFUNCTION("INDEX(SPLIT(A1625, ""/""), 2)"),"کانون‌های فرهنگی هنری")</f>
        <v>کانون‌های فرهنگی هنری</v>
      </c>
      <c r="U1625" s="1" t="str">
        <f>IFERROR(__xludf.DUMMYFUNCTION("INDEX(SPLIT(A1625, ""/""), 3)"),"روزنامه شریف")</f>
        <v>روزنامه شریف</v>
      </c>
      <c r="V1625" s="1" t="str">
        <f>IFERROR(__xludf.DUMMYFUNCTION("INDEX(SPLIT(A1625, ""/""), 4)"),"#REF!")</f>
        <v>#REF!</v>
      </c>
    </row>
    <row r="1626">
      <c r="A1626" s="1" t="s">
        <v>4070</v>
      </c>
      <c r="B1626" s="1" t="s">
        <v>5028</v>
      </c>
      <c r="C1626" s="1" t="s">
        <v>21</v>
      </c>
      <c r="D1626" s="4" t="s">
        <v>5029</v>
      </c>
      <c r="E1626" s="1" t="s">
        <v>4072</v>
      </c>
      <c r="F1626" s="1" t="s">
        <v>4487</v>
      </c>
      <c r="G1626" s="1" t="s">
        <v>4666</v>
      </c>
      <c r="H1626" s="7" t="s">
        <v>5030</v>
      </c>
      <c r="I1626" s="1" t="str">
        <f t="shared" si="1"/>
        <v>8</v>
      </c>
      <c r="J1626" s="5"/>
      <c r="K1626" s="1" t="str">
        <f t="shared" si="2"/>
        <v>3</v>
      </c>
      <c r="L1626" s="5"/>
      <c r="M1626" s="2" t="str">
        <f t="shared" si="3"/>
        <v>1386</v>
      </c>
      <c r="N1626" s="1"/>
      <c r="O1626" s="13">
        <v>383.0</v>
      </c>
      <c r="P1626" s="5"/>
      <c r="Q1626" s="5"/>
      <c r="R1626" s="8" t="s">
        <v>5030</v>
      </c>
      <c r="S1626" s="5"/>
      <c r="T1626" s="1" t="str">
        <f>IFERROR(__xludf.DUMMYFUNCTION("INDEX(SPLIT(A1626, ""/""), 2)"),"کانون‌های فرهنگی هنری")</f>
        <v>کانون‌های فرهنگی هنری</v>
      </c>
      <c r="U1626" s="1" t="str">
        <f>IFERROR(__xludf.DUMMYFUNCTION("INDEX(SPLIT(A1626, ""/""), 3)"),"روزنامه شریف")</f>
        <v>روزنامه شریف</v>
      </c>
      <c r="V1626" s="1" t="str">
        <f>IFERROR(__xludf.DUMMYFUNCTION("INDEX(SPLIT(A1626, ""/""), 4)"),"#REF!")</f>
        <v>#REF!</v>
      </c>
    </row>
    <row r="1627">
      <c r="A1627" s="1" t="s">
        <v>4070</v>
      </c>
      <c r="B1627" s="1" t="s">
        <v>5031</v>
      </c>
      <c r="C1627" s="1" t="s">
        <v>21</v>
      </c>
      <c r="D1627" s="4" t="s">
        <v>5032</v>
      </c>
      <c r="E1627" s="1" t="s">
        <v>4072</v>
      </c>
      <c r="F1627" s="1" t="s">
        <v>4487</v>
      </c>
      <c r="G1627" s="1" t="s">
        <v>4666</v>
      </c>
      <c r="H1627" s="7" t="s">
        <v>5033</v>
      </c>
      <c r="I1627" s="1" t="str">
        <f t="shared" si="1"/>
        <v>12</v>
      </c>
      <c r="J1627" s="5"/>
      <c r="K1627" s="1" t="str">
        <f t="shared" si="2"/>
        <v>3</v>
      </c>
      <c r="L1627" s="5"/>
      <c r="M1627" s="2" t="str">
        <f t="shared" si="3"/>
        <v>1386</v>
      </c>
      <c r="N1627" s="1"/>
      <c r="O1627" s="13">
        <v>384.0</v>
      </c>
      <c r="P1627" s="5"/>
      <c r="Q1627" s="5"/>
      <c r="R1627" s="8" t="s">
        <v>5033</v>
      </c>
      <c r="S1627" s="5"/>
      <c r="T1627" s="1" t="str">
        <f>IFERROR(__xludf.DUMMYFUNCTION("INDEX(SPLIT(A1627, ""/""), 2)"),"کانون‌های فرهنگی هنری")</f>
        <v>کانون‌های فرهنگی هنری</v>
      </c>
      <c r="U1627" s="1" t="str">
        <f>IFERROR(__xludf.DUMMYFUNCTION("INDEX(SPLIT(A1627, ""/""), 3)"),"روزنامه شریف")</f>
        <v>روزنامه شریف</v>
      </c>
      <c r="V1627" s="1" t="str">
        <f>IFERROR(__xludf.DUMMYFUNCTION("INDEX(SPLIT(A1627, ""/""), 4)"),"#REF!")</f>
        <v>#REF!</v>
      </c>
    </row>
    <row r="1628">
      <c r="A1628" s="1" t="s">
        <v>4070</v>
      </c>
      <c r="B1628" s="1" t="s">
        <v>5034</v>
      </c>
      <c r="C1628" s="1" t="s">
        <v>21</v>
      </c>
      <c r="D1628" s="4" t="s">
        <v>5035</v>
      </c>
      <c r="E1628" s="1" t="s">
        <v>4072</v>
      </c>
      <c r="F1628" s="1" t="s">
        <v>4487</v>
      </c>
      <c r="G1628" s="1" t="s">
        <v>4666</v>
      </c>
      <c r="H1628" s="7" t="s">
        <v>5036</v>
      </c>
      <c r="I1628" s="1" t="str">
        <f t="shared" si="1"/>
        <v>6</v>
      </c>
      <c r="J1628" s="5"/>
      <c r="K1628" s="1" t="str">
        <f t="shared" si="2"/>
        <v>6</v>
      </c>
      <c r="L1628" s="5"/>
      <c r="M1628" s="2" t="str">
        <f t="shared" si="3"/>
        <v>1386</v>
      </c>
      <c r="N1628" s="5"/>
      <c r="O1628" s="13">
        <v>385.0</v>
      </c>
      <c r="P1628" s="5"/>
      <c r="Q1628" s="5"/>
      <c r="R1628" s="8" t="s">
        <v>5036</v>
      </c>
      <c r="S1628" s="5"/>
      <c r="T1628" s="1" t="str">
        <f>IFERROR(__xludf.DUMMYFUNCTION("INDEX(SPLIT(A1628, ""/""), 2)"),"کانون‌های فرهنگی هنری")</f>
        <v>کانون‌های فرهنگی هنری</v>
      </c>
      <c r="U1628" s="1" t="str">
        <f>IFERROR(__xludf.DUMMYFUNCTION("INDEX(SPLIT(A1628, ""/""), 3)"),"روزنامه شریف")</f>
        <v>روزنامه شریف</v>
      </c>
      <c r="V1628" s="1" t="str">
        <f>IFERROR(__xludf.DUMMYFUNCTION("INDEX(SPLIT(A1628, ""/""), 4)"),"#REF!")</f>
        <v>#REF!</v>
      </c>
    </row>
    <row r="1629">
      <c r="A1629" s="1" t="s">
        <v>4070</v>
      </c>
      <c r="B1629" s="1" t="s">
        <v>5037</v>
      </c>
      <c r="C1629" s="1" t="s">
        <v>21</v>
      </c>
      <c r="D1629" s="4" t="s">
        <v>5038</v>
      </c>
      <c r="E1629" s="1" t="s">
        <v>4072</v>
      </c>
      <c r="F1629" s="1" t="s">
        <v>4487</v>
      </c>
      <c r="G1629" s="1" t="s">
        <v>4666</v>
      </c>
      <c r="H1629" s="1" t="s">
        <v>5039</v>
      </c>
      <c r="I1629" s="1" t="str">
        <f t="shared" si="1"/>
        <v>13</v>
      </c>
      <c r="J1629" s="5"/>
      <c r="K1629" s="1" t="str">
        <f t="shared" si="2"/>
        <v>6</v>
      </c>
      <c r="L1629" s="5"/>
      <c r="M1629" s="2" t="str">
        <f t="shared" si="3"/>
        <v>1386</v>
      </c>
      <c r="N1629" s="1"/>
      <c r="O1629" s="13">
        <v>386.0</v>
      </c>
      <c r="P1629" s="5"/>
      <c r="Q1629" s="5"/>
      <c r="R1629" s="6" t="s">
        <v>5039</v>
      </c>
      <c r="S1629" s="5"/>
      <c r="T1629" s="1" t="str">
        <f>IFERROR(__xludf.DUMMYFUNCTION("INDEX(SPLIT(A1629, ""/""), 2)"),"کانون‌های فرهنگی هنری")</f>
        <v>کانون‌های فرهنگی هنری</v>
      </c>
      <c r="U1629" s="1" t="str">
        <f>IFERROR(__xludf.DUMMYFUNCTION("INDEX(SPLIT(A1629, ""/""), 3)"),"روزنامه شریف")</f>
        <v>روزنامه شریف</v>
      </c>
      <c r="V1629" s="1" t="str">
        <f>IFERROR(__xludf.DUMMYFUNCTION("INDEX(SPLIT(A1629, ""/""), 4)"),"#REF!")</f>
        <v>#REF!</v>
      </c>
    </row>
    <row r="1630">
      <c r="A1630" s="1" t="s">
        <v>4070</v>
      </c>
      <c r="B1630" s="1" t="s">
        <v>5040</v>
      </c>
      <c r="C1630" s="1" t="s">
        <v>21</v>
      </c>
      <c r="D1630" s="4" t="s">
        <v>5041</v>
      </c>
      <c r="E1630" s="1" t="s">
        <v>4072</v>
      </c>
      <c r="F1630" s="1" t="s">
        <v>4487</v>
      </c>
      <c r="G1630" s="1" t="s">
        <v>4666</v>
      </c>
      <c r="H1630" s="1" t="s">
        <v>5042</v>
      </c>
      <c r="I1630" s="1" t="str">
        <f t="shared" si="1"/>
        <v>20</v>
      </c>
      <c r="J1630" s="5"/>
      <c r="K1630" s="1" t="str">
        <f t="shared" si="2"/>
        <v>6</v>
      </c>
      <c r="L1630" s="5"/>
      <c r="M1630" s="2" t="str">
        <f t="shared" si="3"/>
        <v>1386</v>
      </c>
      <c r="N1630" s="1"/>
      <c r="O1630" s="13">
        <v>387.0</v>
      </c>
      <c r="P1630" s="5"/>
      <c r="Q1630" s="5"/>
      <c r="R1630" s="6" t="s">
        <v>5042</v>
      </c>
      <c r="S1630" s="5"/>
      <c r="T1630" s="1" t="str">
        <f>IFERROR(__xludf.DUMMYFUNCTION("INDEX(SPLIT(A1630, ""/""), 2)"),"کانون‌های فرهنگی هنری")</f>
        <v>کانون‌های فرهنگی هنری</v>
      </c>
      <c r="U1630" s="1" t="str">
        <f>IFERROR(__xludf.DUMMYFUNCTION("INDEX(SPLIT(A1630, ""/""), 3)"),"روزنامه شریف")</f>
        <v>روزنامه شریف</v>
      </c>
      <c r="V1630" s="1" t="str">
        <f>IFERROR(__xludf.DUMMYFUNCTION("INDEX(SPLIT(A1630, ""/""), 4)"),"#REF!")</f>
        <v>#REF!</v>
      </c>
    </row>
    <row r="1631">
      <c r="A1631" s="1" t="s">
        <v>4070</v>
      </c>
      <c r="B1631" s="1" t="s">
        <v>5043</v>
      </c>
      <c r="C1631" s="1" t="s">
        <v>21</v>
      </c>
      <c r="D1631" s="4" t="s">
        <v>5044</v>
      </c>
      <c r="E1631" s="1" t="s">
        <v>4072</v>
      </c>
      <c r="F1631" s="1" t="s">
        <v>4487</v>
      </c>
      <c r="G1631" s="1" t="s">
        <v>4666</v>
      </c>
      <c r="H1631" s="1" t="s">
        <v>5045</v>
      </c>
      <c r="I1631" s="1" t="str">
        <f t="shared" si="1"/>
        <v>27</v>
      </c>
      <c r="J1631" s="5"/>
      <c r="K1631" s="1" t="str">
        <f t="shared" si="2"/>
        <v>6</v>
      </c>
      <c r="L1631" s="5"/>
      <c r="M1631" s="2" t="str">
        <f t="shared" si="3"/>
        <v>1386</v>
      </c>
      <c r="N1631" s="1"/>
      <c r="O1631" s="13">
        <v>388.0</v>
      </c>
      <c r="P1631" s="5"/>
      <c r="Q1631" s="5"/>
      <c r="R1631" s="6" t="s">
        <v>5045</v>
      </c>
      <c r="S1631" s="5"/>
      <c r="T1631" s="1" t="str">
        <f>IFERROR(__xludf.DUMMYFUNCTION("INDEX(SPLIT(A1631, ""/""), 2)"),"کانون‌های فرهنگی هنری")</f>
        <v>کانون‌های فرهنگی هنری</v>
      </c>
      <c r="U1631" s="1" t="str">
        <f>IFERROR(__xludf.DUMMYFUNCTION("INDEX(SPLIT(A1631, ""/""), 3)"),"روزنامه شریف")</f>
        <v>روزنامه شریف</v>
      </c>
      <c r="V1631" s="1" t="str">
        <f>IFERROR(__xludf.DUMMYFUNCTION("INDEX(SPLIT(A1631, ""/""), 4)"),"#REF!")</f>
        <v>#REF!</v>
      </c>
    </row>
    <row r="1632">
      <c r="A1632" s="1" t="s">
        <v>4070</v>
      </c>
      <c r="B1632" s="1" t="s">
        <v>5046</v>
      </c>
      <c r="C1632" s="1" t="s">
        <v>21</v>
      </c>
      <c r="D1632" s="4" t="s">
        <v>5047</v>
      </c>
      <c r="E1632" s="1" t="s">
        <v>4072</v>
      </c>
      <c r="F1632" s="1" t="s">
        <v>4487</v>
      </c>
      <c r="G1632" s="1" t="s">
        <v>4666</v>
      </c>
      <c r="H1632" s="1" t="s">
        <v>5048</v>
      </c>
      <c r="I1632" s="1" t="str">
        <f t="shared" si="1"/>
        <v>31</v>
      </c>
      <c r="J1632" s="5"/>
      <c r="K1632" s="1" t="str">
        <f t="shared" si="2"/>
        <v>6</v>
      </c>
      <c r="L1632" s="5"/>
      <c r="M1632" s="2" t="str">
        <f t="shared" si="3"/>
        <v>1386</v>
      </c>
      <c r="N1632" s="1"/>
      <c r="O1632" s="13">
        <v>390.0</v>
      </c>
      <c r="P1632" s="5"/>
      <c r="Q1632" s="5"/>
      <c r="R1632" s="6" t="s">
        <v>5048</v>
      </c>
      <c r="S1632" s="5"/>
      <c r="T1632" s="1" t="str">
        <f>IFERROR(__xludf.DUMMYFUNCTION("INDEX(SPLIT(A1632, ""/""), 2)"),"کانون‌های فرهنگی هنری")</f>
        <v>کانون‌های فرهنگی هنری</v>
      </c>
      <c r="U1632" s="1" t="str">
        <f>IFERROR(__xludf.DUMMYFUNCTION("INDEX(SPLIT(A1632, ""/""), 3)"),"روزنامه شریف")</f>
        <v>روزنامه شریف</v>
      </c>
      <c r="V1632" s="1" t="str">
        <f>IFERROR(__xludf.DUMMYFUNCTION("INDEX(SPLIT(A1632, ""/""), 4)"),"#REF!")</f>
        <v>#REF!</v>
      </c>
    </row>
    <row r="1633">
      <c r="A1633" s="1" t="s">
        <v>4070</v>
      </c>
      <c r="B1633" s="1" t="s">
        <v>5049</v>
      </c>
      <c r="C1633" s="1" t="s">
        <v>21</v>
      </c>
      <c r="D1633" s="4" t="s">
        <v>5050</v>
      </c>
      <c r="E1633" s="1" t="s">
        <v>4072</v>
      </c>
      <c r="F1633" s="1" t="s">
        <v>4487</v>
      </c>
      <c r="G1633" s="1" t="s">
        <v>4666</v>
      </c>
      <c r="H1633" s="7" t="s">
        <v>5051</v>
      </c>
      <c r="I1633" s="1" t="str">
        <f t="shared" si="1"/>
        <v>3</v>
      </c>
      <c r="J1633" s="5"/>
      <c r="K1633" s="1" t="str">
        <f t="shared" si="2"/>
        <v>7</v>
      </c>
      <c r="L1633" s="5"/>
      <c r="M1633" s="2" t="str">
        <f t="shared" si="3"/>
        <v>1386</v>
      </c>
      <c r="N1633" s="5"/>
      <c r="O1633" s="13">
        <v>391.0</v>
      </c>
      <c r="P1633" s="5"/>
      <c r="Q1633" s="5"/>
      <c r="R1633" s="8" t="s">
        <v>5051</v>
      </c>
      <c r="S1633" s="5"/>
      <c r="T1633" s="1" t="str">
        <f>IFERROR(__xludf.DUMMYFUNCTION("INDEX(SPLIT(A1633, ""/""), 2)"),"کانون‌های فرهنگی هنری")</f>
        <v>کانون‌های فرهنگی هنری</v>
      </c>
      <c r="U1633" s="1" t="str">
        <f>IFERROR(__xludf.DUMMYFUNCTION("INDEX(SPLIT(A1633, ""/""), 3)"),"روزنامه شریف")</f>
        <v>روزنامه شریف</v>
      </c>
      <c r="V1633" s="1" t="str">
        <f>IFERROR(__xludf.DUMMYFUNCTION("INDEX(SPLIT(A1633, ""/""), 4)"),"#REF!")</f>
        <v>#REF!</v>
      </c>
    </row>
    <row r="1634">
      <c r="A1634" s="1" t="s">
        <v>4070</v>
      </c>
      <c r="B1634" s="1" t="s">
        <v>5052</v>
      </c>
      <c r="C1634" s="1" t="s">
        <v>21</v>
      </c>
      <c r="D1634" s="4" t="s">
        <v>5053</v>
      </c>
      <c r="E1634" s="1" t="s">
        <v>4072</v>
      </c>
      <c r="F1634" s="1" t="s">
        <v>4487</v>
      </c>
      <c r="G1634" s="1" t="s">
        <v>4666</v>
      </c>
      <c r="H1634" s="7" t="s">
        <v>5054</v>
      </c>
      <c r="I1634" s="1" t="str">
        <f t="shared" si="1"/>
        <v>7</v>
      </c>
      <c r="J1634" s="5"/>
      <c r="K1634" s="1" t="str">
        <f t="shared" si="2"/>
        <v>7</v>
      </c>
      <c r="L1634" s="5"/>
      <c r="M1634" s="2" t="str">
        <f t="shared" si="3"/>
        <v>1386</v>
      </c>
      <c r="N1634" s="5"/>
      <c r="O1634" s="13">
        <v>392.0</v>
      </c>
      <c r="P1634" s="5"/>
      <c r="Q1634" s="5"/>
      <c r="R1634" s="8" t="s">
        <v>5054</v>
      </c>
      <c r="S1634" s="5"/>
      <c r="T1634" s="1" t="str">
        <f>IFERROR(__xludf.DUMMYFUNCTION("INDEX(SPLIT(A1634, ""/""), 2)"),"کانون‌های فرهنگی هنری")</f>
        <v>کانون‌های فرهنگی هنری</v>
      </c>
      <c r="U1634" s="1" t="str">
        <f>IFERROR(__xludf.DUMMYFUNCTION("INDEX(SPLIT(A1634, ""/""), 3)"),"روزنامه شریف")</f>
        <v>روزنامه شریف</v>
      </c>
      <c r="V1634" s="1" t="str">
        <f>IFERROR(__xludf.DUMMYFUNCTION("INDEX(SPLIT(A1634, ""/""), 4)"),"#REF!")</f>
        <v>#REF!</v>
      </c>
    </row>
    <row r="1635">
      <c r="A1635" s="1" t="s">
        <v>4070</v>
      </c>
      <c r="B1635" s="1" t="s">
        <v>5055</v>
      </c>
      <c r="C1635" s="1" t="s">
        <v>21</v>
      </c>
      <c r="D1635" s="4" t="s">
        <v>5056</v>
      </c>
      <c r="E1635" s="1" t="s">
        <v>4072</v>
      </c>
      <c r="F1635" s="1" t="s">
        <v>4487</v>
      </c>
      <c r="G1635" s="1" t="s">
        <v>4666</v>
      </c>
      <c r="H1635" s="7" t="s">
        <v>5057</v>
      </c>
      <c r="I1635" s="1" t="str">
        <f t="shared" si="1"/>
        <v>10</v>
      </c>
      <c r="J1635" s="5"/>
      <c r="K1635" s="1" t="str">
        <f t="shared" si="2"/>
        <v>7</v>
      </c>
      <c r="L1635" s="5"/>
      <c r="M1635" s="2" t="str">
        <f t="shared" si="3"/>
        <v>1386</v>
      </c>
      <c r="N1635" s="5"/>
      <c r="O1635" s="13">
        <v>393.0</v>
      </c>
      <c r="P1635" s="5"/>
      <c r="Q1635" s="5"/>
      <c r="R1635" s="8" t="s">
        <v>5057</v>
      </c>
      <c r="S1635" s="5"/>
      <c r="T1635" s="1" t="str">
        <f>IFERROR(__xludf.DUMMYFUNCTION("INDEX(SPLIT(A1635, ""/""), 2)"),"کانون‌های فرهنگی هنری")</f>
        <v>کانون‌های فرهنگی هنری</v>
      </c>
      <c r="U1635" s="1" t="str">
        <f>IFERROR(__xludf.DUMMYFUNCTION("INDEX(SPLIT(A1635, ""/""), 3)"),"روزنامه شریف")</f>
        <v>روزنامه شریف</v>
      </c>
      <c r="V1635" s="1" t="str">
        <f>IFERROR(__xludf.DUMMYFUNCTION("INDEX(SPLIT(A1635, ""/""), 4)"),"#REF!")</f>
        <v>#REF!</v>
      </c>
    </row>
    <row r="1636">
      <c r="A1636" s="1" t="s">
        <v>4070</v>
      </c>
      <c r="B1636" s="1" t="s">
        <v>5058</v>
      </c>
      <c r="C1636" s="1" t="s">
        <v>21</v>
      </c>
      <c r="D1636" s="4" t="s">
        <v>5059</v>
      </c>
      <c r="E1636" s="1" t="s">
        <v>4072</v>
      </c>
      <c r="F1636" s="1" t="s">
        <v>4487</v>
      </c>
      <c r="G1636" s="1" t="s">
        <v>5060</v>
      </c>
      <c r="H1636" s="1" t="s">
        <v>5061</v>
      </c>
      <c r="I1636" s="1" t="str">
        <f t="shared" si="1"/>
        <v>17</v>
      </c>
      <c r="J1636" s="5"/>
      <c r="K1636" s="1" t="str">
        <f t="shared" si="2"/>
        <v>7</v>
      </c>
      <c r="L1636" s="5"/>
      <c r="M1636" s="2" t="str">
        <f t="shared" si="3"/>
        <v>1386</v>
      </c>
      <c r="N1636" s="5"/>
      <c r="O1636" s="13">
        <v>394.0</v>
      </c>
      <c r="P1636" s="5"/>
      <c r="Q1636" s="5"/>
      <c r="R1636" s="6" t="s">
        <v>5061</v>
      </c>
      <c r="S1636" s="5"/>
      <c r="T1636" s="1" t="str">
        <f>IFERROR(__xludf.DUMMYFUNCTION("INDEX(SPLIT(A1636, ""/""), 2)"),"کانون‌های فرهنگی هنری")</f>
        <v>کانون‌های فرهنگی هنری</v>
      </c>
      <c r="U1636" s="1" t="str">
        <f>IFERROR(__xludf.DUMMYFUNCTION("INDEX(SPLIT(A1636, ""/""), 3)"),"روزنامه شریف")</f>
        <v>روزنامه شریف</v>
      </c>
      <c r="V1636" s="1" t="str">
        <f>IFERROR(__xludf.DUMMYFUNCTION("INDEX(SPLIT(A1636, ""/""), 4)"),"#REF!")</f>
        <v>#REF!</v>
      </c>
    </row>
    <row r="1637">
      <c r="A1637" s="1" t="s">
        <v>4070</v>
      </c>
      <c r="B1637" s="1" t="s">
        <v>5062</v>
      </c>
      <c r="C1637" s="1" t="s">
        <v>21</v>
      </c>
      <c r="D1637" s="4" t="s">
        <v>5063</v>
      </c>
      <c r="E1637" s="1" t="s">
        <v>4072</v>
      </c>
      <c r="F1637" s="1" t="s">
        <v>4487</v>
      </c>
      <c r="G1637" s="1" t="s">
        <v>5060</v>
      </c>
      <c r="H1637" s="1" t="s">
        <v>1000</v>
      </c>
      <c r="I1637" s="1" t="str">
        <f t="shared" si="1"/>
        <v>24</v>
      </c>
      <c r="J1637" s="5"/>
      <c r="K1637" s="1" t="str">
        <f t="shared" si="2"/>
        <v>7</v>
      </c>
      <c r="L1637" s="5"/>
      <c r="M1637" s="2" t="str">
        <f t="shared" si="3"/>
        <v>1386</v>
      </c>
      <c r="N1637" s="5"/>
      <c r="O1637" s="13">
        <v>395.0</v>
      </c>
      <c r="P1637" s="5"/>
      <c r="Q1637" s="5"/>
      <c r="R1637" s="6" t="s">
        <v>1000</v>
      </c>
      <c r="S1637" s="5"/>
      <c r="T1637" s="1" t="str">
        <f>IFERROR(__xludf.DUMMYFUNCTION("INDEX(SPLIT(A1637, ""/""), 2)"),"کانون‌های فرهنگی هنری")</f>
        <v>کانون‌های فرهنگی هنری</v>
      </c>
      <c r="U1637" s="1" t="str">
        <f>IFERROR(__xludf.DUMMYFUNCTION("INDEX(SPLIT(A1637, ""/""), 3)"),"روزنامه شریف")</f>
        <v>روزنامه شریف</v>
      </c>
      <c r="V1637" s="1" t="str">
        <f>IFERROR(__xludf.DUMMYFUNCTION("INDEX(SPLIT(A1637, ""/""), 4)"),"#REF!")</f>
        <v>#REF!</v>
      </c>
    </row>
    <row r="1638">
      <c r="A1638" s="1" t="s">
        <v>4070</v>
      </c>
      <c r="B1638" s="1" t="s">
        <v>5064</v>
      </c>
      <c r="C1638" s="1" t="s">
        <v>21</v>
      </c>
      <c r="D1638" s="4" t="s">
        <v>5065</v>
      </c>
      <c r="E1638" s="1" t="s">
        <v>4072</v>
      </c>
      <c r="F1638" s="1" t="s">
        <v>4487</v>
      </c>
      <c r="G1638" s="1" t="s">
        <v>5060</v>
      </c>
      <c r="H1638" s="1" t="s">
        <v>5066</v>
      </c>
      <c r="I1638" s="1" t="str">
        <f t="shared" si="1"/>
        <v>28</v>
      </c>
      <c r="J1638" s="5"/>
      <c r="K1638" s="1" t="str">
        <f t="shared" si="2"/>
        <v>7</v>
      </c>
      <c r="L1638" s="5"/>
      <c r="M1638" s="2" t="str">
        <f t="shared" si="3"/>
        <v>1386</v>
      </c>
      <c r="N1638" s="5"/>
      <c r="O1638" s="13">
        <v>396.0</v>
      </c>
      <c r="P1638" s="5"/>
      <c r="Q1638" s="5"/>
      <c r="R1638" s="6" t="s">
        <v>5066</v>
      </c>
      <c r="S1638" s="5"/>
      <c r="T1638" s="1" t="str">
        <f>IFERROR(__xludf.DUMMYFUNCTION("INDEX(SPLIT(A1638, ""/""), 2)"),"کانون‌های فرهنگی هنری")</f>
        <v>کانون‌های فرهنگی هنری</v>
      </c>
      <c r="U1638" s="1" t="str">
        <f>IFERROR(__xludf.DUMMYFUNCTION("INDEX(SPLIT(A1638, ""/""), 3)"),"روزنامه شریف")</f>
        <v>روزنامه شریف</v>
      </c>
      <c r="V1638" s="1" t="str">
        <f>IFERROR(__xludf.DUMMYFUNCTION("INDEX(SPLIT(A1638, ""/""), 4)"),"#REF!")</f>
        <v>#REF!</v>
      </c>
    </row>
    <row r="1639">
      <c r="A1639" s="1" t="s">
        <v>4070</v>
      </c>
      <c r="B1639" s="1" t="s">
        <v>5067</v>
      </c>
      <c r="C1639" s="1" t="s">
        <v>21</v>
      </c>
      <c r="D1639" s="4" t="s">
        <v>5068</v>
      </c>
      <c r="E1639" s="1" t="s">
        <v>4072</v>
      </c>
      <c r="F1639" s="1" t="s">
        <v>4487</v>
      </c>
      <c r="G1639" s="1" t="s">
        <v>5060</v>
      </c>
      <c r="H1639" s="7" t="s">
        <v>5069</v>
      </c>
      <c r="I1639" s="1" t="str">
        <f t="shared" si="1"/>
        <v>1</v>
      </c>
      <c r="J1639" s="5"/>
      <c r="K1639" s="1" t="str">
        <f t="shared" si="2"/>
        <v>8</v>
      </c>
      <c r="L1639" s="5"/>
      <c r="M1639" s="2" t="str">
        <f t="shared" si="3"/>
        <v>1386</v>
      </c>
      <c r="N1639" s="5"/>
      <c r="O1639" s="13">
        <v>397.0</v>
      </c>
      <c r="P1639" s="5"/>
      <c r="Q1639" s="5"/>
      <c r="R1639" s="8" t="s">
        <v>5069</v>
      </c>
      <c r="S1639" s="5"/>
      <c r="T1639" s="1" t="str">
        <f>IFERROR(__xludf.DUMMYFUNCTION("INDEX(SPLIT(A1639, ""/""), 2)"),"کانون‌های فرهنگی هنری")</f>
        <v>کانون‌های فرهنگی هنری</v>
      </c>
      <c r="U1639" s="1" t="str">
        <f>IFERROR(__xludf.DUMMYFUNCTION("INDEX(SPLIT(A1639, ""/""), 3)"),"روزنامه شریف")</f>
        <v>روزنامه شریف</v>
      </c>
      <c r="V1639" s="1" t="str">
        <f>IFERROR(__xludf.DUMMYFUNCTION("INDEX(SPLIT(A1639, ""/""), 4)"),"#REF!")</f>
        <v>#REF!</v>
      </c>
    </row>
    <row r="1640">
      <c r="A1640" s="1" t="s">
        <v>4070</v>
      </c>
      <c r="B1640" s="1" t="s">
        <v>5070</v>
      </c>
      <c r="C1640" s="1" t="s">
        <v>21</v>
      </c>
      <c r="D1640" s="4" t="s">
        <v>5071</v>
      </c>
      <c r="E1640" s="1" t="s">
        <v>4072</v>
      </c>
      <c r="F1640" s="1" t="s">
        <v>4487</v>
      </c>
      <c r="G1640" s="1" t="s">
        <v>5060</v>
      </c>
      <c r="H1640" s="7" t="s">
        <v>5072</v>
      </c>
      <c r="I1640" s="1" t="str">
        <f t="shared" si="1"/>
        <v>5</v>
      </c>
      <c r="J1640" s="5"/>
      <c r="K1640" s="1" t="str">
        <f t="shared" si="2"/>
        <v>8</v>
      </c>
      <c r="L1640" s="5"/>
      <c r="M1640" s="2" t="str">
        <f t="shared" si="3"/>
        <v>1386</v>
      </c>
      <c r="N1640" s="5"/>
      <c r="O1640" s="13">
        <v>398.0</v>
      </c>
      <c r="P1640" s="5"/>
      <c r="Q1640" s="5"/>
      <c r="R1640" s="8" t="s">
        <v>5072</v>
      </c>
      <c r="S1640" s="5"/>
      <c r="T1640" s="1" t="str">
        <f>IFERROR(__xludf.DUMMYFUNCTION("INDEX(SPLIT(A1640, ""/""), 2)"),"کانون‌های فرهنگی هنری")</f>
        <v>کانون‌های فرهنگی هنری</v>
      </c>
      <c r="U1640" s="1" t="str">
        <f>IFERROR(__xludf.DUMMYFUNCTION("INDEX(SPLIT(A1640, ""/""), 3)"),"روزنامه شریف")</f>
        <v>روزنامه شریف</v>
      </c>
      <c r="V1640" s="1" t="str">
        <f>IFERROR(__xludf.DUMMYFUNCTION("INDEX(SPLIT(A1640, ""/""), 4)"),"#REF!")</f>
        <v>#REF!</v>
      </c>
    </row>
    <row r="1641">
      <c r="A1641" s="1" t="s">
        <v>4070</v>
      </c>
      <c r="B1641" s="1" t="s">
        <v>5073</v>
      </c>
      <c r="C1641" s="1" t="s">
        <v>21</v>
      </c>
      <c r="D1641" s="4" t="s">
        <v>5074</v>
      </c>
      <c r="E1641" s="1" t="s">
        <v>4072</v>
      </c>
      <c r="F1641" s="1" t="s">
        <v>4487</v>
      </c>
      <c r="G1641" s="1" t="s">
        <v>5060</v>
      </c>
      <c r="H1641" s="7" t="s">
        <v>5075</v>
      </c>
      <c r="I1641" s="1" t="str">
        <f t="shared" si="1"/>
        <v>8</v>
      </c>
      <c r="J1641" s="5"/>
      <c r="K1641" s="1" t="str">
        <f t="shared" si="2"/>
        <v>8</v>
      </c>
      <c r="L1641" s="5"/>
      <c r="M1641" s="2" t="str">
        <f t="shared" si="3"/>
        <v>1386</v>
      </c>
      <c r="N1641" s="1"/>
      <c r="O1641" s="13">
        <v>399.0</v>
      </c>
      <c r="P1641" s="5"/>
      <c r="Q1641" s="5"/>
      <c r="R1641" s="8" t="s">
        <v>5075</v>
      </c>
      <c r="S1641" s="5"/>
      <c r="T1641" s="1" t="str">
        <f>IFERROR(__xludf.DUMMYFUNCTION("INDEX(SPLIT(A1641, ""/""), 2)"),"کانون‌های فرهنگی هنری")</f>
        <v>کانون‌های فرهنگی هنری</v>
      </c>
      <c r="U1641" s="1" t="str">
        <f>IFERROR(__xludf.DUMMYFUNCTION("INDEX(SPLIT(A1641, ""/""), 3)"),"روزنامه شریف")</f>
        <v>روزنامه شریف</v>
      </c>
      <c r="V1641" s="1" t="str">
        <f>IFERROR(__xludf.DUMMYFUNCTION("INDEX(SPLIT(A1641, ""/""), 4)"),"#REF!")</f>
        <v>#REF!</v>
      </c>
    </row>
    <row r="1642">
      <c r="A1642" s="1" t="s">
        <v>4070</v>
      </c>
      <c r="B1642" s="1" t="s">
        <v>5076</v>
      </c>
      <c r="C1642" s="1" t="s">
        <v>21</v>
      </c>
      <c r="D1642" s="4" t="s">
        <v>5077</v>
      </c>
      <c r="E1642" s="1" t="s">
        <v>4072</v>
      </c>
      <c r="F1642" s="1" t="s">
        <v>4487</v>
      </c>
      <c r="G1642" s="1" t="s">
        <v>5060</v>
      </c>
      <c r="H1642" s="7" t="s">
        <v>5075</v>
      </c>
      <c r="I1642" s="1" t="str">
        <f t="shared" si="1"/>
        <v>8</v>
      </c>
      <c r="J1642" s="5"/>
      <c r="K1642" s="1" t="str">
        <f t="shared" si="2"/>
        <v>8</v>
      </c>
      <c r="L1642" s="5"/>
      <c r="M1642" s="2" t="str">
        <f t="shared" si="3"/>
        <v>1386</v>
      </c>
      <c r="N1642" s="1"/>
      <c r="O1642" s="13">
        <v>400.0</v>
      </c>
      <c r="P1642" s="5"/>
      <c r="Q1642" s="5"/>
      <c r="R1642" s="8" t="s">
        <v>5075</v>
      </c>
      <c r="S1642" s="5"/>
      <c r="T1642" s="1" t="str">
        <f>IFERROR(__xludf.DUMMYFUNCTION("INDEX(SPLIT(A1642, ""/""), 2)"),"کانون‌های فرهنگی هنری")</f>
        <v>کانون‌های فرهنگی هنری</v>
      </c>
      <c r="U1642" s="1" t="str">
        <f>IFERROR(__xludf.DUMMYFUNCTION("INDEX(SPLIT(A1642, ""/""), 3)"),"روزنامه شریف")</f>
        <v>روزنامه شریف</v>
      </c>
      <c r="V1642" s="1" t="str">
        <f>IFERROR(__xludf.DUMMYFUNCTION("INDEX(SPLIT(A1642, ""/""), 4)"),"#REF!")</f>
        <v>#REF!</v>
      </c>
    </row>
    <row r="1643">
      <c r="A1643" s="1" t="s">
        <v>4070</v>
      </c>
      <c r="B1643" s="1" t="s">
        <v>5078</v>
      </c>
      <c r="C1643" s="1" t="s">
        <v>21</v>
      </c>
      <c r="D1643" s="4" t="s">
        <v>5079</v>
      </c>
      <c r="E1643" s="1" t="s">
        <v>4072</v>
      </c>
      <c r="F1643" s="1" t="s">
        <v>4487</v>
      </c>
      <c r="G1643" s="1" t="s">
        <v>5060</v>
      </c>
      <c r="H1643" s="1" t="s">
        <v>5080</v>
      </c>
      <c r="I1643" s="1" t="str">
        <f t="shared" si="1"/>
        <v>19</v>
      </c>
      <c r="J1643" s="5"/>
      <c r="K1643" s="1" t="str">
        <f t="shared" si="2"/>
        <v>8</v>
      </c>
      <c r="L1643" s="5"/>
      <c r="M1643" s="2" t="str">
        <f t="shared" si="3"/>
        <v>1386</v>
      </c>
      <c r="N1643" s="5"/>
      <c r="O1643" s="13">
        <v>401.0</v>
      </c>
      <c r="P1643" s="5"/>
      <c r="Q1643" s="5"/>
      <c r="R1643" s="6" t="s">
        <v>5080</v>
      </c>
      <c r="S1643" s="5"/>
      <c r="T1643" s="1" t="str">
        <f>IFERROR(__xludf.DUMMYFUNCTION("INDEX(SPLIT(A1643, ""/""), 2)"),"کانون‌های فرهنگی هنری")</f>
        <v>کانون‌های فرهنگی هنری</v>
      </c>
      <c r="U1643" s="1" t="str">
        <f>IFERROR(__xludf.DUMMYFUNCTION("INDEX(SPLIT(A1643, ""/""), 3)"),"روزنامه شریف")</f>
        <v>روزنامه شریف</v>
      </c>
      <c r="V1643" s="1" t="str">
        <f>IFERROR(__xludf.DUMMYFUNCTION("INDEX(SPLIT(A1643, ""/""), 4)"),"#REF!")</f>
        <v>#REF!</v>
      </c>
    </row>
    <row r="1644">
      <c r="A1644" s="1" t="s">
        <v>4070</v>
      </c>
      <c r="B1644" s="1" t="s">
        <v>5081</v>
      </c>
      <c r="C1644" s="1" t="s">
        <v>21</v>
      </c>
      <c r="D1644" s="4" t="s">
        <v>5082</v>
      </c>
      <c r="E1644" s="1" t="s">
        <v>4072</v>
      </c>
      <c r="F1644" s="1" t="s">
        <v>4487</v>
      </c>
      <c r="G1644" s="1" t="s">
        <v>5060</v>
      </c>
      <c r="H1644" s="1" t="s">
        <v>5083</v>
      </c>
      <c r="I1644" s="1" t="str">
        <f t="shared" si="1"/>
        <v>22</v>
      </c>
      <c r="J1644" s="5"/>
      <c r="K1644" s="1" t="str">
        <f t="shared" si="2"/>
        <v>8</v>
      </c>
      <c r="L1644" s="5"/>
      <c r="M1644" s="2" t="str">
        <f t="shared" si="3"/>
        <v>1386</v>
      </c>
      <c r="N1644" s="1"/>
      <c r="O1644" s="13">
        <v>402.0</v>
      </c>
      <c r="P1644" s="5"/>
      <c r="Q1644" s="5"/>
      <c r="R1644" s="6" t="s">
        <v>5083</v>
      </c>
      <c r="S1644" s="5"/>
      <c r="T1644" s="1" t="str">
        <f>IFERROR(__xludf.DUMMYFUNCTION("INDEX(SPLIT(A1644, ""/""), 2)"),"کانون‌های فرهنگی هنری")</f>
        <v>کانون‌های فرهنگی هنری</v>
      </c>
      <c r="U1644" s="1" t="str">
        <f>IFERROR(__xludf.DUMMYFUNCTION("INDEX(SPLIT(A1644, ""/""), 3)"),"روزنامه شریف")</f>
        <v>روزنامه شریف</v>
      </c>
      <c r="V1644" s="1" t="str">
        <f>IFERROR(__xludf.DUMMYFUNCTION("INDEX(SPLIT(A1644, ""/""), 4)"),"#REF!")</f>
        <v>#REF!</v>
      </c>
    </row>
    <row r="1645">
      <c r="A1645" s="1" t="s">
        <v>4070</v>
      </c>
      <c r="B1645" s="1" t="s">
        <v>5084</v>
      </c>
      <c r="C1645" s="1" t="s">
        <v>21</v>
      </c>
      <c r="D1645" s="4" t="s">
        <v>5085</v>
      </c>
      <c r="E1645" s="1" t="s">
        <v>4072</v>
      </c>
      <c r="F1645" s="1" t="s">
        <v>4487</v>
      </c>
      <c r="G1645" s="1" t="s">
        <v>5060</v>
      </c>
      <c r="H1645" s="1" t="s">
        <v>5086</v>
      </c>
      <c r="I1645" s="1" t="str">
        <f t="shared" si="1"/>
        <v>26</v>
      </c>
      <c r="J1645" s="5"/>
      <c r="K1645" s="1" t="str">
        <f t="shared" si="2"/>
        <v>8</v>
      </c>
      <c r="L1645" s="5"/>
      <c r="M1645" s="2" t="str">
        <f t="shared" si="3"/>
        <v>1386</v>
      </c>
      <c r="N1645" s="1"/>
      <c r="O1645" s="13">
        <v>403.0</v>
      </c>
      <c r="P1645" s="5"/>
      <c r="Q1645" s="5"/>
      <c r="R1645" s="6" t="s">
        <v>5086</v>
      </c>
      <c r="S1645" s="5"/>
      <c r="T1645" s="1" t="str">
        <f>IFERROR(__xludf.DUMMYFUNCTION("INDEX(SPLIT(A1645, ""/""), 2)"),"کانون‌های فرهنگی هنری")</f>
        <v>کانون‌های فرهنگی هنری</v>
      </c>
      <c r="U1645" s="1" t="str">
        <f>IFERROR(__xludf.DUMMYFUNCTION("INDEX(SPLIT(A1645, ""/""), 3)"),"روزنامه شریف")</f>
        <v>روزنامه شریف</v>
      </c>
      <c r="V1645" s="1" t="str">
        <f>IFERROR(__xludf.DUMMYFUNCTION("INDEX(SPLIT(A1645, ""/""), 4)"),"#REF!")</f>
        <v>#REF!</v>
      </c>
    </row>
    <row r="1646">
      <c r="A1646" s="1" t="s">
        <v>4070</v>
      </c>
      <c r="B1646" s="1" t="s">
        <v>5087</v>
      </c>
      <c r="C1646" s="1" t="s">
        <v>21</v>
      </c>
      <c r="D1646" s="4" t="s">
        <v>5088</v>
      </c>
      <c r="E1646" s="1" t="s">
        <v>4072</v>
      </c>
      <c r="F1646" s="1" t="s">
        <v>4487</v>
      </c>
      <c r="G1646" s="1" t="s">
        <v>5060</v>
      </c>
      <c r="H1646" s="1" t="s">
        <v>5089</v>
      </c>
      <c r="I1646" s="1" t="str">
        <f t="shared" si="1"/>
        <v>29</v>
      </c>
      <c r="J1646" s="5"/>
      <c r="K1646" s="1" t="str">
        <f t="shared" si="2"/>
        <v>8</v>
      </c>
      <c r="L1646" s="5"/>
      <c r="M1646" s="2" t="str">
        <f t="shared" si="3"/>
        <v>1386</v>
      </c>
      <c r="N1646" s="1"/>
      <c r="O1646" s="13">
        <v>404.0</v>
      </c>
      <c r="P1646" s="5"/>
      <c r="Q1646" s="5"/>
      <c r="R1646" s="6" t="s">
        <v>5089</v>
      </c>
      <c r="S1646" s="5"/>
      <c r="T1646" s="1" t="str">
        <f>IFERROR(__xludf.DUMMYFUNCTION("INDEX(SPLIT(A1646, ""/""), 2)"),"کانون‌های فرهنگی هنری")</f>
        <v>کانون‌های فرهنگی هنری</v>
      </c>
      <c r="U1646" s="1" t="str">
        <f>IFERROR(__xludf.DUMMYFUNCTION("INDEX(SPLIT(A1646, ""/""), 3)"),"روزنامه شریف")</f>
        <v>روزنامه شریف</v>
      </c>
      <c r="V1646" s="1" t="str">
        <f>IFERROR(__xludf.DUMMYFUNCTION("INDEX(SPLIT(A1646, ""/""), 4)"),"#REF!")</f>
        <v>#REF!</v>
      </c>
    </row>
    <row r="1647">
      <c r="A1647" s="1" t="s">
        <v>4070</v>
      </c>
      <c r="B1647" s="1" t="s">
        <v>5090</v>
      </c>
      <c r="C1647" s="1" t="s">
        <v>21</v>
      </c>
      <c r="D1647" s="4" t="s">
        <v>5091</v>
      </c>
      <c r="E1647" s="1" t="s">
        <v>4072</v>
      </c>
      <c r="F1647" s="1" t="s">
        <v>4487</v>
      </c>
      <c r="G1647" s="1" t="s">
        <v>5060</v>
      </c>
      <c r="H1647" s="7" t="s">
        <v>5092</v>
      </c>
      <c r="I1647" s="1" t="str">
        <f t="shared" si="1"/>
        <v>3</v>
      </c>
      <c r="J1647" s="5"/>
      <c r="K1647" s="1" t="str">
        <f t="shared" si="2"/>
        <v>9</v>
      </c>
      <c r="L1647" s="5"/>
      <c r="M1647" s="2" t="str">
        <f t="shared" si="3"/>
        <v>1386</v>
      </c>
      <c r="N1647" s="1"/>
      <c r="O1647" s="13">
        <v>405.0</v>
      </c>
      <c r="P1647" s="5"/>
      <c r="Q1647" s="5"/>
      <c r="R1647" s="8" t="s">
        <v>5092</v>
      </c>
      <c r="S1647" s="5"/>
      <c r="T1647" s="1" t="str">
        <f>IFERROR(__xludf.DUMMYFUNCTION("INDEX(SPLIT(A1647, ""/""), 2)"),"کانون‌های فرهنگی هنری")</f>
        <v>کانون‌های فرهنگی هنری</v>
      </c>
      <c r="U1647" s="1" t="str">
        <f>IFERROR(__xludf.DUMMYFUNCTION("INDEX(SPLIT(A1647, ""/""), 3)"),"روزنامه شریف")</f>
        <v>روزنامه شریف</v>
      </c>
      <c r="V1647" s="1" t="str">
        <f>IFERROR(__xludf.DUMMYFUNCTION("INDEX(SPLIT(A1647, ""/""), 4)"),"#REF!")</f>
        <v>#REF!</v>
      </c>
    </row>
    <row r="1648">
      <c r="A1648" s="1" t="s">
        <v>4070</v>
      </c>
      <c r="B1648" s="1" t="s">
        <v>5093</v>
      </c>
      <c r="C1648" s="1" t="s">
        <v>21</v>
      </c>
      <c r="D1648" s="4" t="s">
        <v>5094</v>
      </c>
      <c r="E1648" s="1" t="s">
        <v>4072</v>
      </c>
      <c r="F1648" s="1" t="s">
        <v>4487</v>
      </c>
      <c r="G1648" s="1" t="s">
        <v>5060</v>
      </c>
      <c r="H1648" s="7" t="s">
        <v>5095</v>
      </c>
      <c r="I1648" s="1" t="str">
        <f t="shared" si="1"/>
        <v>6</v>
      </c>
      <c r="J1648" s="5"/>
      <c r="K1648" s="1" t="str">
        <f t="shared" si="2"/>
        <v>9</v>
      </c>
      <c r="L1648" s="5"/>
      <c r="M1648" s="2" t="str">
        <f t="shared" si="3"/>
        <v>1386</v>
      </c>
      <c r="N1648" s="1"/>
      <c r="O1648" s="13">
        <v>406.0</v>
      </c>
      <c r="P1648" s="5"/>
      <c r="Q1648" s="5"/>
      <c r="R1648" s="8" t="s">
        <v>5095</v>
      </c>
      <c r="S1648" s="5"/>
      <c r="T1648" s="1" t="str">
        <f>IFERROR(__xludf.DUMMYFUNCTION("INDEX(SPLIT(A1648, ""/""), 2)"),"کانون‌های فرهنگی هنری")</f>
        <v>کانون‌های فرهنگی هنری</v>
      </c>
      <c r="U1648" s="1" t="str">
        <f>IFERROR(__xludf.DUMMYFUNCTION("INDEX(SPLIT(A1648, ""/""), 3)"),"روزنامه شریف")</f>
        <v>روزنامه شریف</v>
      </c>
      <c r="V1648" s="1" t="str">
        <f>IFERROR(__xludf.DUMMYFUNCTION("INDEX(SPLIT(A1648, ""/""), 4)"),"#REF!")</f>
        <v>#REF!</v>
      </c>
    </row>
    <row r="1649">
      <c r="A1649" s="1" t="s">
        <v>4070</v>
      </c>
      <c r="B1649" s="1" t="s">
        <v>5096</v>
      </c>
      <c r="C1649" s="1" t="s">
        <v>21</v>
      </c>
      <c r="D1649" s="4" t="s">
        <v>5097</v>
      </c>
      <c r="E1649" s="1" t="s">
        <v>4072</v>
      </c>
      <c r="F1649" s="1" t="s">
        <v>4487</v>
      </c>
      <c r="G1649" s="1" t="s">
        <v>5060</v>
      </c>
      <c r="H1649" s="7" t="s">
        <v>5098</v>
      </c>
      <c r="I1649" s="1" t="str">
        <f t="shared" si="1"/>
        <v>10</v>
      </c>
      <c r="J1649" s="5"/>
      <c r="K1649" s="1" t="str">
        <f t="shared" si="2"/>
        <v>9</v>
      </c>
      <c r="L1649" s="5"/>
      <c r="M1649" s="2" t="str">
        <f t="shared" si="3"/>
        <v>1386</v>
      </c>
      <c r="N1649" s="1"/>
      <c r="O1649" s="13">
        <v>407.0</v>
      </c>
      <c r="P1649" s="5"/>
      <c r="Q1649" s="5"/>
      <c r="R1649" s="8" t="s">
        <v>5098</v>
      </c>
      <c r="S1649" s="5"/>
      <c r="T1649" s="1" t="str">
        <f>IFERROR(__xludf.DUMMYFUNCTION("INDEX(SPLIT(A1649, ""/""), 2)"),"کانون‌های فرهنگی هنری")</f>
        <v>کانون‌های فرهنگی هنری</v>
      </c>
      <c r="U1649" s="1" t="str">
        <f>IFERROR(__xludf.DUMMYFUNCTION("INDEX(SPLIT(A1649, ""/""), 3)"),"روزنامه شریف")</f>
        <v>روزنامه شریف</v>
      </c>
      <c r="V1649" s="1" t="str">
        <f>IFERROR(__xludf.DUMMYFUNCTION("INDEX(SPLIT(A1649, ""/""), 4)"),"#REF!")</f>
        <v>#REF!</v>
      </c>
    </row>
    <row r="1650">
      <c r="A1650" s="1" t="s">
        <v>4070</v>
      </c>
      <c r="B1650" s="1" t="s">
        <v>5099</v>
      </c>
      <c r="C1650" s="1" t="s">
        <v>21</v>
      </c>
      <c r="D1650" s="4" t="s">
        <v>5100</v>
      </c>
      <c r="E1650" s="1" t="s">
        <v>4072</v>
      </c>
      <c r="F1650" s="1" t="s">
        <v>4487</v>
      </c>
      <c r="G1650" s="1" t="s">
        <v>5060</v>
      </c>
      <c r="H1650" s="1" t="s">
        <v>5101</v>
      </c>
      <c r="I1650" s="1" t="str">
        <f t="shared" si="1"/>
        <v>13</v>
      </c>
      <c r="J1650" s="5"/>
      <c r="K1650" s="1" t="str">
        <f t="shared" si="2"/>
        <v>9</v>
      </c>
      <c r="L1650" s="5"/>
      <c r="M1650" s="2" t="str">
        <f t="shared" si="3"/>
        <v>1386</v>
      </c>
      <c r="N1650" s="1"/>
      <c r="O1650" s="13">
        <v>408.0</v>
      </c>
      <c r="P1650" s="5"/>
      <c r="Q1650" s="5"/>
      <c r="R1650" s="6" t="s">
        <v>5101</v>
      </c>
      <c r="S1650" s="5"/>
      <c r="T1650" s="1" t="str">
        <f>IFERROR(__xludf.DUMMYFUNCTION("INDEX(SPLIT(A1650, ""/""), 2)"),"کانون‌های فرهنگی هنری")</f>
        <v>کانون‌های فرهنگی هنری</v>
      </c>
      <c r="U1650" s="1" t="str">
        <f>IFERROR(__xludf.DUMMYFUNCTION("INDEX(SPLIT(A1650, ""/""), 3)"),"روزنامه شریف")</f>
        <v>روزنامه شریف</v>
      </c>
      <c r="V1650" s="1" t="str">
        <f>IFERROR(__xludf.DUMMYFUNCTION("INDEX(SPLIT(A1650, ""/""), 4)"),"#REF!")</f>
        <v>#REF!</v>
      </c>
    </row>
    <row r="1651">
      <c r="A1651" s="1" t="s">
        <v>4070</v>
      </c>
      <c r="B1651" s="1" t="s">
        <v>5102</v>
      </c>
      <c r="C1651" s="1" t="s">
        <v>21</v>
      </c>
      <c r="D1651" s="4" t="s">
        <v>5103</v>
      </c>
      <c r="E1651" s="1" t="s">
        <v>4072</v>
      </c>
      <c r="F1651" s="1" t="s">
        <v>4487</v>
      </c>
      <c r="G1651" s="1" t="s">
        <v>5060</v>
      </c>
      <c r="H1651" s="1" t="s">
        <v>5104</v>
      </c>
      <c r="I1651" s="1" t="str">
        <f t="shared" si="1"/>
        <v>17</v>
      </c>
      <c r="J1651" s="5"/>
      <c r="K1651" s="1" t="str">
        <f t="shared" si="2"/>
        <v>9</v>
      </c>
      <c r="L1651" s="5"/>
      <c r="M1651" s="2" t="str">
        <f t="shared" si="3"/>
        <v>1386</v>
      </c>
      <c r="N1651" s="1"/>
      <c r="O1651" s="13">
        <v>409.0</v>
      </c>
      <c r="P1651" s="5"/>
      <c r="Q1651" s="5"/>
      <c r="R1651" s="6" t="s">
        <v>5104</v>
      </c>
      <c r="S1651" s="5"/>
      <c r="T1651" s="1" t="str">
        <f>IFERROR(__xludf.DUMMYFUNCTION("INDEX(SPLIT(A1651, ""/""), 2)"),"کانون‌های فرهنگی هنری")</f>
        <v>کانون‌های فرهنگی هنری</v>
      </c>
      <c r="U1651" s="1" t="str">
        <f>IFERROR(__xludf.DUMMYFUNCTION("INDEX(SPLIT(A1651, ""/""), 3)"),"روزنامه شریف")</f>
        <v>روزنامه شریف</v>
      </c>
      <c r="V1651" s="1" t="str">
        <f>IFERROR(__xludf.DUMMYFUNCTION("INDEX(SPLIT(A1651, ""/""), 4)"),"#REF!")</f>
        <v>#REF!</v>
      </c>
    </row>
    <row r="1652">
      <c r="A1652" s="1" t="s">
        <v>4070</v>
      </c>
      <c r="B1652" s="1" t="s">
        <v>5105</v>
      </c>
      <c r="C1652" s="1" t="s">
        <v>21</v>
      </c>
      <c r="D1652" s="4" t="s">
        <v>5106</v>
      </c>
      <c r="E1652" s="1" t="s">
        <v>4072</v>
      </c>
      <c r="F1652" s="1" t="s">
        <v>4487</v>
      </c>
      <c r="G1652" s="1" t="s">
        <v>5060</v>
      </c>
      <c r="H1652" s="1" t="s">
        <v>5107</v>
      </c>
      <c r="I1652" s="1" t="str">
        <f t="shared" si="1"/>
        <v>20</v>
      </c>
      <c r="J1652" s="5"/>
      <c r="K1652" s="1" t="str">
        <f t="shared" si="2"/>
        <v>9</v>
      </c>
      <c r="L1652" s="5"/>
      <c r="M1652" s="2" t="str">
        <f t="shared" si="3"/>
        <v>1386</v>
      </c>
      <c r="N1652" s="1"/>
      <c r="O1652" s="13">
        <v>410.0</v>
      </c>
      <c r="P1652" s="5"/>
      <c r="Q1652" s="5"/>
      <c r="R1652" s="6" t="s">
        <v>5107</v>
      </c>
      <c r="S1652" s="5"/>
      <c r="T1652" s="1" t="str">
        <f>IFERROR(__xludf.DUMMYFUNCTION("INDEX(SPLIT(A1652, ""/""), 2)"),"کانون‌های فرهنگی هنری")</f>
        <v>کانون‌های فرهنگی هنری</v>
      </c>
      <c r="U1652" s="1" t="str">
        <f>IFERROR(__xludf.DUMMYFUNCTION("INDEX(SPLIT(A1652, ""/""), 3)"),"روزنامه شریف")</f>
        <v>روزنامه شریف</v>
      </c>
      <c r="V1652" s="1" t="str">
        <f>IFERROR(__xludf.DUMMYFUNCTION("INDEX(SPLIT(A1652, ""/""), 4)"),"#REF!")</f>
        <v>#REF!</v>
      </c>
    </row>
    <row r="1653">
      <c r="A1653" s="1" t="s">
        <v>4070</v>
      </c>
      <c r="B1653" s="1" t="s">
        <v>5108</v>
      </c>
      <c r="C1653" s="1" t="s">
        <v>21</v>
      </c>
      <c r="D1653" s="4" t="s">
        <v>5109</v>
      </c>
      <c r="E1653" s="1" t="s">
        <v>4072</v>
      </c>
      <c r="F1653" s="1" t="s">
        <v>4487</v>
      </c>
      <c r="G1653" s="1" t="s">
        <v>5060</v>
      </c>
      <c r="H1653" s="1" t="s">
        <v>5110</v>
      </c>
      <c r="I1653" s="1" t="str">
        <f t="shared" si="1"/>
        <v>24</v>
      </c>
      <c r="J1653" s="5"/>
      <c r="K1653" s="1" t="str">
        <f t="shared" si="2"/>
        <v>9</v>
      </c>
      <c r="L1653" s="5"/>
      <c r="M1653" s="2" t="str">
        <f t="shared" si="3"/>
        <v>1386</v>
      </c>
      <c r="N1653" s="1"/>
      <c r="O1653" s="13">
        <v>411.0</v>
      </c>
      <c r="P1653" s="5"/>
      <c r="Q1653" s="5"/>
      <c r="R1653" s="6" t="s">
        <v>5110</v>
      </c>
      <c r="S1653" s="5"/>
      <c r="T1653" s="1" t="str">
        <f>IFERROR(__xludf.DUMMYFUNCTION("INDEX(SPLIT(A1653, ""/""), 2)"),"کانون‌های فرهنگی هنری")</f>
        <v>کانون‌های فرهنگی هنری</v>
      </c>
      <c r="U1653" s="1" t="str">
        <f>IFERROR(__xludf.DUMMYFUNCTION("INDEX(SPLIT(A1653, ""/""), 3)"),"روزنامه شریف")</f>
        <v>روزنامه شریف</v>
      </c>
      <c r="V1653" s="1" t="str">
        <f>IFERROR(__xludf.DUMMYFUNCTION("INDEX(SPLIT(A1653, ""/""), 4)"),"#REF!")</f>
        <v>#REF!</v>
      </c>
    </row>
    <row r="1654">
      <c r="A1654" s="1" t="s">
        <v>4070</v>
      </c>
      <c r="B1654" s="1" t="s">
        <v>5111</v>
      </c>
      <c r="C1654" s="1" t="s">
        <v>21</v>
      </c>
      <c r="D1654" s="4" t="s">
        <v>5112</v>
      </c>
      <c r="E1654" s="1" t="s">
        <v>4072</v>
      </c>
      <c r="F1654" s="1" t="s">
        <v>4487</v>
      </c>
      <c r="G1654" s="1" t="s">
        <v>5060</v>
      </c>
      <c r="H1654" s="1" t="s">
        <v>5113</v>
      </c>
      <c r="I1654" s="1" t="str">
        <f t="shared" si="1"/>
        <v>27</v>
      </c>
      <c r="J1654" s="5"/>
      <c r="K1654" s="1" t="str">
        <f t="shared" si="2"/>
        <v>9</v>
      </c>
      <c r="L1654" s="5"/>
      <c r="M1654" s="2" t="str">
        <f t="shared" si="3"/>
        <v>1386</v>
      </c>
      <c r="N1654" s="1"/>
      <c r="O1654" s="13">
        <v>412.0</v>
      </c>
      <c r="P1654" s="5"/>
      <c r="Q1654" s="5"/>
      <c r="R1654" s="6" t="s">
        <v>5113</v>
      </c>
      <c r="S1654" s="5"/>
      <c r="T1654" s="1" t="str">
        <f>IFERROR(__xludf.DUMMYFUNCTION("INDEX(SPLIT(A1654, ""/""), 2)"),"کانون‌های فرهنگی هنری")</f>
        <v>کانون‌های فرهنگی هنری</v>
      </c>
      <c r="U1654" s="1" t="str">
        <f>IFERROR(__xludf.DUMMYFUNCTION("INDEX(SPLIT(A1654, ""/""), 3)"),"روزنامه شریف")</f>
        <v>روزنامه شریف</v>
      </c>
      <c r="V1654" s="1" t="str">
        <f>IFERROR(__xludf.DUMMYFUNCTION("INDEX(SPLIT(A1654, ""/""), 4)"),"#REF!")</f>
        <v>#REF!</v>
      </c>
    </row>
    <row r="1655">
      <c r="A1655" s="1" t="s">
        <v>4070</v>
      </c>
      <c r="B1655" s="1" t="s">
        <v>5114</v>
      </c>
      <c r="C1655" s="1" t="s">
        <v>21</v>
      </c>
      <c r="D1655" s="4" t="s">
        <v>5115</v>
      </c>
      <c r="E1655" s="1" t="s">
        <v>4072</v>
      </c>
      <c r="F1655" s="1" t="s">
        <v>4487</v>
      </c>
      <c r="G1655" s="1" t="s">
        <v>5060</v>
      </c>
      <c r="H1655" s="7" t="s">
        <v>5116</v>
      </c>
      <c r="I1655" s="1" t="str">
        <f t="shared" si="1"/>
        <v>1</v>
      </c>
      <c r="J1655" s="5"/>
      <c r="K1655" s="1" t="str">
        <f t="shared" si="2"/>
        <v>10</v>
      </c>
      <c r="L1655" s="5"/>
      <c r="M1655" s="2" t="str">
        <f t="shared" si="3"/>
        <v>1386</v>
      </c>
      <c r="N1655" s="1"/>
      <c r="O1655" s="13">
        <v>413.0</v>
      </c>
      <c r="P1655" s="5"/>
      <c r="Q1655" s="5"/>
      <c r="R1655" s="8" t="s">
        <v>5116</v>
      </c>
      <c r="S1655" s="5"/>
      <c r="T1655" s="1" t="str">
        <f>IFERROR(__xludf.DUMMYFUNCTION("INDEX(SPLIT(A1655, ""/""), 2)"),"کانون‌های فرهنگی هنری")</f>
        <v>کانون‌های فرهنگی هنری</v>
      </c>
      <c r="U1655" s="1" t="str">
        <f>IFERROR(__xludf.DUMMYFUNCTION("INDEX(SPLIT(A1655, ""/""), 3)"),"روزنامه شریف")</f>
        <v>روزنامه شریف</v>
      </c>
      <c r="V1655" s="1" t="str">
        <f>IFERROR(__xludf.DUMMYFUNCTION("INDEX(SPLIT(A1655, ""/""), 4)"),"#REF!")</f>
        <v>#REF!</v>
      </c>
    </row>
    <row r="1656">
      <c r="A1656" s="1" t="s">
        <v>4070</v>
      </c>
      <c r="B1656" s="1" t="s">
        <v>5117</v>
      </c>
      <c r="C1656" s="1" t="s">
        <v>21</v>
      </c>
      <c r="D1656" s="4" t="s">
        <v>5118</v>
      </c>
      <c r="E1656" s="1" t="s">
        <v>4072</v>
      </c>
      <c r="F1656" s="1" t="s">
        <v>4487</v>
      </c>
      <c r="G1656" s="1" t="s">
        <v>5060</v>
      </c>
      <c r="H1656" s="1" t="s">
        <v>5119</v>
      </c>
      <c r="I1656" s="1" t="str">
        <f t="shared" si="1"/>
        <v>23</v>
      </c>
      <c r="J1656" s="5"/>
      <c r="K1656" s="1" t="str">
        <f t="shared" si="2"/>
        <v>11</v>
      </c>
      <c r="L1656" s="5"/>
      <c r="M1656" s="2" t="str">
        <f t="shared" si="3"/>
        <v>1386</v>
      </c>
      <c r="N1656" s="1"/>
      <c r="O1656" s="13">
        <v>414.0</v>
      </c>
      <c r="P1656" s="5"/>
      <c r="Q1656" s="5"/>
      <c r="R1656" s="6" t="s">
        <v>5119</v>
      </c>
      <c r="S1656" s="5"/>
      <c r="T1656" s="1" t="str">
        <f>IFERROR(__xludf.DUMMYFUNCTION("INDEX(SPLIT(A1656, ""/""), 2)"),"کانون‌های فرهنگی هنری")</f>
        <v>کانون‌های فرهنگی هنری</v>
      </c>
      <c r="U1656" s="1" t="str">
        <f>IFERROR(__xludf.DUMMYFUNCTION("INDEX(SPLIT(A1656, ""/""), 3)"),"روزنامه شریف")</f>
        <v>روزنامه شریف</v>
      </c>
      <c r="V1656" s="1" t="str">
        <f>IFERROR(__xludf.DUMMYFUNCTION("INDEX(SPLIT(A1656, ""/""), 4)"),"#REF!")</f>
        <v>#REF!</v>
      </c>
    </row>
    <row r="1657">
      <c r="A1657" s="1" t="s">
        <v>4070</v>
      </c>
      <c r="B1657" s="1" t="s">
        <v>5120</v>
      </c>
      <c r="C1657" s="1" t="s">
        <v>21</v>
      </c>
      <c r="D1657" s="4" t="s">
        <v>5121</v>
      </c>
      <c r="E1657" s="1" t="s">
        <v>4072</v>
      </c>
      <c r="F1657" s="1" t="s">
        <v>4487</v>
      </c>
      <c r="G1657" s="1" t="s">
        <v>5060</v>
      </c>
      <c r="H1657" s="1" t="s">
        <v>5122</v>
      </c>
      <c r="I1657" s="1" t="str">
        <f t="shared" si="1"/>
        <v>27</v>
      </c>
      <c r="J1657" s="5"/>
      <c r="K1657" s="1" t="str">
        <f t="shared" si="2"/>
        <v>11</v>
      </c>
      <c r="L1657" s="5"/>
      <c r="M1657" s="2" t="str">
        <f t="shared" si="3"/>
        <v>1386</v>
      </c>
      <c r="N1657" s="1"/>
      <c r="O1657" s="13">
        <v>415.0</v>
      </c>
      <c r="P1657" s="5"/>
      <c r="Q1657" s="5"/>
      <c r="R1657" s="6" t="s">
        <v>5122</v>
      </c>
      <c r="S1657" s="5"/>
      <c r="T1657" s="1" t="str">
        <f>IFERROR(__xludf.DUMMYFUNCTION("INDEX(SPLIT(A1657, ""/""), 2)"),"کانون‌های فرهنگی هنری")</f>
        <v>کانون‌های فرهنگی هنری</v>
      </c>
      <c r="U1657" s="1" t="str">
        <f>IFERROR(__xludf.DUMMYFUNCTION("INDEX(SPLIT(A1657, ""/""), 3)"),"روزنامه شریف")</f>
        <v>روزنامه شریف</v>
      </c>
      <c r="V1657" s="1" t="str">
        <f>IFERROR(__xludf.DUMMYFUNCTION("INDEX(SPLIT(A1657, ""/""), 4)"),"#REF!")</f>
        <v>#REF!</v>
      </c>
    </row>
    <row r="1658">
      <c r="A1658" s="1" t="s">
        <v>4070</v>
      </c>
      <c r="B1658" s="1" t="s">
        <v>5123</v>
      </c>
      <c r="C1658" s="1" t="s">
        <v>21</v>
      </c>
      <c r="D1658" s="4" t="s">
        <v>5124</v>
      </c>
      <c r="E1658" s="1" t="s">
        <v>4072</v>
      </c>
      <c r="F1658" s="1" t="s">
        <v>4487</v>
      </c>
      <c r="G1658" s="1" t="s">
        <v>5060</v>
      </c>
      <c r="H1658" s="1" t="s">
        <v>5125</v>
      </c>
      <c r="I1658" s="1" t="str">
        <f t="shared" si="1"/>
        <v>30</v>
      </c>
      <c r="J1658" s="5"/>
      <c r="K1658" s="1" t="str">
        <f t="shared" si="2"/>
        <v>11</v>
      </c>
      <c r="L1658" s="5"/>
      <c r="M1658" s="2" t="str">
        <f t="shared" si="3"/>
        <v>1386</v>
      </c>
      <c r="N1658" s="1"/>
      <c r="O1658" s="13">
        <v>416.0</v>
      </c>
      <c r="P1658" s="5"/>
      <c r="Q1658" s="5"/>
      <c r="R1658" s="6" t="s">
        <v>5125</v>
      </c>
      <c r="S1658" s="5"/>
      <c r="T1658" s="1" t="str">
        <f>IFERROR(__xludf.DUMMYFUNCTION("INDEX(SPLIT(A1658, ""/""), 2)"),"کانون‌های فرهنگی هنری")</f>
        <v>کانون‌های فرهنگی هنری</v>
      </c>
      <c r="U1658" s="1" t="str">
        <f>IFERROR(__xludf.DUMMYFUNCTION("INDEX(SPLIT(A1658, ""/""), 3)"),"روزنامه شریف")</f>
        <v>روزنامه شریف</v>
      </c>
      <c r="V1658" s="1" t="str">
        <f>IFERROR(__xludf.DUMMYFUNCTION("INDEX(SPLIT(A1658, ""/""), 4)"),"#REF!")</f>
        <v>#REF!</v>
      </c>
    </row>
    <row r="1659">
      <c r="A1659" s="1" t="s">
        <v>4070</v>
      </c>
      <c r="B1659" s="1" t="s">
        <v>5126</v>
      </c>
      <c r="C1659" s="1" t="s">
        <v>21</v>
      </c>
      <c r="D1659" s="4" t="s">
        <v>5127</v>
      </c>
      <c r="E1659" s="1" t="s">
        <v>4072</v>
      </c>
      <c r="F1659" s="1" t="s">
        <v>4487</v>
      </c>
      <c r="G1659" s="1" t="s">
        <v>5060</v>
      </c>
      <c r="H1659" s="7" t="s">
        <v>5128</v>
      </c>
      <c r="I1659" s="1" t="str">
        <f t="shared" si="1"/>
        <v>4</v>
      </c>
      <c r="J1659" s="5"/>
      <c r="K1659" s="1" t="str">
        <f t="shared" si="2"/>
        <v>12</v>
      </c>
      <c r="L1659" s="5"/>
      <c r="M1659" s="2" t="str">
        <f t="shared" si="3"/>
        <v>1386</v>
      </c>
      <c r="N1659" s="1"/>
      <c r="O1659" s="13">
        <v>417.0</v>
      </c>
      <c r="P1659" s="5"/>
      <c r="Q1659" s="5"/>
      <c r="R1659" s="8" t="s">
        <v>5128</v>
      </c>
      <c r="S1659" s="5"/>
      <c r="T1659" s="1" t="str">
        <f>IFERROR(__xludf.DUMMYFUNCTION("INDEX(SPLIT(A1659, ""/""), 2)"),"کانون‌های فرهنگی هنری")</f>
        <v>کانون‌های فرهنگی هنری</v>
      </c>
      <c r="U1659" s="1" t="str">
        <f>IFERROR(__xludf.DUMMYFUNCTION("INDEX(SPLIT(A1659, ""/""), 3)"),"روزنامه شریف")</f>
        <v>روزنامه شریف</v>
      </c>
      <c r="V1659" s="1" t="str">
        <f>IFERROR(__xludf.DUMMYFUNCTION("INDEX(SPLIT(A1659, ""/""), 4)"),"#REF!")</f>
        <v>#REF!</v>
      </c>
    </row>
    <row r="1660">
      <c r="A1660" s="1" t="s">
        <v>4070</v>
      </c>
      <c r="B1660" s="1" t="s">
        <v>5129</v>
      </c>
      <c r="C1660" s="1" t="s">
        <v>21</v>
      </c>
      <c r="D1660" s="4" t="s">
        <v>5130</v>
      </c>
      <c r="E1660" s="1" t="s">
        <v>4072</v>
      </c>
      <c r="F1660" s="1" t="s">
        <v>4487</v>
      </c>
      <c r="G1660" s="1" t="s">
        <v>5060</v>
      </c>
      <c r="H1660" s="7" t="s">
        <v>5131</v>
      </c>
      <c r="I1660" s="1" t="str">
        <f t="shared" si="1"/>
        <v>8</v>
      </c>
      <c r="J1660" s="5"/>
      <c r="K1660" s="1" t="str">
        <f t="shared" si="2"/>
        <v>12</v>
      </c>
      <c r="L1660" s="5"/>
      <c r="M1660" s="2" t="str">
        <f t="shared" si="3"/>
        <v>1386</v>
      </c>
      <c r="N1660" s="1"/>
      <c r="O1660" s="13">
        <v>418.0</v>
      </c>
      <c r="P1660" s="5"/>
      <c r="Q1660" s="5"/>
      <c r="R1660" s="8" t="s">
        <v>5131</v>
      </c>
      <c r="S1660" s="5"/>
      <c r="T1660" s="1" t="str">
        <f>IFERROR(__xludf.DUMMYFUNCTION("INDEX(SPLIT(A1660, ""/""), 2)"),"کانون‌های فرهنگی هنری")</f>
        <v>کانون‌های فرهنگی هنری</v>
      </c>
      <c r="U1660" s="1" t="str">
        <f>IFERROR(__xludf.DUMMYFUNCTION("INDEX(SPLIT(A1660, ""/""), 3)"),"روزنامه شریف")</f>
        <v>روزنامه شریف</v>
      </c>
      <c r="V1660" s="1" t="str">
        <f>IFERROR(__xludf.DUMMYFUNCTION("INDEX(SPLIT(A1660, ""/""), 4)"),"#REF!")</f>
        <v>#REF!</v>
      </c>
    </row>
    <row r="1661">
      <c r="A1661" s="1" t="s">
        <v>4070</v>
      </c>
      <c r="B1661" s="1" t="s">
        <v>5132</v>
      </c>
      <c r="C1661" s="1" t="s">
        <v>21</v>
      </c>
      <c r="D1661" s="4" t="s">
        <v>5133</v>
      </c>
      <c r="E1661" s="1" t="s">
        <v>4072</v>
      </c>
      <c r="F1661" s="1" t="s">
        <v>4487</v>
      </c>
      <c r="G1661" s="1" t="s">
        <v>5060</v>
      </c>
      <c r="H1661" s="7" t="s">
        <v>5134</v>
      </c>
      <c r="I1661" s="1" t="str">
        <f t="shared" si="1"/>
        <v>11</v>
      </c>
      <c r="J1661" s="5"/>
      <c r="K1661" s="1" t="str">
        <f t="shared" si="2"/>
        <v>12</v>
      </c>
      <c r="L1661" s="5"/>
      <c r="M1661" s="2" t="str">
        <f t="shared" si="3"/>
        <v>1386</v>
      </c>
      <c r="N1661" s="1"/>
      <c r="O1661" s="13">
        <v>419.0</v>
      </c>
      <c r="P1661" s="5"/>
      <c r="Q1661" s="5"/>
      <c r="R1661" s="8" t="s">
        <v>5134</v>
      </c>
      <c r="S1661" s="5"/>
      <c r="T1661" s="1" t="str">
        <f>IFERROR(__xludf.DUMMYFUNCTION("INDEX(SPLIT(A1661, ""/""), 2)"),"کانون‌های فرهنگی هنری")</f>
        <v>کانون‌های فرهنگی هنری</v>
      </c>
      <c r="U1661" s="1" t="str">
        <f>IFERROR(__xludf.DUMMYFUNCTION("INDEX(SPLIT(A1661, ""/""), 3)"),"روزنامه شریف")</f>
        <v>روزنامه شریف</v>
      </c>
      <c r="V1661" s="1" t="str">
        <f>IFERROR(__xludf.DUMMYFUNCTION("INDEX(SPLIT(A1661, ""/""), 4)"),"#REF!")</f>
        <v>#REF!</v>
      </c>
    </row>
    <row r="1662">
      <c r="A1662" s="1" t="s">
        <v>4070</v>
      </c>
      <c r="B1662" s="1" t="s">
        <v>5135</v>
      </c>
      <c r="C1662" s="1" t="s">
        <v>21</v>
      </c>
      <c r="D1662" s="4" t="s">
        <v>5136</v>
      </c>
      <c r="E1662" s="1" t="s">
        <v>4072</v>
      </c>
      <c r="F1662" s="1" t="s">
        <v>4487</v>
      </c>
      <c r="G1662" s="1" t="s">
        <v>5060</v>
      </c>
      <c r="H1662" s="1" t="s">
        <v>5137</v>
      </c>
      <c r="I1662" s="1" t="str">
        <f t="shared" si="1"/>
        <v>14</v>
      </c>
      <c r="J1662" s="5"/>
      <c r="K1662" s="1" t="str">
        <f t="shared" si="2"/>
        <v>12</v>
      </c>
      <c r="L1662" s="5"/>
      <c r="M1662" s="2" t="str">
        <f t="shared" si="3"/>
        <v>1386</v>
      </c>
      <c r="N1662" s="5"/>
      <c r="O1662" s="13">
        <v>420.0</v>
      </c>
      <c r="P1662" s="5"/>
      <c r="Q1662" s="5"/>
      <c r="R1662" s="6" t="s">
        <v>5137</v>
      </c>
      <c r="S1662" s="5"/>
      <c r="T1662" s="1" t="str">
        <f>IFERROR(__xludf.DUMMYFUNCTION("INDEX(SPLIT(A1662, ""/""), 2)"),"کانون‌های فرهنگی هنری")</f>
        <v>کانون‌های فرهنگی هنری</v>
      </c>
      <c r="U1662" s="1" t="str">
        <f>IFERROR(__xludf.DUMMYFUNCTION("INDEX(SPLIT(A1662, ""/""), 3)"),"روزنامه شریف")</f>
        <v>روزنامه شریف</v>
      </c>
      <c r="V1662" s="1" t="str">
        <f>IFERROR(__xludf.DUMMYFUNCTION("INDEX(SPLIT(A1662, ""/""), 4)"),"#REF!")</f>
        <v>#REF!</v>
      </c>
    </row>
    <row r="1663">
      <c r="A1663" s="1" t="s">
        <v>4070</v>
      </c>
      <c r="B1663" s="1" t="s">
        <v>5138</v>
      </c>
      <c r="C1663" s="1" t="s">
        <v>21</v>
      </c>
      <c r="D1663" s="4" t="s">
        <v>5139</v>
      </c>
      <c r="E1663" s="1" t="s">
        <v>4072</v>
      </c>
      <c r="F1663" s="1" t="s">
        <v>4487</v>
      </c>
      <c r="G1663" s="1" t="s">
        <v>5060</v>
      </c>
      <c r="H1663" s="1" t="s">
        <v>5140</v>
      </c>
      <c r="I1663" s="1" t="str">
        <f t="shared" si="1"/>
        <v>21</v>
      </c>
      <c r="J1663" s="5"/>
      <c r="K1663" s="1" t="str">
        <f t="shared" si="2"/>
        <v>12</v>
      </c>
      <c r="L1663" s="5"/>
      <c r="M1663" s="2" t="str">
        <f t="shared" si="3"/>
        <v>1386</v>
      </c>
      <c r="N1663" s="1"/>
      <c r="O1663" s="13">
        <v>421.0</v>
      </c>
      <c r="P1663" s="5"/>
      <c r="Q1663" s="5"/>
      <c r="R1663" s="6" t="s">
        <v>5140</v>
      </c>
      <c r="S1663" s="5"/>
      <c r="T1663" s="1" t="str">
        <f>IFERROR(__xludf.DUMMYFUNCTION("INDEX(SPLIT(A1663, ""/""), 2)"),"کانون‌های فرهنگی هنری")</f>
        <v>کانون‌های فرهنگی هنری</v>
      </c>
      <c r="U1663" s="1" t="str">
        <f>IFERROR(__xludf.DUMMYFUNCTION("INDEX(SPLIT(A1663, ""/""), 3)"),"روزنامه شریف")</f>
        <v>روزنامه شریف</v>
      </c>
      <c r="V1663" s="1" t="str">
        <f>IFERROR(__xludf.DUMMYFUNCTION("INDEX(SPLIT(A1663, ""/""), 4)"),"#REF!")</f>
        <v>#REF!</v>
      </c>
    </row>
    <row r="1664">
      <c r="A1664" s="1" t="s">
        <v>4070</v>
      </c>
      <c r="B1664" s="1" t="s">
        <v>5141</v>
      </c>
      <c r="C1664" s="1" t="s">
        <v>21</v>
      </c>
      <c r="D1664" s="4" t="s">
        <v>5142</v>
      </c>
      <c r="E1664" s="1" t="s">
        <v>4072</v>
      </c>
      <c r="F1664" s="1" t="s">
        <v>4487</v>
      </c>
      <c r="G1664" s="1" t="s">
        <v>5060</v>
      </c>
      <c r="H1664" s="1" t="s">
        <v>5143</v>
      </c>
      <c r="I1664" s="1" t="str">
        <f t="shared" si="1"/>
        <v>20</v>
      </c>
      <c r="J1664" s="5"/>
      <c r="K1664" s="1" t="str">
        <f t="shared" si="2"/>
        <v>1</v>
      </c>
      <c r="L1664" s="5"/>
      <c r="M1664" s="2" t="str">
        <f t="shared" si="3"/>
        <v>1387</v>
      </c>
      <c r="N1664" s="1"/>
      <c r="O1664" s="13">
        <v>422.0</v>
      </c>
      <c r="P1664" s="5"/>
      <c r="Q1664" s="5"/>
      <c r="R1664" s="6" t="s">
        <v>5143</v>
      </c>
      <c r="S1664" s="5"/>
      <c r="T1664" s="1" t="str">
        <f>IFERROR(__xludf.DUMMYFUNCTION("INDEX(SPLIT(A1664, ""/""), 2)"),"کانون‌های فرهنگی هنری")</f>
        <v>کانون‌های فرهنگی هنری</v>
      </c>
      <c r="U1664" s="1" t="str">
        <f>IFERROR(__xludf.DUMMYFUNCTION("INDEX(SPLIT(A1664, ""/""), 3)"),"روزنامه شریف")</f>
        <v>روزنامه شریف</v>
      </c>
      <c r="V1664" s="1" t="str">
        <f>IFERROR(__xludf.DUMMYFUNCTION("INDEX(SPLIT(A1664, ""/""), 4)"),"#REF!")</f>
        <v>#REF!</v>
      </c>
    </row>
    <row r="1665">
      <c r="A1665" s="1" t="s">
        <v>4070</v>
      </c>
      <c r="B1665" s="1" t="s">
        <v>5144</v>
      </c>
      <c r="C1665" s="1" t="s">
        <v>21</v>
      </c>
      <c r="D1665" s="4" t="s">
        <v>5145</v>
      </c>
      <c r="E1665" s="1" t="s">
        <v>4072</v>
      </c>
      <c r="F1665" s="1" t="s">
        <v>4487</v>
      </c>
      <c r="G1665" s="1" t="s">
        <v>5060</v>
      </c>
      <c r="H1665" s="1" t="s">
        <v>5146</v>
      </c>
      <c r="I1665" s="1" t="str">
        <f t="shared" si="1"/>
        <v>24</v>
      </c>
      <c r="J1665" s="5"/>
      <c r="K1665" s="1" t="str">
        <f t="shared" si="2"/>
        <v>1</v>
      </c>
      <c r="L1665" s="5"/>
      <c r="M1665" s="2" t="str">
        <f t="shared" si="3"/>
        <v>1387</v>
      </c>
      <c r="N1665" s="1"/>
      <c r="O1665" s="13">
        <v>423.0</v>
      </c>
      <c r="P1665" s="5"/>
      <c r="Q1665" s="5"/>
      <c r="R1665" s="6" t="s">
        <v>5146</v>
      </c>
      <c r="S1665" s="5"/>
      <c r="T1665" s="1" t="str">
        <f>IFERROR(__xludf.DUMMYFUNCTION("INDEX(SPLIT(A1665, ""/""), 2)"),"کانون‌های فرهنگی هنری")</f>
        <v>کانون‌های فرهنگی هنری</v>
      </c>
      <c r="U1665" s="1" t="str">
        <f>IFERROR(__xludf.DUMMYFUNCTION("INDEX(SPLIT(A1665, ""/""), 3)"),"روزنامه شریف")</f>
        <v>روزنامه شریف</v>
      </c>
      <c r="V1665" s="1" t="str">
        <f>IFERROR(__xludf.DUMMYFUNCTION("INDEX(SPLIT(A1665, ""/""), 4)"),"#REF!")</f>
        <v>#REF!</v>
      </c>
    </row>
    <row r="1666">
      <c r="A1666" s="1" t="s">
        <v>4070</v>
      </c>
      <c r="B1666" s="1" t="s">
        <v>5147</v>
      </c>
      <c r="C1666" s="1" t="s">
        <v>21</v>
      </c>
      <c r="D1666" s="4" t="s">
        <v>5148</v>
      </c>
      <c r="E1666" s="1" t="s">
        <v>4072</v>
      </c>
      <c r="F1666" s="1" t="s">
        <v>4487</v>
      </c>
      <c r="G1666" s="1" t="s">
        <v>5060</v>
      </c>
      <c r="H1666" s="1" t="s">
        <v>5149</v>
      </c>
      <c r="I1666" s="1" t="str">
        <f t="shared" si="1"/>
        <v>27</v>
      </c>
      <c r="J1666" s="5"/>
      <c r="K1666" s="1" t="str">
        <f t="shared" si="2"/>
        <v>1</v>
      </c>
      <c r="L1666" s="5"/>
      <c r="M1666" s="2" t="str">
        <f t="shared" si="3"/>
        <v>1387</v>
      </c>
      <c r="N1666" s="1"/>
      <c r="O1666" s="13">
        <v>424.0</v>
      </c>
      <c r="P1666" s="5"/>
      <c r="Q1666" s="5"/>
      <c r="R1666" s="6" t="s">
        <v>5149</v>
      </c>
      <c r="S1666" s="5"/>
      <c r="T1666" s="1" t="str">
        <f>IFERROR(__xludf.DUMMYFUNCTION("INDEX(SPLIT(A1666, ""/""), 2)"),"کانون‌های فرهنگی هنری")</f>
        <v>کانون‌های فرهنگی هنری</v>
      </c>
      <c r="U1666" s="1" t="str">
        <f>IFERROR(__xludf.DUMMYFUNCTION("INDEX(SPLIT(A1666, ""/""), 3)"),"روزنامه شریف")</f>
        <v>روزنامه شریف</v>
      </c>
      <c r="V1666" s="1" t="str">
        <f>IFERROR(__xludf.DUMMYFUNCTION("INDEX(SPLIT(A1666, ""/""), 4)"),"#REF!")</f>
        <v>#REF!</v>
      </c>
    </row>
    <row r="1667">
      <c r="A1667" s="1" t="s">
        <v>4070</v>
      </c>
      <c r="B1667" s="1" t="s">
        <v>5150</v>
      </c>
      <c r="C1667" s="1" t="s">
        <v>21</v>
      </c>
      <c r="D1667" s="4" t="s">
        <v>5151</v>
      </c>
      <c r="E1667" s="1" t="s">
        <v>4072</v>
      </c>
      <c r="F1667" s="1" t="s">
        <v>4487</v>
      </c>
      <c r="G1667" s="1" t="s">
        <v>5060</v>
      </c>
      <c r="H1667" s="1" t="s">
        <v>5152</v>
      </c>
      <c r="I1667" s="1" t="str">
        <f t="shared" si="1"/>
        <v>31</v>
      </c>
      <c r="J1667" s="5"/>
      <c r="K1667" s="1" t="str">
        <f t="shared" si="2"/>
        <v>1</v>
      </c>
      <c r="L1667" s="5"/>
      <c r="M1667" s="2" t="str">
        <f t="shared" si="3"/>
        <v>1387</v>
      </c>
      <c r="N1667" s="1"/>
      <c r="O1667" s="13">
        <v>425.0</v>
      </c>
      <c r="P1667" s="5"/>
      <c r="Q1667" s="5"/>
      <c r="R1667" s="6" t="s">
        <v>5152</v>
      </c>
      <c r="S1667" s="5"/>
      <c r="T1667" s="1" t="str">
        <f>IFERROR(__xludf.DUMMYFUNCTION("INDEX(SPLIT(A1667, ""/""), 2)"),"کانون‌های فرهنگی هنری")</f>
        <v>کانون‌های فرهنگی هنری</v>
      </c>
      <c r="U1667" s="1" t="str">
        <f>IFERROR(__xludf.DUMMYFUNCTION("INDEX(SPLIT(A1667, ""/""), 3)"),"روزنامه شریف")</f>
        <v>روزنامه شریف</v>
      </c>
      <c r="V1667" s="1" t="str">
        <f>IFERROR(__xludf.DUMMYFUNCTION("INDEX(SPLIT(A1667, ""/""), 4)"),"#REF!")</f>
        <v>#REF!</v>
      </c>
    </row>
    <row r="1668">
      <c r="A1668" s="1" t="s">
        <v>4070</v>
      </c>
      <c r="B1668" s="1" t="s">
        <v>5153</v>
      </c>
      <c r="C1668" s="1" t="s">
        <v>21</v>
      </c>
      <c r="D1668" s="4" t="s">
        <v>5154</v>
      </c>
      <c r="E1668" s="1" t="s">
        <v>4072</v>
      </c>
      <c r="F1668" s="1" t="s">
        <v>4487</v>
      </c>
      <c r="G1668" s="1" t="s">
        <v>5060</v>
      </c>
      <c r="H1668" s="7" t="s">
        <v>5155</v>
      </c>
      <c r="I1668" s="1" t="str">
        <f t="shared" si="1"/>
        <v>3</v>
      </c>
      <c r="J1668" s="5"/>
      <c r="K1668" s="1" t="str">
        <f t="shared" si="2"/>
        <v>2</v>
      </c>
      <c r="L1668" s="5"/>
      <c r="M1668" s="2" t="str">
        <f t="shared" si="3"/>
        <v>1387</v>
      </c>
      <c r="N1668" s="1"/>
      <c r="O1668" s="13">
        <v>426.0</v>
      </c>
      <c r="P1668" s="5"/>
      <c r="Q1668" s="5"/>
      <c r="R1668" s="8" t="s">
        <v>5155</v>
      </c>
      <c r="S1668" s="5"/>
      <c r="T1668" s="1" t="str">
        <f>IFERROR(__xludf.DUMMYFUNCTION("INDEX(SPLIT(A1668, ""/""), 2)"),"کانون‌های فرهنگی هنری")</f>
        <v>کانون‌های فرهنگی هنری</v>
      </c>
      <c r="U1668" s="1" t="str">
        <f>IFERROR(__xludf.DUMMYFUNCTION("INDEX(SPLIT(A1668, ""/""), 3)"),"روزنامه شریف")</f>
        <v>روزنامه شریف</v>
      </c>
      <c r="V1668" s="1" t="str">
        <f>IFERROR(__xludf.DUMMYFUNCTION("INDEX(SPLIT(A1668, ""/""), 4)"),"#REF!")</f>
        <v>#REF!</v>
      </c>
    </row>
    <row r="1669">
      <c r="A1669" s="1" t="s">
        <v>4070</v>
      </c>
      <c r="B1669" s="1" t="s">
        <v>5156</v>
      </c>
      <c r="C1669" s="1" t="s">
        <v>21</v>
      </c>
      <c r="D1669" s="4" t="s">
        <v>5157</v>
      </c>
      <c r="E1669" s="1" t="s">
        <v>4072</v>
      </c>
      <c r="F1669" s="1" t="s">
        <v>4487</v>
      </c>
      <c r="G1669" s="1" t="s">
        <v>5060</v>
      </c>
      <c r="H1669" s="7" t="s">
        <v>5158</v>
      </c>
      <c r="I1669" s="1" t="str">
        <f t="shared" si="1"/>
        <v>7</v>
      </c>
      <c r="J1669" s="5"/>
      <c r="K1669" s="1" t="str">
        <f t="shared" si="2"/>
        <v>2</v>
      </c>
      <c r="L1669" s="5"/>
      <c r="M1669" s="2" t="str">
        <f t="shared" si="3"/>
        <v>1387</v>
      </c>
      <c r="N1669" s="1"/>
      <c r="O1669" s="13">
        <v>427.0</v>
      </c>
      <c r="P1669" s="5"/>
      <c r="Q1669" s="5"/>
      <c r="R1669" s="8" t="s">
        <v>5158</v>
      </c>
      <c r="S1669" s="5"/>
      <c r="T1669" s="1" t="str">
        <f>IFERROR(__xludf.DUMMYFUNCTION("INDEX(SPLIT(A1669, ""/""), 2)"),"کانون‌های فرهنگی هنری")</f>
        <v>کانون‌های فرهنگی هنری</v>
      </c>
      <c r="U1669" s="1" t="str">
        <f>IFERROR(__xludf.DUMMYFUNCTION("INDEX(SPLIT(A1669, ""/""), 3)"),"روزنامه شریف")</f>
        <v>روزنامه شریف</v>
      </c>
      <c r="V1669" s="1" t="str">
        <f>IFERROR(__xludf.DUMMYFUNCTION("INDEX(SPLIT(A1669, ""/""), 4)"),"#REF!")</f>
        <v>#REF!</v>
      </c>
    </row>
    <row r="1670">
      <c r="A1670" s="1" t="s">
        <v>4070</v>
      </c>
      <c r="B1670" s="1" t="s">
        <v>5159</v>
      </c>
      <c r="C1670" s="1" t="s">
        <v>21</v>
      </c>
      <c r="D1670" s="4" t="s">
        <v>5160</v>
      </c>
      <c r="E1670" s="1" t="s">
        <v>4072</v>
      </c>
      <c r="F1670" s="1" t="s">
        <v>4487</v>
      </c>
      <c r="G1670" s="1" t="s">
        <v>5060</v>
      </c>
      <c r="H1670" s="7" t="s">
        <v>5161</v>
      </c>
      <c r="I1670" s="1" t="str">
        <f t="shared" si="1"/>
        <v>10</v>
      </c>
      <c r="J1670" s="5"/>
      <c r="K1670" s="1" t="str">
        <f t="shared" si="2"/>
        <v>2</v>
      </c>
      <c r="L1670" s="5"/>
      <c r="M1670" s="2" t="str">
        <f t="shared" si="3"/>
        <v>1387</v>
      </c>
      <c r="N1670" s="1"/>
      <c r="O1670" s="13">
        <v>428.0</v>
      </c>
      <c r="P1670" s="5"/>
      <c r="Q1670" s="5"/>
      <c r="R1670" s="8" t="s">
        <v>5161</v>
      </c>
      <c r="S1670" s="5"/>
      <c r="T1670" s="1" t="str">
        <f>IFERROR(__xludf.DUMMYFUNCTION("INDEX(SPLIT(A1670, ""/""), 2)"),"کانون‌های فرهنگی هنری")</f>
        <v>کانون‌های فرهنگی هنری</v>
      </c>
      <c r="U1670" s="1" t="str">
        <f>IFERROR(__xludf.DUMMYFUNCTION("INDEX(SPLIT(A1670, ""/""), 3)"),"روزنامه شریف")</f>
        <v>روزنامه شریف</v>
      </c>
      <c r="V1670" s="1" t="str">
        <f>IFERROR(__xludf.DUMMYFUNCTION("INDEX(SPLIT(A1670, ""/""), 4)"),"#REF!")</f>
        <v>#REF!</v>
      </c>
    </row>
    <row r="1671">
      <c r="A1671" s="1" t="s">
        <v>4070</v>
      </c>
      <c r="B1671" s="1" t="s">
        <v>5162</v>
      </c>
      <c r="C1671" s="1" t="s">
        <v>21</v>
      </c>
      <c r="D1671" s="4" t="s">
        <v>5163</v>
      </c>
      <c r="E1671" s="1" t="s">
        <v>4072</v>
      </c>
      <c r="F1671" s="1" t="s">
        <v>4487</v>
      </c>
      <c r="G1671" s="1" t="s">
        <v>5060</v>
      </c>
      <c r="H1671" s="1" t="s">
        <v>5164</v>
      </c>
      <c r="I1671" s="1" t="str">
        <f t="shared" si="1"/>
        <v>14</v>
      </c>
      <c r="J1671" s="5"/>
      <c r="K1671" s="1" t="str">
        <f t="shared" si="2"/>
        <v>2</v>
      </c>
      <c r="L1671" s="5"/>
      <c r="M1671" s="2" t="str">
        <f t="shared" si="3"/>
        <v>1387</v>
      </c>
      <c r="N1671" s="1"/>
      <c r="O1671" s="13">
        <v>429.0</v>
      </c>
      <c r="P1671" s="5"/>
      <c r="Q1671" s="5"/>
      <c r="R1671" s="6" t="s">
        <v>5164</v>
      </c>
      <c r="S1671" s="5"/>
      <c r="T1671" s="1" t="str">
        <f>IFERROR(__xludf.DUMMYFUNCTION("INDEX(SPLIT(A1671, ""/""), 2)"),"کانون‌های فرهنگی هنری")</f>
        <v>کانون‌های فرهنگی هنری</v>
      </c>
      <c r="U1671" s="1" t="str">
        <f>IFERROR(__xludf.DUMMYFUNCTION("INDEX(SPLIT(A1671, ""/""), 3)"),"روزنامه شریف")</f>
        <v>روزنامه شریف</v>
      </c>
      <c r="V1671" s="1" t="str">
        <f>IFERROR(__xludf.DUMMYFUNCTION("INDEX(SPLIT(A1671, ""/""), 4)"),"#REF!")</f>
        <v>#REF!</v>
      </c>
    </row>
    <row r="1672">
      <c r="A1672" s="1" t="s">
        <v>4070</v>
      </c>
      <c r="B1672" s="1" t="s">
        <v>5165</v>
      </c>
      <c r="C1672" s="1" t="s">
        <v>21</v>
      </c>
      <c r="D1672" s="4" t="s">
        <v>5166</v>
      </c>
      <c r="E1672" s="1" t="s">
        <v>4072</v>
      </c>
      <c r="F1672" s="1" t="s">
        <v>4487</v>
      </c>
      <c r="G1672" s="1" t="s">
        <v>5060</v>
      </c>
      <c r="H1672" s="1" t="s">
        <v>5167</v>
      </c>
      <c r="I1672" s="1" t="str">
        <f t="shared" si="1"/>
        <v>17</v>
      </c>
      <c r="J1672" s="5"/>
      <c r="K1672" s="1" t="str">
        <f t="shared" si="2"/>
        <v>2</v>
      </c>
      <c r="L1672" s="5"/>
      <c r="M1672" s="2" t="str">
        <f t="shared" si="3"/>
        <v>1387</v>
      </c>
      <c r="N1672" s="1"/>
      <c r="O1672" s="13">
        <v>430.0</v>
      </c>
      <c r="P1672" s="5"/>
      <c r="Q1672" s="5"/>
      <c r="R1672" s="6" t="s">
        <v>5167</v>
      </c>
      <c r="S1672" s="5"/>
      <c r="T1672" s="1" t="str">
        <f>IFERROR(__xludf.DUMMYFUNCTION("INDEX(SPLIT(A1672, ""/""), 2)"),"کانون‌های فرهنگی هنری")</f>
        <v>کانون‌های فرهنگی هنری</v>
      </c>
      <c r="U1672" s="1" t="str">
        <f>IFERROR(__xludf.DUMMYFUNCTION("INDEX(SPLIT(A1672, ""/""), 3)"),"روزنامه شریف")</f>
        <v>روزنامه شریف</v>
      </c>
      <c r="V1672" s="1" t="str">
        <f>IFERROR(__xludf.DUMMYFUNCTION("INDEX(SPLIT(A1672, ""/""), 4)"),"#REF!")</f>
        <v>#REF!</v>
      </c>
    </row>
    <row r="1673">
      <c r="A1673" s="1" t="s">
        <v>4070</v>
      </c>
      <c r="B1673" s="1" t="s">
        <v>5168</v>
      </c>
      <c r="C1673" s="1" t="s">
        <v>21</v>
      </c>
      <c r="D1673" s="4" t="s">
        <v>5169</v>
      </c>
      <c r="E1673" s="1" t="s">
        <v>4072</v>
      </c>
      <c r="F1673" s="1" t="s">
        <v>4487</v>
      </c>
      <c r="G1673" s="1" t="s">
        <v>5060</v>
      </c>
      <c r="H1673" s="1" t="s">
        <v>5170</v>
      </c>
      <c r="I1673" s="1" t="str">
        <f t="shared" si="1"/>
        <v>21</v>
      </c>
      <c r="J1673" s="5"/>
      <c r="K1673" s="1" t="str">
        <f t="shared" si="2"/>
        <v>2</v>
      </c>
      <c r="L1673" s="5"/>
      <c r="M1673" s="2" t="str">
        <f t="shared" si="3"/>
        <v>1387</v>
      </c>
      <c r="N1673" s="1"/>
      <c r="O1673" s="13">
        <v>431.0</v>
      </c>
      <c r="P1673" s="5"/>
      <c r="Q1673" s="5"/>
      <c r="R1673" s="6" t="s">
        <v>5170</v>
      </c>
      <c r="S1673" s="5"/>
      <c r="T1673" s="1" t="str">
        <f>IFERROR(__xludf.DUMMYFUNCTION("INDEX(SPLIT(A1673, ""/""), 2)"),"کانون‌های فرهنگی هنری")</f>
        <v>کانون‌های فرهنگی هنری</v>
      </c>
      <c r="U1673" s="1" t="str">
        <f>IFERROR(__xludf.DUMMYFUNCTION("INDEX(SPLIT(A1673, ""/""), 3)"),"روزنامه شریف")</f>
        <v>روزنامه شریف</v>
      </c>
      <c r="V1673" s="1" t="str">
        <f>IFERROR(__xludf.DUMMYFUNCTION("INDEX(SPLIT(A1673, ""/""), 4)"),"#REF!")</f>
        <v>#REF!</v>
      </c>
    </row>
    <row r="1674">
      <c r="A1674" s="1" t="s">
        <v>4070</v>
      </c>
      <c r="B1674" s="1" t="s">
        <v>5171</v>
      </c>
      <c r="C1674" s="1" t="s">
        <v>21</v>
      </c>
      <c r="D1674" s="4" t="s">
        <v>5172</v>
      </c>
      <c r="E1674" s="1" t="s">
        <v>4072</v>
      </c>
      <c r="F1674" s="1" t="s">
        <v>4487</v>
      </c>
      <c r="G1674" s="1" t="s">
        <v>5060</v>
      </c>
      <c r="H1674" s="1" t="s">
        <v>5173</v>
      </c>
      <c r="I1674" s="1" t="str">
        <f t="shared" si="1"/>
        <v>24</v>
      </c>
      <c r="J1674" s="5"/>
      <c r="K1674" s="1" t="str">
        <f t="shared" si="2"/>
        <v>2</v>
      </c>
      <c r="L1674" s="5"/>
      <c r="M1674" s="2" t="str">
        <f t="shared" si="3"/>
        <v>1387</v>
      </c>
      <c r="N1674" s="1"/>
      <c r="O1674" s="13">
        <v>432.0</v>
      </c>
      <c r="P1674" s="5"/>
      <c r="Q1674" s="5"/>
      <c r="R1674" s="6" t="s">
        <v>5173</v>
      </c>
      <c r="S1674" s="5"/>
      <c r="T1674" s="1" t="str">
        <f>IFERROR(__xludf.DUMMYFUNCTION("INDEX(SPLIT(A1674, ""/""), 2)"),"کانون‌های فرهنگی هنری")</f>
        <v>کانون‌های فرهنگی هنری</v>
      </c>
      <c r="U1674" s="1" t="str">
        <f>IFERROR(__xludf.DUMMYFUNCTION("INDEX(SPLIT(A1674, ""/""), 3)"),"روزنامه شریف")</f>
        <v>روزنامه شریف</v>
      </c>
      <c r="V1674" s="1" t="str">
        <f>IFERROR(__xludf.DUMMYFUNCTION("INDEX(SPLIT(A1674, ""/""), 4)"),"#REF!")</f>
        <v>#REF!</v>
      </c>
    </row>
    <row r="1675">
      <c r="A1675" s="1" t="s">
        <v>4070</v>
      </c>
      <c r="B1675" s="1" t="s">
        <v>5174</v>
      </c>
      <c r="C1675" s="1" t="s">
        <v>21</v>
      </c>
      <c r="D1675" s="4" t="s">
        <v>5175</v>
      </c>
      <c r="E1675" s="1" t="s">
        <v>4072</v>
      </c>
      <c r="F1675" s="1" t="s">
        <v>4487</v>
      </c>
      <c r="G1675" s="1" t="s">
        <v>5060</v>
      </c>
      <c r="H1675" s="1" t="s">
        <v>5176</v>
      </c>
      <c r="I1675" s="1" t="str">
        <f t="shared" si="1"/>
        <v>28</v>
      </c>
      <c r="J1675" s="5"/>
      <c r="K1675" s="1" t="str">
        <f t="shared" si="2"/>
        <v>2</v>
      </c>
      <c r="L1675" s="5"/>
      <c r="M1675" s="2" t="str">
        <f t="shared" si="3"/>
        <v>1387</v>
      </c>
      <c r="N1675" s="1"/>
      <c r="O1675" s="13">
        <v>433.0</v>
      </c>
      <c r="P1675" s="5"/>
      <c r="Q1675" s="5"/>
      <c r="R1675" s="6" t="s">
        <v>5176</v>
      </c>
      <c r="S1675" s="5"/>
      <c r="T1675" s="1" t="str">
        <f>IFERROR(__xludf.DUMMYFUNCTION("INDEX(SPLIT(A1675, ""/""), 2)"),"کانون‌های فرهنگی هنری")</f>
        <v>کانون‌های فرهنگی هنری</v>
      </c>
      <c r="U1675" s="1" t="str">
        <f>IFERROR(__xludf.DUMMYFUNCTION("INDEX(SPLIT(A1675, ""/""), 3)"),"روزنامه شریف")</f>
        <v>روزنامه شریف</v>
      </c>
      <c r="V1675" s="1" t="str">
        <f>IFERROR(__xludf.DUMMYFUNCTION("INDEX(SPLIT(A1675, ""/""), 4)"),"#REF!")</f>
        <v>#REF!</v>
      </c>
    </row>
    <row r="1676">
      <c r="A1676" s="1" t="s">
        <v>4070</v>
      </c>
      <c r="B1676" s="1" t="s">
        <v>5177</v>
      </c>
      <c r="C1676" s="1" t="s">
        <v>21</v>
      </c>
      <c r="D1676" s="4" t="s">
        <v>5178</v>
      </c>
      <c r="E1676" s="1" t="s">
        <v>4072</v>
      </c>
      <c r="F1676" s="1" t="s">
        <v>4487</v>
      </c>
      <c r="G1676" s="1" t="s">
        <v>5060</v>
      </c>
      <c r="H1676" s="1" t="s">
        <v>5179</v>
      </c>
      <c r="I1676" s="1" t="str">
        <f t="shared" si="1"/>
        <v>31</v>
      </c>
      <c r="J1676" s="5"/>
      <c r="K1676" s="1" t="str">
        <f t="shared" si="2"/>
        <v>2</v>
      </c>
      <c r="L1676" s="5"/>
      <c r="M1676" s="2" t="str">
        <f t="shared" si="3"/>
        <v>1387</v>
      </c>
      <c r="N1676" s="1"/>
      <c r="O1676" s="13">
        <v>434.0</v>
      </c>
      <c r="P1676" s="5"/>
      <c r="Q1676" s="5"/>
      <c r="R1676" s="6" t="s">
        <v>5179</v>
      </c>
      <c r="S1676" s="5"/>
      <c r="T1676" s="1" t="str">
        <f>IFERROR(__xludf.DUMMYFUNCTION("INDEX(SPLIT(A1676, ""/""), 2)"),"کانون‌های فرهنگی هنری")</f>
        <v>کانون‌های فرهنگی هنری</v>
      </c>
      <c r="U1676" s="1" t="str">
        <f>IFERROR(__xludf.DUMMYFUNCTION("INDEX(SPLIT(A1676, ""/""), 3)"),"روزنامه شریف")</f>
        <v>روزنامه شریف</v>
      </c>
      <c r="V1676" s="1" t="str">
        <f>IFERROR(__xludf.DUMMYFUNCTION("INDEX(SPLIT(A1676, ""/""), 4)"),"#REF!")</f>
        <v>#REF!</v>
      </c>
    </row>
    <row r="1677">
      <c r="A1677" s="1" t="s">
        <v>4070</v>
      </c>
      <c r="B1677" s="1" t="s">
        <v>5180</v>
      </c>
      <c r="C1677" s="1" t="s">
        <v>21</v>
      </c>
      <c r="D1677" s="4" t="s">
        <v>5181</v>
      </c>
      <c r="E1677" s="1" t="s">
        <v>4072</v>
      </c>
      <c r="F1677" s="1" t="s">
        <v>4487</v>
      </c>
      <c r="G1677" s="1" t="s">
        <v>5060</v>
      </c>
      <c r="H1677" s="7" t="s">
        <v>5182</v>
      </c>
      <c r="I1677" s="1" t="str">
        <f t="shared" si="1"/>
        <v>4</v>
      </c>
      <c r="J1677" s="5"/>
      <c r="K1677" s="1" t="str">
        <f t="shared" si="2"/>
        <v>3</v>
      </c>
      <c r="L1677" s="5"/>
      <c r="M1677" s="2" t="str">
        <f t="shared" si="3"/>
        <v>1387</v>
      </c>
      <c r="N1677" s="1"/>
      <c r="O1677" s="13">
        <v>435.0</v>
      </c>
      <c r="P1677" s="5"/>
      <c r="Q1677" s="5"/>
      <c r="R1677" s="8" t="s">
        <v>5182</v>
      </c>
      <c r="S1677" s="5"/>
      <c r="T1677" s="1" t="str">
        <f>IFERROR(__xludf.DUMMYFUNCTION("INDEX(SPLIT(A1677, ""/""), 2)"),"کانون‌های فرهنگی هنری")</f>
        <v>کانون‌های فرهنگی هنری</v>
      </c>
      <c r="U1677" s="1" t="str">
        <f>IFERROR(__xludf.DUMMYFUNCTION("INDEX(SPLIT(A1677, ""/""), 3)"),"روزنامه شریف")</f>
        <v>روزنامه شریف</v>
      </c>
      <c r="V1677" s="1" t="str">
        <f>IFERROR(__xludf.DUMMYFUNCTION("INDEX(SPLIT(A1677, ""/""), 4)"),"#REF!")</f>
        <v>#REF!</v>
      </c>
    </row>
    <row r="1678">
      <c r="A1678" s="1" t="s">
        <v>4070</v>
      </c>
      <c r="B1678" s="1" t="s">
        <v>5183</v>
      </c>
      <c r="C1678" s="1" t="s">
        <v>21</v>
      </c>
      <c r="D1678" s="4" t="s">
        <v>5184</v>
      </c>
      <c r="E1678" s="1" t="s">
        <v>4072</v>
      </c>
      <c r="F1678" s="1" t="s">
        <v>4487</v>
      </c>
      <c r="G1678" s="1" t="s">
        <v>5060</v>
      </c>
      <c r="H1678" s="7" t="s">
        <v>5185</v>
      </c>
      <c r="I1678" s="1" t="str">
        <f t="shared" si="1"/>
        <v>7</v>
      </c>
      <c r="J1678" s="5"/>
      <c r="K1678" s="1" t="str">
        <f t="shared" si="2"/>
        <v>3</v>
      </c>
      <c r="L1678" s="5"/>
      <c r="M1678" s="2" t="str">
        <f t="shared" si="3"/>
        <v>1387</v>
      </c>
      <c r="N1678" s="1"/>
      <c r="O1678" s="13">
        <v>436.0</v>
      </c>
      <c r="P1678" s="5"/>
      <c r="Q1678" s="5"/>
      <c r="R1678" s="8" t="s">
        <v>5185</v>
      </c>
      <c r="S1678" s="5"/>
      <c r="T1678" s="1" t="str">
        <f>IFERROR(__xludf.DUMMYFUNCTION("INDEX(SPLIT(A1678, ""/""), 2)"),"کانون‌های فرهنگی هنری")</f>
        <v>کانون‌های فرهنگی هنری</v>
      </c>
      <c r="U1678" s="1" t="str">
        <f>IFERROR(__xludf.DUMMYFUNCTION("INDEX(SPLIT(A1678, ""/""), 3)"),"روزنامه شریف")</f>
        <v>روزنامه شریف</v>
      </c>
      <c r="V1678" s="1" t="str">
        <f>IFERROR(__xludf.DUMMYFUNCTION("INDEX(SPLIT(A1678, ""/""), 4)"),"#REF!")</f>
        <v>#REF!</v>
      </c>
    </row>
    <row r="1679">
      <c r="A1679" s="1" t="s">
        <v>4070</v>
      </c>
      <c r="B1679" s="1" t="s">
        <v>5186</v>
      </c>
      <c r="C1679" s="1" t="s">
        <v>21</v>
      </c>
      <c r="D1679" s="4" t="s">
        <v>5187</v>
      </c>
      <c r="E1679" s="1" t="s">
        <v>4072</v>
      </c>
      <c r="F1679" s="1" t="s">
        <v>4487</v>
      </c>
      <c r="G1679" s="1" t="s">
        <v>5060</v>
      </c>
      <c r="H1679" s="1" t="s">
        <v>5188</v>
      </c>
      <c r="I1679" s="1" t="str">
        <f t="shared" si="1"/>
        <v>15</v>
      </c>
      <c r="J1679" s="5"/>
      <c r="K1679" s="1" t="str">
        <f t="shared" si="2"/>
        <v>5</v>
      </c>
      <c r="L1679" s="5"/>
      <c r="M1679" s="2" t="str">
        <f t="shared" si="3"/>
        <v>1387</v>
      </c>
      <c r="N1679" s="5"/>
      <c r="O1679" s="13">
        <v>437.0</v>
      </c>
      <c r="P1679" s="5"/>
      <c r="Q1679" s="5"/>
      <c r="R1679" s="6" t="s">
        <v>5188</v>
      </c>
      <c r="S1679" s="5"/>
      <c r="T1679" s="1" t="str">
        <f>IFERROR(__xludf.DUMMYFUNCTION("INDEX(SPLIT(A1679, ""/""), 2)"),"کانون‌های فرهنگی هنری")</f>
        <v>کانون‌های فرهنگی هنری</v>
      </c>
      <c r="U1679" s="1" t="str">
        <f>IFERROR(__xludf.DUMMYFUNCTION("INDEX(SPLIT(A1679, ""/""), 3)"),"روزنامه شریف")</f>
        <v>روزنامه شریف</v>
      </c>
      <c r="V1679" s="1" t="str">
        <f>IFERROR(__xludf.DUMMYFUNCTION("INDEX(SPLIT(A1679, ""/""), 4)"),"#REF!")</f>
        <v>#REF!</v>
      </c>
    </row>
    <row r="1680">
      <c r="A1680" s="1" t="s">
        <v>4070</v>
      </c>
      <c r="B1680" s="1" t="s">
        <v>5189</v>
      </c>
      <c r="C1680" s="1" t="s">
        <v>21</v>
      </c>
      <c r="D1680" s="4" t="s">
        <v>5190</v>
      </c>
      <c r="E1680" s="1" t="s">
        <v>4072</v>
      </c>
      <c r="F1680" s="1" t="s">
        <v>4487</v>
      </c>
      <c r="G1680" s="1" t="s">
        <v>5060</v>
      </c>
      <c r="H1680" s="1" t="s">
        <v>5191</v>
      </c>
      <c r="I1680" s="1" t="str">
        <f t="shared" si="1"/>
        <v>22</v>
      </c>
      <c r="J1680" s="5"/>
      <c r="K1680" s="1" t="str">
        <f t="shared" si="2"/>
        <v>5</v>
      </c>
      <c r="L1680" s="5"/>
      <c r="M1680" s="2" t="str">
        <f t="shared" si="3"/>
        <v>1387</v>
      </c>
      <c r="N1680" s="1"/>
      <c r="O1680" s="13">
        <v>438.0</v>
      </c>
      <c r="P1680" s="5"/>
      <c r="Q1680" s="5"/>
      <c r="R1680" s="6" t="s">
        <v>5191</v>
      </c>
      <c r="S1680" s="5"/>
      <c r="T1680" s="1" t="str">
        <f>IFERROR(__xludf.DUMMYFUNCTION("INDEX(SPLIT(A1680, ""/""), 2)"),"کانون‌های فرهنگی هنری")</f>
        <v>کانون‌های فرهنگی هنری</v>
      </c>
      <c r="U1680" s="1" t="str">
        <f>IFERROR(__xludf.DUMMYFUNCTION("INDEX(SPLIT(A1680, ""/""), 3)"),"روزنامه شریف")</f>
        <v>روزنامه شریف</v>
      </c>
      <c r="V1680" s="1" t="str">
        <f>IFERROR(__xludf.DUMMYFUNCTION("INDEX(SPLIT(A1680, ""/""), 4)"),"#REF!")</f>
        <v>#REF!</v>
      </c>
    </row>
    <row r="1681">
      <c r="A1681" s="1" t="s">
        <v>4070</v>
      </c>
      <c r="B1681" s="1" t="s">
        <v>5192</v>
      </c>
      <c r="C1681" s="1" t="s">
        <v>21</v>
      </c>
      <c r="D1681" s="4" t="s">
        <v>5193</v>
      </c>
      <c r="E1681" s="1" t="s">
        <v>4072</v>
      </c>
      <c r="F1681" s="1" t="s">
        <v>4487</v>
      </c>
      <c r="G1681" s="1" t="s">
        <v>5060</v>
      </c>
      <c r="H1681" s="7" t="s">
        <v>5194</v>
      </c>
      <c r="I1681" s="1" t="str">
        <f t="shared" si="1"/>
        <v>5</v>
      </c>
      <c r="J1681" s="5"/>
      <c r="K1681" s="1" t="str">
        <f t="shared" si="2"/>
        <v>6</v>
      </c>
      <c r="L1681" s="5"/>
      <c r="M1681" s="2" t="str">
        <f t="shared" si="3"/>
        <v>1387</v>
      </c>
      <c r="N1681" s="1"/>
      <c r="O1681" s="13">
        <v>439.0</v>
      </c>
      <c r="P1681" s="5"/>
      <c r="Q1681" s="5"/>
      <c r="R1681" s="8" t="s">
        <v>5194</v>
      </c>
      <c r="S1681" s="5"/>
      <c r="T1681" s="1" t="str">
        <f>IFERROR(__xludf.DUMMYFUNCTION("INDEX(SPLIT(A1681, ""/""), 2)"),"کانون‌های فرهنگی هنری")</f>
        <v>کانون‌های فرهنگی هنری</v>
      </c>
      <c r="U1681" s="1" t="str">
        <f>IFERROR(__xludf.DUMMYFUNCTION("INDEX(SPLIT(A1681, ""/""), 3)"),"روزنامه شریف")</f>
        <v>روزنامه شریف</v>
      </c>
      <c r="V1681" s="1" t="str">
        <f>IFERROR(__xludf.DUMMYFUNCTION("INDEX(SPLIT(A1681, ""/""), 4)"),"#REF!")</f>
        <v>#REF!</v>
      </c>
    </row>
    <row r="1682">
      <c r="A1682" s="1" t="s">
        <v>4070</v>
      </c>
      <c r="B1682" s="1" t="s">
        <v>5195</v>
      </c>
      <c r="C1682" s="1" t="s">
        <v>21</v>
      </c>
      <c r="D1682" s="4" t="s">
        <v>5196</v>
      </c>
      <c r="E1682" s="1" t="s">
        <v>4072</v>
      </c>
      <c r="F1682" s="1" t="s">
        <v>4487</v>
      </c>
      <c r="G1682" s="1" t="s">
        <v>5060</v>
      </c>
      <c r="H1682" s="7" t="s">
        <v>5197</v>
      </c>
      <c r="I1682" s="1" t="str">
        <f t="shared" si="1"/>
        <v>12</v>
      </c>
      <c r="J1682" s="5"/>
      <c r="K1682" s="1" t="str">
        <f t="shared" si="2"/>
        <v>6</v>
      </c>
      <c r="L1682" s="5"/>
      <c r="M1682" s="2" t="str">
        <f t="shared" si="3"/>
        <v>1387</v>
      </c>
      <c r="N1682" s="1"/>
      <c r="O1682" s="13">
        <v>440.0</v>
      </c>
      <c r="P1682" s="5"/>
      <c r="Q1682" s="5"/>
      <c r="R1682" s="8" t="s">
        <v>5197</v>
      </c>
      <c r="S1682" s="5"/>
      <c r="T1682" s="1" t="str">
        <f>IFERROR(__xludf.DUMMYFUNCTION("INDEX(SPLIT(A1682, ""/""), 2)"),"کانون‌های فرهنگی هنری")</f>
        <v>کانون‌های فرهنگی هنری</v>
      </c>
      <c r="U1682" s="1" t="str">
        <f>IFERROR(__xludf.DUMMYFUNCTION("INDEX(SPLIT(A1682, ""/""), 3)"),"روزنامه شریف")</f>
        <v>روزنامه شریف</v>
      </c>
      <c r="V1682" s="1" t="str">
        <f>IFERROR(__xludf.DUMMYFUNCTION("INDEX(SPLIT(A1682, ""/""), 4)"),"#REF!")</f>
        <v>#REF!</v>
      </c>
    </row>
    <row r="1683">
      <c r="A1683" s="1" t="s">
        <v>4070</v>
      </c>
      <c r="B1683" s="1" t="s">
        <v>5198</v>
      </c>
      <c r="C1683" s="1" t="s">
        <v>21</v>
      </c>
      <c r="D1683" s="4" t="s">
        <v>5199</v>
      </c>
      <c r="E1683" s="1" t="s">
        <v>4072</v>
      </c>
      <c r="F1683" s="1" t="s">
        <v>4487</v>
      </c>
      <c r="G1683" s="1" t="s">
        <v>5060</v>
      </c>
      <c r="H1683" s="1" t="s">
        <v>5200</v>
      </c>
      <c r="I1683" s="1" t="str">
        <f t="shared" si="1"/>
        <v>19</v>
      </c>
      <c r="J1683" s="5"/>
      <c r="K1683" s="1" t="str">
        <f t="shared" si="2"/>
        <v>6</v>
      </c>
      <c r="L1683" s="5"/>
      <c r="M1683" s="2" t="str">
        <f t="shared" si="3"/>
        <v>1387</v>
      </c>
      <c r="N1683" s="1"/>
      <c r="O1683" s="13">
        <v>441.0</v>
      </c>
      <c r="P1683" s="5"/>
      <c r="Q1683" s="5"/>
      <c r="R1683" s="6" t="s">
        <v>5200</v>
      </c>
      <c r="S1683" s="5"/>
      <c r="T1683" s="1" t="str">
        <f>IFERROR(__xludf.DUMMYFUNCTION("INDEX(SPLIT(A1683, ""/""), 2)"),"کانون‌های فرهنگی هنری")</f>
        <v>کانون‌های فرهنگی هنری</v>
      </c>
      <c r="U1683" s="1" t="str">
        <f>IFERROR(__xludf.DUMMYFUNCTION("INDEX(SPLIT(A1683, ""/""), 3)"),"روزنامه شریف")</f>
        <v>روزنامه شریف</v>
      </c>
      <c r="V1683" s="1" t="str">
        <f>IFERROR(__xludf.DUMMYFUNCTION("INDEX(SPLIT(A1683, ""/""), 4)"),"#REF!")</f>
        <v>#REF!</v>
      </c>
    </row>
    <row r="1684">
      <c r="A1684" s="1" t="s">
        <v>4070</v>
      </c>
      <c r="B1684" s="1" t="s">
        <v>5201</v>
      </c>
      <c r="C1684" s="1" t="s">
        <v>21</v>
      </c>
      <c r="D1684" s="4" t="s">
        <v>5202</v>
      </c>
      <c r="E1684" s="1" t="s">
        <v>4072</v>
      </c>
      <c r="F1684" s="1" t="s">
        <v>4487</v>
      </c>
      <c r="G1684" s="1" t="s">
        <v>5060</v>
      </c>
      <c r="H1684" s="1" t="s">
        <v>5203</v>
      </c>
      <c r="I1684" s="1" t="str">
        <f t="shared" si="1"/>
        <v>26</v>
      </c>
      <c r="J1684" s="5"/>
      <c r="K1684" s="1" t="str">
        <f t="shared" si="2"/>
        <v>6</v>
      </c>
      <c r="L1684" s="5"/>
      <c r="M1684" s="2" t="str">
        <f t="shared" si="3"/>
        <v>1387</v>
      </c>
      <c r="N1684" s="1"/>
      <c r="O1684" s="13">
        <v>442.0</v>
      </c>
      <c r="P1684" s="5"/>
      <c r="Q1684" s="5"/>
      <c r="R1684" s="6" t="s">
        <v>5203</v>
      </c>
      <c r="S1684" s="5"/>
      <c r="T1684" s="1" t="str">
        <f>IFERROR(__xludf.DUMMYFUNCTION("INDEX(SPLIT(A1684, ""/""), 2)"),"کانون‌های فرهنگی هنری")</f>
        <v>کانون‌های فرهنگی هنری</v>
      </c>
      <c r="U1684" s="1" t="str">
        <f>IFERROR(__xludf.DUMMYFUNCTION("INDEX(SPLIT(A1684, ""/""), 3)"),"روزنامه شریف")</f>
        <v>روزنامه شریف</v>
      </c>
      <c r="V1684" s="1" t="str">
        <f>IFERROR(__xludf.DUMMYFUNCTION("INDEX(SPLIT(A1684, ""/""), 4)"),"#REF!")</f>
        <v>#REF!</v>
      </c>
    </row>
    <row r="1685">
      <c r="A1685" s="1" t="s">
        <v>4070</v>
      </c>
      <c r="B1685" s="1" t="s">
        <v>5204</v>
      </c>
      <c r="C1685" s="1" t="s">
        <v>21</v>
      </c>
      <c r="D1685" s="4" t="s">
        <v>5205</v>
      </c>
      <c r="E1685" s="1" t="s">
        <v>4072</v>
      </c>
      <c r="F1685" s="1" t="s">
        <v>4487</v>
      </c>
      <c r="G1685" s="1" t="s">
        <v>5060</v>
      </c>
      <c r="H1685" s="7" t="s">
        <v>5206</v>
      </c>
      <c r="I1685" s="1" t="str">
        <f t="shared" si="1"/>
        <v>6</v>
      </c>
      <c r="J1685" s="5"/>
      <c r="K1685" s="1" t="str">
        <f t="shared" si="2"/>
        <v>7</v>
      </c>
      <c r="L1685" s="5"/>
      <c r="M1685" s="2" t="str">
        <f t="shared" si="3"/>
        <v>1387</v>
      </c>
      <c r="N1685" s="1"/>
      <c r="O1685" s="13">
        <v>443.0</v>
      </c>
      <c r="P1685" s="5"/>
      <c r="Q1685" s="5"/>
      <c r="R1685" s="8" t="s">
        <v>5206</v>
      </c>
      <c r="S1685" s="5"/>
      <c r="T1685" s="1" t="str">
        <f>IFERROR(__xludf.DUMMYFUNCTION("INDEX(SPLIT(A1685, ""/""), 2)"),"کانون‌های فرهنگی هنری")</f>
        <v>کانون‌های فرهنگی هنری</v>
      </c>
      <c r="U1685" s="1" t="str">
        <f>IFERROR(__xludf.DUMMYFUNCTION("INDEX(SPLIT(A1685, ""/""), 3)"),"روزنامه شریف")</f>
        <v>روزنامه شریف</v>
      </c>
      <c r="V1685" s="1" t="str">
        <f>IFERROR(__xludf.DUMMYFUNCTION("INDEX(SPLIT(A1685, ""/""), 4)"),"#REF!")</f>
        <v>#REF!</v>
      </c>
    </row>
    <row r="1686">
      <c r="A1686" s="1" t="s">
        <v>4070</v>
      </c>
      <c r="B1686" s="1" t="s">
        <v>5207</v>
      </c>
      <c r="C1686" s="1" t="s">
        <v>21</v>
      </c>
      <c r="D1686" s="4" t="s">
        <v>5208</v>
      </c>
      <c r="E1686" s="1" t="s">
        <v>4072</v>
      </c>
      <c r="F1686" s="1" t="s">
        <v>4487</v>
      </c>
      <c r="G1686" s="1" t="s">
        <v>5060</v>
      </c>
      <c r="H1686" s="7" t="s">
        <v>5209</v>
      </c>
      <c r="I1686" s="1" t="str">
        <f t="shared" si="1"/>
        <v>9</v>
      </c>
      <c r="J1686" s="5"/>
      <c r="K1686" s="1" t="str">
        <f t="shared" si="2"/>
        <v>7</v>
      </c>
      <c r="L1686" s="5"/>
      <c r="M1686" s="2" t="str">
        <f t="shared" si="3"/>
        <v>1387</v>
      </c>
      <c r="N1686" s="1"/>
      <c r="O1686" s="13">
        <v>444.0</v>
      </c>
      <c r="P1686" s="5"/>
      <c r="Q1686" s="5"/>
      <c r="R1686" s="8" t="s">
        <v>5209</v>
      </c>
      <c r="S1686" s="5"/>
      <c r="T1686" s="1" t="str">
        <f>IFERROR(__xludf.DUMMYFUNCTION("INDEX(SPLIT(A1686, ""/""), 2)"),"کانون‌های فرهنگی هنری")</f>
        <v>کانون‌های فرهنگی هنری</v>
      </c>
      <c r="U1686" s="1" t="str">
        <f>IFERROR(__xludf.DUMMYFUNCTION("INDEX(SPLIT(A1686, ""/""), 3)"),"روزنامه شریف")</f>
        <v>روزنامه شریف</v>
      </c>
      <c r="V1686" s="1" t="str">
        <f>IFERROR(__xludf.DUMMYFUNCTION("INDEX(SPLIT(A1686, ""/""), 4)"),"#REF!")</f>
        <v>#REF!</v>
      </c>
    </row>
    <row r="1687">
      <c r="A1687" s="1" t="s">
        <v>4070</v>
      </c>
      <c r="B1687" s="1" t="s">
        <v>5210</v>
      </c>
      <c r="C1687" s="1" t="s">
        <v>21</v>
      </c>
      <c r="D1687" s="4" t="s">
        <v>5211</v>
      </c>
      <c r="E1687" s="1" t="s">
        <v>4072</v>
      </c>
      <c r="F1687" s="1" t="s">
        <v>4487</v>
      </c>
      <c r="G1687" s="1" t="s">
        <v>5060</v>
      </c>
      <c r="H1687" s="1" t="s">
        <v>5212</v>
      </c>
      <c r="I1687" s="1" t="str">
        <f t="shared" si="1"/>
        <v>16</v>
      </c>
      <c r="J1687" s="5"/>
      <c r="K1687" s="1" t="str">
        <f t="shared" si="2"/>
        <v>7</v>
      </c>
      <c r="L1687" s="5"/>
      <c r="M1687" s="2" t="str">
        <f t="shared" si="3"/>
        <v>1387</v>
      </c>
      <c r="N1687" s="1"/>
      <c r="O1687" s="13">
        <v>445.0</v>
      </c>
      <c r="P1687" s="5"/>
      <c r="Q1687" s="5"/>
      <c r="R1687" s="6" t="s">
        <v>5212</v>
      </c>
      <c r="S1687" s="5"/>
      <c r="T1687" s="1" t="str">
        <f>IFERROR(__xludf.DUMMYFUNCTION("INDEX(SPLIT(A1687, ""/""), 2)"),"کانون‌های فرهنگی هنری")</f>
        <v>کانون‌های فرهنگی هنری</v>
      </c>
      <c r="U1687" s="1" t="str">
        <f>IFERROR(__xludf.DUMMYFUNCTION("INDEX(SPLIT(A1687, ""/""), 3)"),"روزنامه شریف")</f>
        <v>روزنامه شریف</v>
      </c>
      <c r="V1687" s="1" t="str">
        <f>IFERROR(__xludf.DUMMYFUNCTION("INDEX(SPLIT(A1687, ""/""), 4)"),"#REF!")</f>
        <v>#REF!</v>
      </c>
    </row>
    <row r="1688">
      <c r="A1688" s="1" t="s">
        <v>4070</v>
      </c>
      <c r="B1688" s="1" t="s">
        <v>5213</v>
      </c>
      <c r="C1688" s="1" t="s">
        <v>21</v>
      </c>
      <c r="D1688" s="4" t="s">
        <v>5214</v>
      </c>
      <c r="E1688" s="1" t="s">
        <v>4072</v>
      </c>
      <c r="F1688" s="1" t="s">
        <v>4487</v>
      </c>
      <c r="G1688" s="1" t="s">
        <v>5060</v>
      </c>
      <c r="H1688" s="1" t="s">
        <v>5215</v>
      </c>
      <c r="I1688" s="1" t="str">
        <f t="shared" si="1"/>
        <v>20</v>
      </c>
      <c r="J1688" s="5"/>
      <c r="K1688" s="1" t="str">
        <f t="shared" si="2"/>
        <v>7</v>
      </c>
      <c r="L1688" s="5"/>
      <c r="M1688" s="2" t="str">
        <f t="shared" si="3"/>
        <v>1387</v>
      </c>
      <c r="N1688" s="1"/>
      <c r="O1688" s="13">
        <v>446.0</v>
      </c>
      <c r="P1688" s="5"/>
      <c r="Q1688" s="5"/>
      <c r="R1688" s="6" t="s">
        <v>5215</v>
      </c>
      <c r="S1688" s="5"/>
      <c r="T1688" s="1" t="str">
        <f>IFERROR(__xludf.DUMMYFUNCTION("INDEX(SPLIT(A1688, ""/""), 2)"),"کانون‌های فرهنگی هنری")</f>
        <v>کانون‌های فرهنگی هنری</v>
      </c>
      <c r="U1688" s="1" t="str">
        <f>IFERROR(__xludf.DUMMYFUNCTION("INDEX(SPLIT(A1688, ""/""), 3)"),"روزنامه شریف")</f>
        <v>روزنامه شریف</v>
      </c>
      <c r="V1688" s="1" t="str">
        <f>IFERROR(__xludf.DUMMYFUNCTION("INDEX(SPLIT(A1688, ""/""), 4)"),"#REF!")</f>
        <v>#REF!</v>
      </c>
    </row>
    <row r="1689">
      <c r="A1689" s="1" t="s">
        <v>4070</v>
      </c>
      <c r="B1689" s="1" t="s">
        <v>5216</v>
      </c>
      <c r="C1689" s="1" t="s">
        <v>21</v>
      </c>
      <c r="D1689" s="4" t="s">
        <v>5217</v>
      </c>
      <c r="E1689" s="1" t="s">
        <v>4072</v>
      </c>
      <c r="F1689" s="1" t="s">
        <v>4487</v>
      </c>
      <c r="G1689" s="1" t="s">
        <v>5218</v>
      </c>
      <c r="H1689" s="1" t="s">
        <v>5219</v>
      </c>
      <c r="I1689" s="1" t="str">
        <f t="shared" si="1"/>
        <v>23</v>
      </c>
      <c r="J1689" s="5"/>
      <c r="K1689" s="1" t="str">
        <f t="shared" si="2"/>
        <v>7</v>
      </c>
      <c r="L1689" s="5"/>
      <c r="M1689" s="2" t="str">
        <f t="shared" si="3"/>
        <v>1387</v>
      </c>
      <c r="N1689" s="1"/>
      <c r="O1689" s="13">
        <v>447.0</v>
      </c>
      <c r="P1689" s="5"/>
      <c r="Q1689" s="5"/>
      <c r="R1689" s="6" t="s">
        <v>5219</v>
      </c>
      <c r="S1689" s="5"/>
      <c r="T1689" s="1" t="str">
        <f>IFERROR(__xludf.DUMMYFUNCTION("INDEX(SPLIT(A1689, ""/""), 2)"),"کانون‌های فرهنگی هنری")</f>
        <v>کانون‌های فرهنگی هنری</v>
      </c>
      <c r="U1689" s="1" t="str">
        <f>IFERROR(__xludf.DUMMYFUNCTION("INDEX(SPLIT(A1689, ""/""), 3)"),"روزنامه شریف")</f>
        <v>روزنامه شریف</v>
      </c>
      <c r="V1689" s="1" t="str">
        <f>IFERROR(__xludf.DUMMYFUNCTION("INDEX(SPLIT(A1689, ""/""), 4)"),"#REF!")</f>
        <v>#REF!</v>
      </c>
    </row>
    <row r="1690">
      <c r="A1690" s="1" t="s">
        <v>4070</v>
      </c>
      <c r="B1690" s="1" t="s">
        <v>5220</v>
      </c>
      <c r="C1690" s="1" t="s">
        <v>21</v>
      </c>
      <c r="D1690" s="4" t="s">
        <v>5221</v>
      </c>
      <c r="E1690" s="1" t="s">
        <v>4072</v>
      </c>
      <c r="F1690" s="1" t="s">
        <v>4487</v>
      </c>
      <c r="G1690" s="1" t="s">
        <v>5218</v>
      </c>
      <c r="H1690" s="1" t="s">
        <v>5222</v>
      </c>
      <c r="I1690" s="1" t="str">
        <f t="shared" si="1"/>
        <v>27</v>
      </c>
      <c r="J1690" s="5"/>
      <c r="K1690" s="1" t="str">
        <f t="shared" si="2"/>
        <v>7</v>
      </c>
      <c r="L1690" s="5"/>
      <c r="M1690" s="2" t="str">
        <f t="shared" si="3"/>
        <v>1387</v>
      </c>
      <c r="N1690" s="5"/>
      <c r="O1690" s="13">
        <v>448.0</v>
      </c>
      <c r="P1690" s="5"/>
      <c r="Q1690" s="5"/>
      <c r="R1690" s="6" t="s">
        <v>5222</v>
      </c>
      <c r="S1690" s="5"/>
      <c r="T1690" s="1" t="str">
        <f>IFERROR(__xludf.DUMMYFUNCTION("INDEX(SPLIT(A1690, ""/""), 2)"),"کانون‌های فرهنگی هنری")</f>
        <v>کانون‌های فرهنگی هنری</v>
      </c>
      <c r="U1690" s="1" t="str">
        <f>IFERROR(__xludf.DUMMYFUNCTION("INDEX(SPLIT(A1690, ""/""), 3)"),"روزنامه شریف")</f>
        <v>روزنامه شریف</v>
      </c>
      <c r="V1690" s="1" t="str">
        <f>IFERROR(__xludf.DUMMYFUNCTION("INDEX(SPLIT(A1690, ""/""), 4)"),"#REF!")</f>
        <v>#REF!</v>
      </c>
    </row>
    <row r="1691">
      <c r="A1691" s="1" t="s">
        <v>4070</v>
      </c>
      <c r="B1691" s="1" t="s">
        <v>5223</v>
      </c>
      <c r="C1691" s="1" t="s">
        <v>21</v>
      </c>
      <c r="D1691" s="4" t="s">
        <v>5224</v>
      </c>
      <c r="E1691" s="1" t="s">
        <v>4072</v>
      </c>
      <c r="F1691" s="1" t="s">
        <v>4487</v>
      </c>
      <c r="G1691" s="1" t="s">
        <v>5218</v>
      </c>
      <c r="H1691" s="1" t="s">
        <v>1536</v>
      </c>
      <c r="I1691" s="1" t="str">
        <f t="shared" si="1"/>
        <v>30</v>
      </c>
      <c r="J1691" s="5"/>
      <c r="K1691" s="1" t="str">
        <f t="shared" si="2"/>
        <v>7</v>
      </c>
      <c r="L1691" s="5"/>
      <c r="M1691" s="2" t="str">
        <f t="shared" si="3"/>
        <v>1387</v>
      </c>
      <c r="N1691" s="1"/>
      <c r="O1691" s="13">
        <v>449.0</v>
      </c>
      <c r="P1691" s="5"/>
      <c r="Q1691" s="5"/>
      <c r="R1691" s="6" t="s">
        <v>1536</v>
      </c>
      <c r="S1691" s="5"/>
      <c r="T1691" s="1" t="str">
        <f>IFERROR(__xludf.DUMMYFUNCTION("INDEX(SPLIT(A1691, ""/""), 2)"),"کانون‌های فرهنگی هنری")</f>
        <v>کانون‌های فرهنگی هنری</v>
      </c>
      <c r="U1691" s="1" t="str">
        <f>IFERROR(__xludf.DUMMYFUNCTION("INDEX(SPLIT(A1691, ""/""), 3)"),"روزنامه شریف")</f>
        <v>روزنامه شریف</v>
      </c>
      <c r="V1691" s="1" t="str">
        <f>IFERROR(__xludf.DUMMYFUNCTION("INDEX(SPLIT(A1691, ""/""), 4)"),"#REF!")</f>
        <v>#REF!</v>
      </c>
    </row>
    <row r="1692">
      <c r="A1692" s="1" t="s">
        <v>4070</v>
      </c>
      <c r="B1692" s="1" t="s">
        <v>5225</v>
      </c>
      <c r="C1692" s="1" t="s">
        <v>21</v>
      </c>
      <c r="D1692" s="4" t="s">
        <v>5226</v>
      </c>
      <c r="E1692" s="1" t="s">
        <v>4072</v>
      </c>
      <c r="F1692" s="1" t="s">
        <v>4487</v>
      </c>
      <c r="G1692" s="1" t="s">
        <v>5218</v>
      </c>
      <c r="H1692" s="7" t="s">
        <v>1539</v>
      </c>
      <c r="I1692" s="1" t="str">
        <f t="shared" si="1"/>
        <v>7</v>
      </c>
      <c r="J1692" s="5"/>
      <c r="K1692" s="1" t="str">
        <f t="shared" si="2"/>
        <v>8</v>
      </c>
      <c r="L1692" s="5"/>
      <c r="M1692" s="2" t="str">
        <f t="shared" si="3"/>
        <v>1387</v>
      </c>
      <c r="N1692" s="1"/>
      <c r="O1692" s="13">
        <v>450.0</v>
      </c>
      <c r="P1692" s="5"/>
      <c r="Q1692" s="5"/>
      <c r="R1692" s="8" t="s">
        <v>1539</v>
      </c>
      <c r="S1692" s="5"/>
      <c r="T1692" s="1" t="str">
        <f>IFERROR(__xludf.DUMMYFUNCTION("INDEX(SPLIT(A1692, ""/""), 2)"),"کانون‌های فرهنگی هنری")</f>
        <v>کانون‌های فرهنگی هنری</v>
      </c>
      <c r="U1692" s="1" t="str">
        <f>IFERROR(__xludf.DUMMYFUNCTION("INDEX(SPLIT(A1692, ""/""), 3)"),"روزنامه شریف")</f>
        <v>روزنامه شریف</v>
      </c>
      <c r="V1692" s="1" t="str">
        <f>IFERROR(__xludf.DUMMYFUNCTION("INDEX(SPLIT(A1692, ""/""), 4)"),"#REF!")</f>
        <v>#REF!</v>
      </c>
    </row>
    <row r="1693">
      <c r="A1693" s="1" t="s">
        <v>4070</v>
      </c>
      <c r="B1693" s="1" t="s">
        <v>5227</v>
      </c>
      <c r="C1693" s="1" t="s">
        <v>21</v>
      </c>
      <c r="D1693" s="4" t="s">
        <v>5228</v>
      </c>
      <c r="E1693" s="1" t="s">
        <v>4072</v>
      </c>
      <c r="F1693" s="1" t="s">
        <v>4487</v>
      </c>
      <c r="G1693" s="1" t="s">
        <v>5218</v>
      </c>
      <c r="H1693" s="7" t="s">
        <v>5229</v>
      </c>
      <c r="I1693" s="1" t="str">
        <f t="shared" si="1"/>
        <v>11</v>
      </c>
      <c r="J1693" s="5"/>
      <c r="K1693" s="1" t="str">
        <f t="shared" si="2"/>
        <v>8</v>
      </c>
      <c r="L1693" s="5"/>
      <c r="M1693" s="2" t="str">
        <f t="shared" si="3"/>
        <v>1387</v>
      </c>
      <c r="N1693" s="1"/>
      <c r="O1693" s="13">
        <v>451.0</v>
      </c>
      <c r="P1693" s="5"/>
      <c r="Q1693" s="5"/>
      <c r="R1693" s="8" t="s">
        <v>5229</v>
      </c>
      <c r="S1693" s="5"/>
      <c r="T1693" s="1" t="str">
        <f>IFERROR(__xludf.DUMMYFUNCTION("INDEX(SPLIT(A1693, ""/""), 2)"),"کانون‌های فرهنگی هنری")</f>
        <v>کانون‌های فرهنگی هنری</v>
      </c>
      <c r="U1693" s="1" t="str">
        <f>IFERROR(__xludf.DUMMYFUNCTION("INDEX(SPLIT(A1693, ""/""), 3)"),"روزنامه شریف")</f>
        <v>روزنامه شریف</v>
      </c>
      <c r="V1693" s="1" t="str">
        <f>IFERROR(__xludf.DUMMYFUNCTION("INDEX(SPLIT(A1693, ""/""), 4)"),"#REF!")</f>
        <v>#REF!</v>
      </c>
    </row>
    <row r="1694">
      <c r="A1694" s="1" t="s">
        <v>4070</v>
      </c>
      <c r="B1694" s="1" t="s">
        <v>5230</v>
      </c>
      <c r="C1694" s="1" t="s">
        <v>21</v>
      </c>
      <c r="D1694" s="4" t="s">
        <v>5231</v>
      </c>
      <c r="E1694" s="1" t="s">
        <v>4072</v>
      </c>
      <c r="F1694" s="1" t="s">
        <v>4487</v>
      </c>
      <c r="G1694" s="1" t="s">
        <v>5218</v>
      </c>
      <c r="H1694" s="1" t="s">
        <v>1542</v>
      </c>
      <c r="I1694" s="1" t="str">
        <f t="shared" si="1"/>
        <v>14</v>
      </c>
      <c r="J1694" s="5"/>
      <c r="K1694" s="1" t="str">
        <f t="shared" si="2"/>
        <v>8</v>
      </c>
      <c r="L1694" s="5"/>
      <c r="M1694" s="2" t="str">
        <f t="shared" si="3"/>
        <v>1387</v>
      </c>
      <c r="N1694" s="5"/>
      <c r="O1694" s="13">
        <v>452.0</v>
      </c>
      <c r="P1694" s="5"/>
      <c r="Q1694" s="5"/>
      <c r="R1694" s="6" t="s">
        <v>1542</v>
      </c>
      <c r="S1694" s="5"/>
      <c r="T1694" s="1" t="str">
        <f>IFERROR(__xludf.DUMMYFUNCTION("INDEX(SPLIT(A1694, ""/""), 2)"),"کانون‌های فرهنگی هنری")</f>
        <v>کانون‌های فرهنگی هنری</v>
      </c>
      <c r="U1694" s="1" t="str">
        <f>IFERROR(__xludf.DUMMYFUNCTION("INDEX(SPLIT(A1694, ""/""), 3)"),"روزنامه شریف")</f>
        <v>روزنامه شریف</v>
      </c>
      <c r="V1694" s="1" t="str">
        <f>IFERROR(__xludf.DUMMYFUNCTION("INDEX(SPLIT(A1694, ""/""), 4)"),"#REF!")</f>
        <v>#REF!</v>
      </c>
    </row>
    <row r="1695">
      <c r="A1695" s="1" t="s">
        <v>4070</v>
      </c>
      <c r="B1695" s="1" t="s">
        <v>5232</v>
      </c>
      <c r="C1695" s="1" t="s">
        <v>21</v>
      </c>
      <c r="D1695" s="4" t="s">
        <v>5233</v>
      </c>
      <c r="E1695" s="1" t="s">
        <v>4072</v>
      </c>
      <c r="F1695" s="1" t="s">
        <v>4487</v>
      </c>
      <c r="G1695" s="1" t="s">
        <v>5218</v>
      </c>
      <c r="H1695" s="1" t="s">
        <v>5234</v>
      </c>
      <c r="I1695" s="1" t="str">
        <f t="shared" si="1"/>
        <v>18</v>
      </c>
      <c r="J1695" s="5"/>
      <c r="K1695" s="1" t="str">
        <f t="shared" si="2"/>
        <v>8</v>
      </c>
      <c r="L1695" s="5"/>
      <c r="M1695" s="2" t="str">
        <f t="shared" si="3"/>
        <v>1387</v>
      </c>
      <c r="N1695" s="5"/>
      <c r="O1695" s="13">
        <v>453.0</v>
      </c>
      <c r="P1695" s="5"/>
      <c r="Q1695" s="5"/>
      <c r="R1695" s="6" t="s">
        <v>5234</v>
      </c>
      <c r="S1695" s="5"/>
      <c r="T1695" s="1" t="str">
        <f>IFERROR(__xludf.DUMMYFUNCTION("INDEX(SPLIT(A1695, ""/""), 2)"),"کانون‌های فرهنگی هنری")</f>
        <v>کانون‌های فرهنگی هنری</v>
      </c>
      <c r="U1695" s="1" t="str">
        <f>IFERROR(__xludf.DUMMYFUNCTION("INDEX(SPLIT(A1695, ""/""), 3)"),"روزنامه شریف")</f>
        <v>روزنامه شریف</v>
      </c>
      <c r="V1695" s="1" t="str">
        <f>IFERROR(__xludf.DUMMYFUNCTION("INDEX(SPLIT(A1695, ""/""), 4)"),"#REF!")</f>
        <v>#REF!</v>
      </c>
    </row>
    <row r="1696">
      <c r="A1696" s="1" t="s">
        <v>4070</v>
      </c>
      <c r="B1696" s="1" t="s">
        <v>5235</v>
      </c>
      <c r="C1696" s="1" t="s">
        <v>21</v>
      </c>
      <c r="D1696" s="4" t="s">
        <v>5236</v>
      </c>
      <c r="E1696" s="1" t="s">
        <v>4072</v>
      </c>
      <c r="F1696" s="1" t="s">
        <v>4487</v>
      </c>
      <c r="G1696" s="1" t="s">
        <v>5218</v>
      </c>
      <c r="H1696" s="1" t="s">
        <v>5237</v>
      </c>
      <c r="I1696" s="1" t="str">
        <f t="shared" si="1"/>
        <v>21</v>
      </c>
      <c r="J1696" s="5"/>
      <c r="K1696" s="1" t="str">
        <f t="shared" si="2"/>
        <v>8</v>
      </c>
      <c r="L1696" s="5"/>
      <c r="M1696" s="2" t="str">
        <f t="shared" si="3"/>
        <v>1387</v>
      </c>
      <c r="N1696" s="1"/>
      <c r="O1696" s="13">
        <v>454.0</v>
      </c>
      <c r="P1696" s="5"/>
      <c r="Q1696" s="5"/>
      <c r="R1696" s="6" t="s">
        <v>5237</v>
      </c>
      <c r="S1696" s="5"/>
      <c r="T1696" s="1" t="str">
        <f>IFERROR(__xludf.DUMMYFUNCTION("INDEX(SPLIT(A1696, ""/""), 2)"),"کانون‌های فرهنگی هنری")</f>
        <v>کانون‌های فرهنگی هنری</v>
      </c>
      <c r="U1696" s="1" t="str">
        <f>IFERROR(__xludf.DUMMYFUNCTION("INDEX(SPLIT(A1696, ""/""), 3)"),"روزنامه شریف")</f>
        <v>روزنامه شریف</v>
      </c>
      <c r="V1696" s="1" t="str">
        <f>IFERROR(__xludf.DUMMYFUNCTION("INDEX(SPLIT(A1696, ""/""), 4)"),"#REF!")</f>
        <v>#REF!</v>
      </c>
    </row>
    <row r="1697">
      <c r="A1697" s="1" t="s">
        <v>4070</v>
      </c>
      <c r="B1697" s="1" t="s">
        <v>5238</v>
      </c>
      <c r="C1697" s="1" t="s">
        <v>21</v>
      </c>
      <c r="D1697" s="4" t="s">
        <v>5239</v>
      </c>
      <c r="E1697" s="1" t="s">
        <v>4072</v>
      </c>
      <c r="F1697" s="1" t="s">
        <v>4487</v>
      </c>
      <c r="G1697" s="1" t="s">
        <v>5218</v>
      </c>
      <c r="H1697" s="1" t="s">
        <v>1545</v>
      </c>
      <c r="I1697" s="1" t="str">
        <f t="shared" si="1"/>
        <v>25</v>
      </c>
      <c r="J1697" s="5"/>
      <c r="K1697" s="1" t="str">
        <f t="shared" si="2"/>
        <v>8</v>
      </c>
      <c r="L1697" s="5"/>
      <c r="M1697" s="2" t="str">
        <f t="shared" si="3"/>
        <v>1387</v>
      </c>
      <c r="N1697" s="1"/>
      <c r="O1697" s="13">
        <v>455.0</v>
      </c>
      <c r="P1697" s="5"/>
      <c r="Q1697" s="5"/>
      <c r="R1697" s="6" t="s">
        <v>1545</v>
      </c>
      <c r="S1697" s="5"/>
      <c r="T1697" s="1" t="str">
        <f>IFERROR(__xludf.DUMMYFUNCTION("INDEX(SPLIT(A1697, ""/""), 2)"),"کانون‌های فرهنگی هنری")</f>
        <v>کانون‌های فرهنگی هنری</v>
      </c>
      <c r="U1697" s="1" t="str">
        <f>IFERROR(__xludf.DUMMYFUNCTION("INDEX(SPLIT(A1697, ""/""), 3)"),"روزنامه شریف")</f>
        <v>روزنامه شریف</v>
      </c>
      <c r="V1697" s="1" t="str">
        <f>IFERROR(__xludf.DUMMYFUNCTION("INDEX(SPLIT(A1697, ""/""), 4)"),"#REF!")</f>
        <v>#REF!</v>
      </c>
    </row>
    <row r="1698">
      <c r="A1698" s="1" t="s">
        <v>4070</v>
      </c>
      <c r="B1698" s="1" t="s">
        <v>5240</v>
      </c>
      <c r="C1698" s="1" t="s">
        <v>21</v>
      </c>
      <c r="D1698" s="4" t="s">
        <v>5241</v>
      </c>
      <c r="E1698" s="1" t="s">
        <v>4072</v>
      </c>
      <c r="F1698" s="1" t="s">
        <v>4487</v>
      </c>
      <c r="G1698" s="1" t="s">
        <v>5218</v>
      </c>
      <c r="H1698" s="1" t="s">
        <v>5242</v>
      </c>
      <c r="I1698" s="1" t="str">
        <f t="shared" si="1"/>
        <v>28</v>
      </c>
      <c r="J1698" s="5"/>
      <c r="K1698" s="1" t="str">
        <f t="shared" si="2"/>
        <v>8</v>
      </c>
      <c r="L1698" s="5"/>
      <c r="M1698" s="2" t="str">
        <f t="shared" si="3"/>
        <v>1387</v>
      </c>
      <c r="N1698" s="1"/>
      <c r="O1698" s="13">
        <v>456.0</v>
      </c>
      <c r="P1698" s="5"/>
      <c r="Q1698" s="5"/>
      <c r="R1698" s="6" t="s">
        <v>5242</v>
      </c>
      <c r="S1698" s="5"/>
      <c r="T1698" s="1" t="str">
        <f>IFERROR(__xludf.DUMMYFUNCTION("INDEX(SPLIT(A1698, ""/""), 2)"),"کانون‌های فرهنگی هنری")</f>
        <v>کانون‌های فرهنگی هنری</v>
      </c>
      <c r="U1698" s="1" t="str">
        <f>IFERROR(__xludf.DUMMYFUNCTION("INDEX(SPLIT(A1698, ""/""), 3)"),"روزنامه شریف")</f>
        <v>روزنامه شریف</v>
      </c>
      <c r="V1698" s="1" t="str">
        <f>IFERROR(__xludf.DUMMYFUNCTION("INDEX(SPLIT(A1698, ""/""), 4)"),"#REF!")</f>
        <v>#REF!</v>
      </c>
    </row>
    <row r="1699">
      <c r="A1699" s="1" t="s">
        <v>4070</v>
      </c>
      <c r="B1699" s="1" t="s">
        <v>5243</v>
      </c>
      <c r="C1699" s="1" t="s">
        <v>21</v>
      </c>
      <c r="D1699" s="4" t="s">
        <v>5244</v>
      </c>
      <c r="E1699" s="1" t="s">
        <v>4072</v>
      </c>
      <c r="F1699" s="1" t="s">
        <v>4487</v>
      </c>
      <c r="G1699" s="1" t="s">
        <v>5218</v>
      </c>
      <c r="H1699" s="7" t="s">
        <v>5245</v>
      </c>
      <c r="I1699" s="1" t="str">
        <f t="shared" si="1"/>
        <v>2</v>
      </c>
      <c r="J1699" s="5"/>
      <c r="K1699" s="1" t="str">
        <f t="shared" si="2"/>
        <v>9</v>
      </c>
      <c r="L1699" s="5"/>
      <c r="M1699" s="2" t="str">
        <f t="shared" si="3"/>
        <v>1387</v>
      </c>
      <c r="N1699" s="1"/>
      <c r="O1699" s="13">
        <v>457.0</v>
      </c>
      <c r="P1699" s="5"/>
      <c r="Q1699" s="5"/>
      <c r="R1699" s="8" t="s">
        <v>5245</v>
      </c>
      <c r="S1699" s="5"/>
      <c r="T1699" s="1" t="str">
        <f>IFERROR(__xludf.DUMMYFUNCTION("INDEX(SPLIT(A1699, ""/""), 2)"),"کانون‌های فرهنگی هنری")</f>
        <v>کانون‌های فرهنگی هنری</v>
      </c>
      <c r="U1699" s="1" t="str">
        <f>IFERROR(__xludf.DUMMYFUNCTION("INDEX(SPLIT(A1699, ""/""), 3)"),"روزنامه شریف")</f>
        <v>روزنامه شریف</v>
      </c>
      <c r="V1699" s="1" t="str">
        <f>IFERROR(__xludf.DUMMYFUNCTION("INDEX(SPLIT(A1699, ""/""), 4)"),"#REF!")</f>
        <v>#REF!</v>
      </c>
    </row>
    <row r="1700">
      <c r="A1700" s="1" t="s">
        <v>4070</v>
      </c>
      <c r="B1700" s="1" t="s">
        <v>5246</v>
      </c>
      <c r="C1700" s="1" t="s">
        <v>21</v>
      </c>
      <c r="D1700" s="4" t="s">
        <v>5247</v>
      </c>
      <c r="E1700" s="1" t="s">
        <v>4072</v>
      </c>
      <c r="F1700" s="1" t="s">
        <v>4487</v>
      </c>
      <c r="G1700" s="1" t="s">
        <v>5218</v>
      </c>
      <c r="H1700" s="7" t="s">
        <v>5248</v>
      </c>
      <c r="I1700" s="1" t="str">
        <f t="shared" si="1"/>
        <v>5</v>
      </c>
      <c r="J1700" s="5"/>
      <c r="K1700" s="1" t="str">
        <f t="shared" si="2"/>
        <v>9</v>
      </c>
      <c r="L1700" s="5"/>
      <c r="M1700" s="2" t="str">
        <f t="shared" si="3"/>
        <v>1387</v>
      </c>
      <c r="N1700" s="5"/>
      <c r="O1700" s="13">
        <v>458.0</v>
      </c>
      <c r="P1700" s="5"/>
      <c r="Q1700" s="5"/>
      <c r="R1700" s="8" t="s">
        <v>5248</v>
      </c>
      <c r="S1700" s="5"/>
      <c r="T1700" s="1" t="str">
        <f>IFERROR(__xludf.DUMMYFUNCTION("INDEX(SPLIT(A1700, ""/""), 2)"),"کانون‌های فرهنگی هنری")</f>
        <v>کانون‌های فرهنگی هنری</v>
      </c>
      <c r="U1700" s="1" t="str">
        <f>IFERROR(__xludf.DUMMYFUNCTION("INDEX(SPLIT(A1700, ""/""), 3)"),"روزنامه شریف")</f>
        <v>روزنامه شریف</v>
      </c>
      <c r="V1700" s="1" t="str">
        <f>IFERROR(__xludf.DUMMYFUNCTION("INDEX(SPLIT(A1700, ""/""), 4)"),"#REF!")</f>
        <v>#REF!</v>
      </c>
    </row>
    <row r="1701">
      <c r="A1701" s="1" t="s">
        <v>4070</v>
      </c>
      <c r="B1701" s="1" t="s">
        <v>5249</v>
      </c>
      <c r="C1701" s="1" t="s">
        <v>21</v>
      </c>
      <c r="D1701" s="4" t="s">
        <v>5250</v>
      </c>
      <c r="E1701" s="1" t="s">
        <v>4072</v>
      </c>
      <c r="F1701" s="1" t="s">
        <v>4487</v>
      </c>
      <c r="G1701" s="1" t="s">
        <v>5218</v>
      </c>
      <c r="H1701" s="7" t="s">
        <v>1027</v>
      </c>
      <c r="I1701" s="1" t="str">
        <f t="shared" si="1"/>
        <v>9</v>
      </c>
      <c r="J1701" s="5"/>
      <c r="K1701" s="1" t="str">
        <f t="shared" si="2"/>
        <v>9</v>
      </c>
      <c r="L1701" s="5"/>
      <c r="M1701" s="2" t="str">
        <f t="shared" si="3"/>
        <v>1387</v>
      </c>
      <c r="N1701" s="1"/>
      <c r="O1701" s="13">
        <v>459.0</v>
      </c>
      <c r="P1701" s="5"/>
      <c r="Q1701" s="5"/>
      <c r="R1701" s="8" t="s">
        <v>1027</v>
      </c>
      <c r="S1701" s="5"/>
      <c r="T1701" s="1" t="str">
        <f>IFERROR(__xludf.DUMMYFUNCTION("INDEX(SPLIT(A1701, ""/""), 2)"),"کانون‌های فرهنگی هنری")</f>
        <v>کانون‌های فرهنگی هنری</v>
      </c>
      <c r="U1701" s="1" t="str">
        <f>IFERROR(__xludf.DUMMYFUNCTION("INDEX(SPLIT(A1701, ""/""), 3)"),"روزنامه شریف")</f>
        <v>روزنامه شریف</v>
      </c>
      <c r="V1701" s="1" t="str">
        <f>IFERROR(__xludf.DUMMYFUNCTION("INDEX(SPLIT(A1701, ""/""), 4)"),"#REF!")</f>
        <v>#REF!</v>
      </c>
    </row>
    <row r="1702">
      <c r="A1702" s="1" t="s">
        <v>4070</v>
      </c>
      <c r="B1702" s="1" t="s">
        <v>5251</v>
      </c>
      <c r="C1702" s="1" t="s">
        <v>21</v>
      </c>
      <c r="D1702" s="4" t="s">
        <v>5252</v>
      </c>
      <c r="E1702" s="1" t="s">
        <v>4072</v>
      </c>
      <c r="F1702" s="1" t="s">
        <v>4487</v>
      </c>
      <c r="G1702" s="1" t="s">
        <v>5218</v>
      </c>
      <c r="H1702" s="7" t="s">
        <v>5253</v>
      </c>
      <c r="I1702" s="1" t="str">
        <f t="shared" si="1"/>
        <v>12</v>
      </c>
      <c r="J1702" s="5"/>
      <c r="K1702" s="1" t="str">
        <f t="shared" si="2"/>
        <v>9</v>
      </c>
      <c r="L1702" s="5"/>
      <c r="M1702" s="2" t="str">
        <f t="shared" si="3"/>
        <v>1387</v>
      </c>
      <c r="N1702" s="1"/>
      <c r="O1702" s="13">
        <v>460.0</v>
      </c>
      <c r="P1702" s="5"/>
      <c r="Q1702" s="5"/>
      <c r="R1702" s="8" t="s">
        <v>5253</v>
      </c>
      <c r="S1702" s="5"/>
      <c r="T1702" s="1" t="str">
        <f>IFERROR(__xludf.DUMMYFUNCTION("INDEX(SPLIT(A1702, ""/""), 2)"),"کانون‌های فرهنگی هنری")</f>
        <v>کانون‌های فرهنگی هنری</v>
      </c>
      <c r="U1702" s="1" t="str">
        <f>IFERROR(__xludf.DUMMYFUNCTION("INDEX(SPLIT(A1702, ""/""), 3)"),"روزنامه شریف")</f>
        <v>روزنامه شریف</v>
      </c>
      <c r="V1702" s="1" t="str">
        <f>IFERROR(__xludf.DUMMYFUNCTION("INDEX(SPLIT(A1702, ""/""), 4)"),"#REF!")</f>
        <v>#REF!</v>
      </c>
    </row>
    <row r="1703">
      <c r="A1703" s="1" t="s">
        <v>4070</v>
      </c>
      <c r="B1703" s="1" t="s">
        <v>5254</v>
      </c>
      <c r="C1703" s="1" t="s">
        <v>21</v>
      </c>
      <c r="D1703" s="4" t="s">
        <v>5255</v>
      </c>
      <c r="E1703" s="1" t="s">
        <v>4072</v>
      </c>
      <c r="F1703" s="1" t="s">
        <v>4487</v>
      </c>
      <c r="G1703" s="1" t="s">
        <v>5218</v>
      </c>
      <c r="H1703" s="1" t="s">
        <v>5256</v>
      </c>
      <c r="I1703" s="1" t="str">
        <f t="shared" si="1"/>
        <v>23</v>
      </c>
      <c r="J1703" s="5"/>
      <c r="K1703" s="1" t="str">
        <f t="shared" si="2"/>
        <v>9</v>
      </c>
      <c r="L1703" s="5"/>
      <c r="M1703" s="2" t="str">
        <f t="shared" si="3"/>
        <v>1387</v>
      </c>
      <c r="N1703" s="5"/>
      <c r="O1703" s="13">
        <v>461.0</v>
      </c>
      <c r="P1703" s="5"/>
      <c r="Q1703" s="5"/>
      <c r="R1703" s="6" t="s">
        <v>5256</v>
      </c>
      <c r="S1703" s="5"/>
      <c r="T1703" s="1" t="str">
        <f>IFERROR(__xludf.DUMMYFUNCTION("INDEX(SPLIT(A1703, ""/""), 2)"),"کانون‌های فرهنگی هنری")</f>
        <v>کانون‌های فرهنگی هنری</v>
      </c>
      <c r="U1703" s="1" t="str">
        <f>IFERROR(__xludf.DUMMYFUNCTION("INDEX(SPLIT(A1703, ""/""), 3)"),"روزنامه شریف")</f>
        <v>روزنامه شریف</v>
      </c>
      <c r="V1703" s="1" t="str">
        <f>IFERROR(__xludf.DUMMYFUNCTION("INDEX(SPLIT(A1703, ""/""), 4)"),"#REF!")</f>
        <v>#REF!</v>
      </c>
    </row>
    <row r="1704">
      <c r="A1704" s="1" t="s">
        <v>4070</v>
      </c>
      <c r="B1704" s="1" t="s">
        <v>5257</v>
      </c>
      <c r="C1704" s="1" t="s">
        <v>21</v>
      </c>
      <c r="D1704" s="4" t="s">
        <v>5258</v>
      </c>
      <c r="E1704" s="1" t="s">
        <v>4072</v>
      </c>
      <c r="F1704" s="1" t="s">
        <v>4487</v>
      </c>
      <c r="G1704" s="1" t="s">
        <v>5218</v>
      </c>
      <c r="H1704" s="1" t="s">
        <v>5259</v>
      </c>
      <c r="I1704" s="1" t="str">
        <f t="shared" si="1"/>
        <v>26</v>
      </c>
      <c r="J1704" s="5"/>
      <c r="K1704" s="1" t="str">
        <f t="shared" si="2"/>
        <v>9</v>
      </c>
      <c r="L1704" s="5"/>
      <c r="M1704" s="2" t="str">
        <f t="shared" si="3"/>
        <v>1387</v>
      </c>
      <c r="N1704" s="5"/>
      <c r="O1704" s="13">
        <v>462.0</v>
      </c>
      <c r="P1704" s="5"/>
      <c r="Q1704" s="5"/>
      <c r="R1704" s="6" t="s">
        <v>5259</v>
      </c>
      <c r="S1704" s="5"/>
      <c r="T1704" s="1" t="str">
        <f>IFERROR(__xludf.DUMMYFUNCTION("INDEX(SPLIT(A1704, ""/""), 2)"),"کانون‌های فرهنگی هنری")</f>
        <v>کانون‌های فرهنگی هنری</v>
      </c>
      <c r="U1704" s="1" t="str">
        <f>IFERROR(__xludf.DUMMYFUNCTION("INDEX(SPLIT(A1704, ""/""), 3)"),"روزنامه شریف")</f>
        <v>روزنامه شریف</v>
      </c>
      <c r="V1704" s="1" t="str">
        <f>IFERROR(__xludf.DUMMYFUNCTION("INDEX(SPLIT(A1704, ""/""), 4)"),"#REF!")</f>
        <v>#REF!</v>
      </c>
    </row>
    <row r="1705">
      <c r="A1705" s="1" t="s">
        <v>4070</v>
      </c>
      <c r="B1705" s="1" t="s">
        <v>5260</v>
      </c>
      <c r="C1705" s="1" t="s">
        <v>21</v>
      </c>
      <c r="D1705" s="4" t="s">
        <v>5261</v>
      </c>
      <c r="E1705" s="1" t="s">
        <v>4072</v>
      </c>
      <c r="F1705" s="1" t="s">
        <v>4487</v>
      </c>
      <c r="G1705" s="1" t="s">
        <v>5218</v>
      </c>
      <c r="H1705" s="7" t="s">
        <v>5262</v>
      </c>
      <c r="I1705" s="1" t="str">
        <f t="shared" si="1"/>
        <v>3</v>
      </c>
      <c r="J1705" s="5"/>
      <c r="K1705" s="1" t="str">
        <f t="shared" si="2"/>
        <v>10</v>
      </c>
      <c r="L1705" s="5"/>
      <c r="M1705" s="2" t="str">
        <f t="shared" si="3"/>
        <v>1387</v>
      </c>
      <c r="N1705" s="5"/>
      <c r="O1705" s="13">
        <v>463.0</v>
      </c>
      <c r="P1705" s="5"/>
      <c r="Q1705" s="5"/>
      <c r="R1705" s="8" t="s">
        <v>5262</v>
      </c>
      <c r="S1705" s="5"/>
      <c r="T1705" s="1" t="str">
        <f>IFERROR(__xludf.DUMMYFUNCTION("INDEX(SPLIT(A1705, ""/""), 2)"),"کانون‌های فرهنگی هنری")</f>
        <v>کانون‌های فرهنگی هنری</v>
      </c>
      <c r="U1705" s="1" t="str">
        <f>IFERROR(__xludf.DUMMYFUNCTION("INDEX(SPLIT(A1705, ""/""), 3)"),"روزنامه شریف")</f>
        <v>روزنامه شریف</v>
      </c>
      <c r="V1705" s="1" t="str">
        <f>IFERROR(__xludf.DUMMYFUNCTION("INDEX(SPLIT(A1705, ""/""), 4)"),"#REF!")</f>
        <v>#REF!</v>
      </c>
    </row>
    <row r="1706">
      <c r="A1706" s="1" t="s">
        <v>4070</v>
      </c>
      <c r="B1706" s="1" t="s">
        <v>5263</v>
      </c>
      <c r="C1706" s="1" t="s">
        <v>21</v>
      </c>
      <c r="D1706" s="4" t="s">
        <v>5264</v>
      </c>
      <c r="E1706" s="1" t="s">
        <v>4072</v>
      </c>
      <c r="F1706" s="1" t="s">
        <v>4487</v>
      </c>
      <c r="G1706" s="1" t="s">
        <v>5218</v>
      </c>
      <c r="H1706" s="1" t="s">
        <v>5265</v>
      </c>
      <c r="I1706" s="1" t="str">
        <f t="shared" si="1"/>
        <v>19</v>
      </c>
      <c r="J1706" s="5"/>
      <c r="K1706" s="1" t="str">
        <f t="shared" si="2"/>
        <v>11</v>
      </c>
      <c r="L1706" s="5"/>
      <c r="M1706" s="2" t="str">
        <f t="shared" si="3"/>
        <v>1387</v>
      </c>
      <c r="N1706" s="5"/>
      <c r="O1706" s="13">
        <v>464.0</v>
      </c>
      <c r="P1706" s="5"/>
      <c r="Q1706" s="5"/>
      <c r="R1706" s="6" t="s">
        <v>5265</v>
      </c>
      <c r="S1706" s="5"/>
      <c r="T1706" s="1" t="str">
        <f>IFERROR(__xludf.DUMMYFUNCTION("INDEX(SPLIT(A1706, ""/""), 2)"),"کانون‌های فرهنگی هنری")</f>
        <v>کانون‌های فرهنگی هنری</v>
      </c>
      <c r="U1706" s="1" t="str">
        <f>IFERROR(__xludf.DUMMYFUNCTION("INDEX(SPLIT(A1706, ""/""), 3)"),"روزنامه شریف")</f>
        <v>روزنامه شریف</v>
      </c>
      <c r="V1706" s="1" t="str">
        <f>IFERROR(__xludf.DUMMYFUNCTION("INDEX(SPLIT(A1706, ""/""), 4)"),"#REF!")</f>
        <v>#REF!</v>
      </c>
    </row>
    <row r="1707">
      <c r="A1707" s="1" t="s">
        <v>4070</v>
      </c>
      <c r="B1707" s="1" t="s">
        <v>5266</v>
      </c>
      <c r="C1707" s="1" t="s">
        <v>21</v>
      </c>
      <c r="D1707" s="4" t="s">
        <v>5267</v>
      </c>
      <c r="E1707" s="1" t="s">
        <v>4072</v>
      </c>
      <c r="F1707" s="1" t="s">
        <v>4487</v>
      </c>
      <c r="G1707" s="1" t="s">
        <v>5218</v>
      </c>
      <c r="H1707" s="1" t="s">
        <v>5268</v>
      </c>
      <c r="I1707" s="1" t="str">
        <f t="shared" si="1"/>
        <v>26</v>
      </c>
      <c r="J1707" s="5"/>
      <c r="K1707" s="1" t="str">
        <f t="shared" si="2"/>
        <v>11</v>
      </c>
      <c r="L1707" s="5"/>
      <c r="M1707" s="2" t="str">
        <f t="shared" si="3"/>
        <v>1387</v>
      </c>
      <c r="N1707" s="5"/>
      <c r="O1707" s="13">
        <v>465.0</v>
      </c>
      <c r="P1707" s="5"/>
      <c r="Q1707" s="5"/>
      <c r="R1707" s="6" t="s">
        <v>5268</v>
      </c>
      <c r="S1707" s="5"/>
      <c r="T1707" s="1" t="str">
        <f>IFERROR(__xludf.DUMMYFUNCTION("INDEX(SPLIT(A1707, ""/""), 2)"),"کانون‌های فرهنگی هنری")</f>
        <v>کانون‌های فرهنگی هنری</v>
      </c>
      <c r="U1707" s="1" t="str">
        <f>IFERROR(__xludf.DUMMYFUNCTION("INDEX(SPLIT(A1707, ""/""), 3)"),"روزنامه شریف")</f>
        <v>روزنامه شریف</v>
      </c>
      <c r="V1707" s="1" t="str">
        <f>IFERROR(__xludf.DUMMYFUNCTION("INDEX(SPLIT(A1707, ""/""), 4)"),"#REF!")</f>
        <v>#REF!</v>
      </c>
    </row>
    <row r="1708">
      <c r="A1708" s="1" t="s">
        <v>4070</v>
      </c>
      <c r="B1708" s="1" t="s">
        <v>5269</v>
      </c>
      <c r="C1708" s="1" t="s">
        <v>21</v>
      </c>
      <c r="D1708" s="4" t="s">
        <v>5270</v>
      </c>
      <c r="E1708" s="1" t="s">
        <v>4072</v>
      </c>
      <c r="F1708" s="1" t="s">
        <v>4487</v>
      </c>
      <c r="G1708" s="1" t="s">
        <v>5218</v>
      </c>
      <c r="H1708" s="1" t="s">
        <v>5271</v>
      </c>
      <c r="I1708" s="1" t="str">
        <f t="shared" si="1"/>
        <v>29</v>
      </c>
      <c r="J1708" s="5"/>
      <c r="K1708" s="1" t="str">
        <f t="shared" si="2"/>
        <v>11</v>
      </c>
      <c r="L1708" s="5"/>
      <c r="M1708" s="2" t="str">
        <f t="shared" si="3"/>
        <v>1387</v>
      </c>
      <c r="N1708" s="5"/>
      <c r="O1708" s="13">
        <v>466.0</v>
      </c>
      <c r="P1708" s="5"/>
      <c r="Q1708" s="5"/>
      <c r="R1708" s="6" t="s">
        <v>5271</v>
      </c>
      <c r="S1708" s="5"/>
      <c r="T1708" s="1" t="str">
        <f>IFERROR(__xludf.DUMMYFUNCTION("INDEX(SPLIT(A1708, ""/""), 2)"),"کانون‌های فرهنگی هنری")</f>
        <v>کانون‌های فرهنگی هنری</v>
      </c>
      <c r="U1708" s="1" t="str">
        <f>IFERROR(__xludf.DUMMYFUNCTION("INDEX(SPLIT(A1708, ""/""), 3)"),"روزنامه شریف")</f>
        <v>روزنامه شریف</v>
      </c>
      <c r="V1708" s="1" t="str">
        <f>IFERROR(__xludf.DUMMYFUNCTION("INDEX(SPLIT(A1708, ""/""), 4)"),"#REF!")</f>
        <v>#REF!</v>
      </c>
    </row>
    <row r="1709">
      <c r="A1709" s="1" t="s">
        <v>4070</v>
      </c>
      <c r="B1709" s="1" t="s">
        <v>5272</v>
      </c>
      <c r="C1709" s="1" t="s">
        <v>21</v>
      </c>
      <c r="D1709" s="4" t="s">
        <v>5273</v>
      </c>
      <c r="E1709" s="1" t="s">
        <v>4072</v>
      </c>
      <c r="F1709" s="1" t="s">
        <v>4487</v>
      </c>
      <c r="G1709" s="1" t="s">
        <v>5218</v>
      </c>
      <c r="H1709" s="7" t="s">
        <v>5274</v>
      </c>
      <c r="I1709" s="1" t="str">
        <f t="shared" si="1"/>
        <v>3</v>
      </c>
      <c r="J1709" s="5"/>
      <c r="K1709" s="1" t="str">
        <f t="shared" si="2"/>
        <v>12</v>
      </c>
      <c r="L1709" s="5"/>
      <c r="M1709" s="2" t="str">
        <f t="shared" si="3"/>
        <v>1387</v>
      </c>
      <c r="N1709" s="5"/>
      <c r="O1709" s="13">
        <v>467.0</v>
      </c>
      <c r="P1709" s="5"/>
      <c r="Q1709" s="5"/>
      <c r="R1709" s="8" t="s">
        <v>5274</v>
      </c>
      <c r="S1709" s="5"/>
      <c r="T1709" s="1" t="str">
        <f>IFERROR(__xludf.DUMMYFUNCTION("INDEX(SPLIT(A1709, ""/""), 2)"),"کانون‌های فرهنگی هنری")</f>
        <v>کانون‌های فرهنگی هنری</v>
      </c>
      <c r="U1709" s="1" t="str">
        <f>IFERROR(__xludf.DUMMYFUNCTION("INDEX(SPLIT(A1709, ""/""), 3)"),"روزنامه شریف")</f>
        <v>روزنامه شریف</v>
      </c>
      <c r="V1709" s="1" t="str">
        <f>IFERROR(__xludf.DUMMYFUNCTION("INDEX(SPLIT(A1709, ""/""), 4)"),"#REF!")</f>
        <v>#REF!</v>
      </c>
    </row>
    <row r="1710">
      <c r="A1710" s="1" t="s">
        <v>4070</v>
      </c>
      <c r="B1710" s="1" t="s">
        <v>5275</v>
      </c>
      <c r="C1710" s="1" t="s">
        <v>21</v>
      </c>
      <c r="D1710" s="4" t="s">
        <v>5276</v>
      </c>
      <c r="E1710" s="1" t="s">
        <v>4072</v>
      </c>
      <c r="F1710" s="1" t="s">
        <v>4487</v>
      </c>
      <c r="G1710" s="1" t="s">
        <v>5218</v>
      </c>
      <c r="H1710" s="1" t="s">
        <v>5277</v>
      </c>
      <c r="I1710" s="1" t="str">
        <f t="shared" si="1"/>
        <v>13</v>
      </c>
      <c r="J1710" s="5"/>
      <c r="K1710" s="1" t="str">
        <f t="shared" si="2"/>
        <v>12</v>
      </c>
      <c r="L1710" s="5"/>
      <c r="M1710" s="2" t="str">
        <f t="shared" si="3"/>
        <v>1387</v>
      </c>
      <c r="N1710" s="1"/>
      <c r="O1710" s="13">
        <v>468.0</v>
      </c>
      <c r="P1710" s="5"/>
      <c r="Q1710" s="5"/>
      <c r="R1710" s="6" t="s">
        <v>5277</v>
      </c>
      <c r="S1710" s="5"/>
      <c r="T1710" s="1" t="str">
        <f>IFERROR(__xludf.DUMMYFUNCTION("INDEX(SPLIT(A1710, ""/""), 2)"),"کانون‌های فرهنگی هنری")</f>
        <v>کانون‌های فرهنگی هنری</v>
      </c>
      <c r="U1710" s="1" t="str">
        <f>IFERROR(__xludf.DUMMYFUNCTION("INDEX(SPLIT(A1710, ""/""), 3)"),"روزنامه شریف")</f>
        <v>روزنامه شریف</v>
      </c>
      <c r="V1710" s="1" t="str">
        <f>IFERROR(__xludf.DUMMYFUNCTION("INDEX(SPLIT(A1710, ""/""), 4)"),"#REF!")</f>
        <v>#REF!</v>
      </c>
    </row>
    <row r="1711">
      <c r="A1711" s="1" t="s">
        <v>4070</v>
      </c>
      <c r="B1711" s="1" t="s">
        <v>5278</v>
      </c>
      <c r="C1711" s="1" t="s">
        <v>21</v>
      </c>
      <c r="D1711" s="4" t="s">
        <v>5279</v>
      </c>
      <c r="E1711" s="1" t="s">
        <v>4072</v>
      </c>
      <c r="F1711" s="1" t="s">
        <v>4487</v>
      </c>
      <c r="G1711" s="1" t="s">
        <v>5218</v>
      </c>
      <c r="H1711" s="1" t="s">
        <v>5280</v>
      </c>
      <c r="I1711" s="1" t="str">
        <f t="shared" si="1"/>
        <v>17</v>
      </c>
      <c r="J1711" s="5"/>
      <c r="K1711" s="1" t="str">
        <f t="shared" si="2"/>
        <v>12</v>
      </c>
      <c r="L1711" s="5"/>
      <c r="M1711" s="2" t="str">
        <f t="shared" si="3"/>
        <v>1387</v>
      </c>
      <c r="N1711" s="1"/>
      <c r="O1711" s="13">
        <v>469.0</v>
      </c>
      <c r="P1711" s="5"/>
      <c r="Q1711" s="5"/>
      <c r="R1711" s="6" t="s">
        <v>5280</v>
      </c>
      <c r="S1711" s="5"/>
      <c r="T1711" s="1" t="str">
        <f>IFERROR(__xludf.DUMMYFUNCTION("INDEX(SPLIT(A1711, ""/""), 2)"),"کانون‌های فرهنگی هنری")</f>
        <v>کانون‌های فرهنگی هنری</v>
      </c>
      <c r="U1711" s="1" t="str">
        <f>IFERROR(__xludf.DUMMYFUNCTION("INDEX(SPLIT(A1711, ""/""), 3)"),"روزنامه شریف")</f>
        <v>روزنامه شریف</v>
      </c>
      <c r="V1711" s="1" t="str">
        <f>IFERROR(__xludf.DUMMYFUNCTION("INDEX(SPLIT(A1711, ""/""), 4)"),"#REF!")</f>
        <v>#REF!</v>
      </c>
    </row>
    <row r="1712">
      <c r="A1712" s="1" t="s">
        <v>4070</v>
      </c>
      <c r="B1712" s="1" t="s">
        <v>5281</v>
      </c>
      <c r="C1712" s="1" t="s">
        <v>21</v>
      </c>
      <c r="D1712" s="4" t="s">
        <v>5282</v>
      </c>
      <c r="E1712" s="1" t="s">
        <v>4072</v>
      </c>
      <c r="F1712" s="1" t="s">
        <v>4487</v>
      </c>
      <c r="G1712" s="1" t="s">
        <v>5218</v>
      </c>
      <c r="H1712" s="1" t="s">
        <v>1062</v>
      </c>
      <c r="I1712" s="1" t="str">
        <f t="shared" si="1"/>
        <v>20</v>
      </c>
      <c r="J1712" s="5"/>
      <c r="K1712" s="1" t="str">
        <f t="shared" si="2"/>
        <v>12</v>
      </c>
      <c r="L1712" s="5"/>
      <c r="M1712" s="2" t="str">
        <f t="shared" si="3"/>
        <v>1387</v>
      </c>
      <c r="N1712" s="1"/>
      <c r="O1712" s="13">
        <v>470.0</v>
      </c>
      <c r="P1712" s="5"/>
      <c r="Q1712" s="5"/>
      <c r="R1712" s="6" t="s">
        <v>1062</v>
      </c>
      <c r="S1712" s="5"/>
      <c r="T1712" s="1" t="str">
        <f>IFERROR(__xludf.DUMMYFUNCTION("INDEX(SPLIT(A1712, ""/""), 2)"),"کانون‌های فرهنگی هنری")</f>
        <v>کانون‌های فرهنگی هنری</v>
      </c>
      <c r="U1712" s="1" t="str">
        <f>IFERROR(__xludf.DUMMYFUNCTION("INDEX(SPLIT(A1712, ""/""), 3)"),"روزنامه شریف")</f>
        <v>روزنامه شریف</v>
      </c>
      <c r="V1712" s="1" t="str">
        <f>IFERROR(__xludf.DUMMYFUNCTION("INDEX(SPLIT(A1712, ""/""), 4)"),"#REF!")</f>
        <v>#REF!</v>
      </c>
    </row>
    <row r="1713">
      <c r="A1713" s="1" t="s">
        <v>4070</v>
      </c>
      <c r="B1713" s="1" t="s">
        <v>5283</v>
      </c>
      <c r="C1713" s="1" t="s">
        <v>21</v>
      </c>
      <c r="D1713" s="4" t="s">
        <v>5284</v>
      </c>
      <c r="E1713" s="1" t="s">
        <v>71</v>
      </c>
      <c r="F1713" s="1" t="s">
        <v>5285</v>
      </c>
      <c r="G1713" s="1" t="s">
        <v>5286</v>
      </c>
      <c r="H1713" s="1" t="s">
        <v>5287</v>
      </c>
      <c r="I1713" s="1" t="str">
        <f t="shared" si="1"/>
        <v>20</v>
      </c>
      <c r="J1713" s="5"/>
      <c r="K1713" s="1" t="str">
        <f t="shared" si="2"/>
        <v>8</v>
      </c>
      <c r="L1713" s="5"/>
      <c r="M1713" s="2" t="str">
        <f t="shared" si="3"/>
        <v>1399</v>
      </c>
      <c r="N1713" s="5"/>
      <c r="O1713" s="13">
        <v>471.0</v>
      </c>
      <c r="P1713" s="5"/>
      <c r="Q1713" s="5"/>
      <c r="R1713" s="6" t="s">
        <v>5287</v>
      </c>
      <c r="S1713" s="5"/>
      <c r="T1713" s="1" t="str">
        <f>IFERROR(__xludf.DUMMYFUNCTION("INDEX(SPLIT(A1713, ""/""), 2)"),"کانون‌های فرهنگی هنری")</f>
        <v>کانون‌های فرهنگی هنری</v>
      </c>
      <c r="U1713" s="1" t="str">
        <f>IFERROR(__xludf.DUMMYFUNCTION("INDEX(SPLIT(A1713, ""/""), 3)"),"روزنامه شریف")</f>
        <v>روزنامه شریف</v>
      </c>
      <c r="V1713" s="1" t="str">
        <f>IFERROR(__xludf.DUMMYFUNCTION("INDEX(SPLIT(A1713, ""/""), 4)"),"#REF!")</f>
        <v>#REF!</v>
      </c>
    </row>
    <row r="1714">
      <c r="A1714" s="1" t="s">
        <v>4070</v>
      </c>
      <c r="B1714" s="1" t="s">
        <v>5288</v>
      </c>
      <c r="C1714" s="1" t="s">
        <v>21</v>
      </c>
      <c r="D1714" s="4" t="s">
        <v>5289</v>
      </c>
      <c r="E1714" s="1" t="s">
        <v>4072</v>
      </c>
      <c r="F1714" s="1" t="s">
        <v>4487</v>
      </c>
      <c r="G1714" s="1" t="s">
        <v>5218</v>
      </c>
      <c r="H1714" s="1" t="s">
        <v>5290</v>
      </c>
      <c r="I1714" s="1" t="str">
        <f t="shared" si="1"/>
        <v>25</v>
      </c>
      <c r="J1714" s="5"/>
      <c r="K1714" s="1" t="str">
        <f t="shared" si="2"/>
        <v>1</v>
      </c>
      <c r="L1714" s="5"/>
      <c r="M1714" s="2" t="str">
        <f t="shared" si="3"/>
        <v>1388</v>
      </c>
      <c r="N1714" s="1"/>
      <c r="O1714" s="13">
        <v>472.0</v>
      </c>
      <c r="P1714" s="5"/>
      <c r="Q1714" s="5"/>
      <c r="R1714" s="6" t="s">
        <v>5290</v>
      </c>
      <c r="S1714" s="5"/>
      <c r="T1714" s="1" t="str">
        <f>IFERROR(__xludf.DUMMYFUNCTION("INDEX(SPLIT(A1714, ""/""), 2)"),"کانون‌های فرهنگی هنری")</f>
        <v>کانون‌های فرهنگی هنری</v>
      </c>
      <c r="U1714" s="1" t="str">
        <f>IFERROR(__xludf.DUMMYFUNCTION("INDEX(SPLIT(A1714, ""/""), 3)"),"روزنامه شریف")</f>
        <v>روزنامه شریف</v>
      </c>
      <c r="V1714" s="1" t="str">
        <f>IFERROR(__xludf.DUMMYFUNCTION("INDEX(SPLIT(A1714, ""/""), 4)"),"#REF!")</f>
        <v>#REF!</v>
      </c>
    </row>
    <row r="1715">
      <c r="A1715" s="1" t="s">
        <v>4070</v>
      </c>
      <c r="B1715" s="1" t="s">
        <v>5291</v>
      </c>
      <c r="C1715" s="1" t="s">
        <v>21</v>
      </c>
      <c r="D1715" s="4" t="s">
        <v>5292</v>
      </c>
      <c r="E1715" s="1" t="s">
        <v>4072</v>
      </c>
      <c r="F1715" s="1" t="s">
        <v>4487</v>
      </c>
      <c r="G1715" s="1" t="s">
        <v>5218</v>
      </c>
      <c r="H1715" s="1" t="s">
        <v>5293</v>
      </c>
      <c r="I1715" s="1" t="str">
        <f t="shared" si="1"/>
        <v>29</v>
      </c>
      <c r="J1715" s="5"/>
      <c r="K1715" s="1" t="str">
        <f t="shared" si="2"/>
        <v>1</v>
      </c>
      <c r="L1715" s="5"/>
      <c r="M1715" s="2" t="str">
        <f t="shared" si="3"/>
        <v>1388</v>
      </c>
      <c r="N1715" s="1"/>
      <c r="O1715" s="13">
        <v>473.0</v>
      </c>
      <c r="P1715" s="5"/>
      <c r="Q1715" s="5"/>
      <c r="R1715" s="6" t="s">
        <v>5293</v>
      </c>
      <c r="S1715" s="5"/>
      <c r="T1715" s="1" t="str">
        <f>IFERROR(__xludf.DUMMYFUNCTION("INDEX(SPLIT(A1715, ""/""), 2)"),"کانون‌های فرهنگی هنری")</f>
        <v>کانون‌های فرهنگی هنری</v>
      </c>
      <c r="U1715" s="1" t="str">
        <f>IFERROR(__xludf.DUMMYFUNCTION("INDEX(SPLIT(A1715, ""/""), 3)"),"روزنامه شریف")</f>
        <v>روزنامه شریف</v>
      </c>
      <c r="V1715" s="1" t="str">
        <f>IFERROR(__xludf.DUMMYFUNCTION("INDEX(SPLIT(A1715, ""/""), 4)"),"#REF!")</f>
        <v>#REF!</v>
      </c>
    </row>
    <row r="1716">
      <c r="A1716" s="1" t="s">
        <v>4070</v>
      </c>
      <c r="B1716" s="1" t="s">
        <v>5294</v>
      </c>
      <c r="C1716" s="1" t="s">
        <v>21</v>
      </c>
      <c r="D1716" s="4" t="s">
        <v>5295</v>
      </c>
      <c r="E1716" s="1" t="s">
        <v>4072</v>
      </c>
      <c r="F1716" s="1" t="s">
        <v>4487</v>
      </c>
      <c r="G1716" s="1" t="s">
        <v>5218</v>
      </c>
      <c r="H1716" s="7" t="s">
        <v>1068</v>
      </c>
      <c r="I1716" s="1" t="str">
        <f t="shared" si="1"/>
        <v>1</v>
      </c>
      <c r="J1716" s="5"/>
      <c r="K1716" s="1" t="str">
        <f t="shared" si="2"/>
        <v>2</v>
      </c>
      <c r="L1716" s="5"/>
      <c r="M1716" s="2" t="str">
        <f t="shared" si="3"/>
        <v>1388</v>
      </c>
      <c r="N1716" s="1"/>
      <c r="O1716" s="13">
        <v>474.0</v>
      </c>
      <c r="P1716" s="5"/>
      <c r="Q1716" s="5"/>
      <c r="R1716" s="8" t="s">
        <v>1068</v>
      </c>
      <c r="S1716" s="5"/>
      <c r="T1716" s="1" t="str">
        <f>IFERROR(__xludf.DUMMYFUNCTION("INDEX(SPLIT(A1716, ""/""), 2)"),"کانون‌های فرهنگی هنری")</f>
        <v>کانون‌های فرهنگی هنری</v>
      </c>
      <c r="U1716" s="1" t="str">
        <f>IFERROR(__xludf.DUMMYFUNCTION("INDEX(SPLIT(A1716, ""/""), 3)"),"روزنامه شریف")</f>
        <v>روزنامه شریف</v>
      </c>
      <c r="V1716" s="1" t="str">
        <f>IFERROR(__xludf.DUMMYFUNCTION("INDEX(SPLIT(A1716, ""/""), 4)"),"#REF!")</f>
        <v>#REF!</v>
      </c>
    </row>
    <row r="1717">
      <c r="A1717" s="1" t="s">
        <v>4070</v>
      </c>
      <c r="B1717" s="1" t="s">
        <v>5296</v>
      </c>
      <c r="C1717" s="1" t="s">
        <v>21</v>
      </c>
      <c r="D1717" s="4" t="s">
        <v>5297</v>
      </c>
      <c r="E1717" s="1" t="s">
        <v>4072</v>
      </c>
      <c r="F1717" s="1" t="s">
        <v>4487</v>
      </c>
      <c r="G1717" s="1" t="s">
        <v>5218</v>
      </c>
      <c r="H1717" s="7" t="s">
        <v>5298</v>
      </c>
      <c r="I1717" s="1" t="str">
        <f t="shared" si="1"/>
        <v>5</v>
      </c>
      <c r="J1717" s="5"/>
      <c r="K1717" s="1" t="str">
        <f t="shared" si="2"/>
        <v>2</v>
      </c>
      <c r="L1717" s="5"/>
      <c r="M1717" s="2" t="str">
        <f t="shared" si="3"/>
        <v>1388</v>
      </c>
      <c r="N1717" s="1"/>
      <c r="O1717" s="13">
        <v>475.0</v>
      </c>
      <c r="P1717" s="5"/>
      <c r="Q1717" s="5"/>
      <c r="R1717" s="8" t="s">
        <v>5298</v>
      </c>
      <c r="S1717" s="5"/>
      <c r="T1717" s="1" t="str">
        <f>IFERROR(__xludf.DUMMYFUNCTION("INDEX(SPLIT(A1717, ""/""), 2)"),"کانون‌های فرهنگی هنری")</f>
        <v>کانون‌های فرهنگی هنری</v>
      </c>
      <c r="U1717" s="1" t="str">
        <f>IFERROR(__xludf.DUMMYFUNCTION("INDEX(SPLIT(A1717, ""/""), 3)"),"روزنامه شریف")</f>
        <v>روزنامه شریف</v>
      </c>
      <c r="V1717" s="1" t="str">
        <f>IFERROR(__xludf.DUMMYFUNCTION("INDEX(SPLIT(A1717, ""/""), 4)"),"#REF!")</f>
        <v>#REF!</v>
      </c>
    </row>
    <row r="1718">
      <c r="A1718" s="1" t="s">
        <v>4070</v>
      </c>
      <c r="B1718" s="1" t="s">
        <v>5299</v>
      </c>
      <c r="C1718" s="1" t="s">
        <v>21</v>
      </c>
      <c r="D1718" s="4" t="s">
        <v>5300</v>
      </c>
      <c r="E1718" s="1" t="s">
        <v>4072</v>
      </c>
      <c r="F1718" s="1" t="s">
        <v>4487</v>
      </c>
      <c r="G1718" s="1" t="s">
        <v>5218</v>
      </c>
      <c r="H1718" s="7" t="s">
        <v>5301</v>
      </c>
      <c r="I1718" s="1" t="str">
        <f t="shared" si="1"/>
        <v>8</v>
      </c>
      <c r="J1718" s="5"/>
      <c r="K1718" s="1" t="str">
        <f t="shared" si="2"/>
        <v>2</v>
      </c>
      <c r="L1718" s="5"/>
      <c r="M1718" s="2" t="str">
        <f t="shared" si="3"/>
        <v>1388</v>
      </c>
      <c r="N1718" s="5"/>
      <c r="O1718" s="13">
        <v>476.0</v>
      </c>
      <c r="P1718" s="5"/>
      <c r="Q1718" s="5"/>
      <c r="R1718" s="8" t="s">
        <v>5301</v>
      </c>
      <c r="S1718" s="5"/>
      <c r="T1718" s="1" t="str">
        <f>IFERROR(__xludf.DUMMYFUNCTION("INDEX(SPLIT(A1718, ""/""), 2)"),"کانون‌های فرهنگی هنری")</f>
        <v>کانون‌های فرهنگی هنری</v>
      </c>
      <c r="U1718" s="1" t="str">
        <f>IFERROR(__xludf.DUMMYFUNCTION("INDEX(SPLIT(A1718, ""/""), 3)"),"روزنامه شریف")</f>
        <v>روزنامه شریف</v>
      </c>
      <c r="V1718" s="1" t="str">
        <f>IFERROR(__xludf.DUMMYFUNCTION("INDEX(SPLIT(A1718, ""/""), 4)"),"#REF!")</f>
        <v>#REF!</v>
      </c>
    </row>
    <row r="1719">
      <c r="A1719" s="1" t="s">
        <v>4070</v>
      </c>
      <c r="B1719" s="1" t="s">
        <v>5302</v>
      </c>
      <c r="C1719" s="1" t="s">
        <v>21</v>
      </c>
      <c r="D1719" s="4" t="s">
        <v>5303</v>
      </c>
      <c r="E1719" s="1" t="s">
        <v>4072</v>
      </c>
      <c r="F1719" s="1" t="s">
        <v>4487</v>
      </c>
      <c r="G1719" s="1" t="s">
        <v>5218</v>
      </c>
      <c r="H1719" s="7" t="s">
        <v>5304</v>
      </c>
      <c r="I1719" s="1" t="str">
        <f t="shared" si="1"/>
        <v>12</v>
      </c>
      <c r="J1719" s="5"/>
      <c r="K1719" s="1" t="str">
        <f t="shared" si="2"/>
        <v>2</v>
      </c>
      <c r="L1719" s="5"/>
      <c r="M1719" s="2" t="str">
        <f t="shared" si="3"/>
        <v>1388</v>
      </c>
      <c r="N1719" s="1"/>
      <c r="O1719" s="13">
        <v>477.0</v>
      </c>
      <c r="P1719" s="5"/>
      <c r="Q1719" s="5"/>
      <c r="R1719" s="8" t="s">
        <v>5304</v>
      </c>
      <c r="S1719" s="5"/>
      <c r="T1719" s="1" t="str">
        <f>IFERROR(__xludf.DUMMYFUNCTION("INDEX(SPLIT(A1719, ""/""), 2)"),"کانون‌های فرهنگی هنری")</f>
        <v>کانون‌های فرهنگی هنری</v>
      </c>
      <c r="U1719" s="1" t="str">
        <f>IFERROR(__xludf.DUMMYFUNCTION("INDEX(SPLIT(A1719, ""/""), 3)"),"روزنامه شریف")</f>
        <v>روزنامه شریف</v>
      </c>
      <c r="V1719" s="1" t="str">
        <f>IFERROR(__xludf.DUMMYFUNCTION("INDEX(SPLIT(A1719, ""/""), 4)"),"#REF!")</f>
        <v>#REF!</v>
      </c>
    </row>
    <row r="1720">
      <c r="A1720" s="1" t="s">
        <v>4070</v>
      </c>
      <c r="B1720" s="1" t="s">
        <v>5305</v>
      </c>
      <c r="C1720" s="1" t="s">
        <v>21</v>
      </c>
      <c r="D1720" s="4" t="s">
        <v>5306</v>
      </c>
      <c r="E1720" s="1" t="s">
        <v>4072</v>
      </c>
      <c r="F1720" s="1" t="s">
        <v>4487</v>
      </c>
      <c r="G1720" s="1" t="s">
        <v>5218</v>
      </c>
      <c r="H1720" s="1" t="s">
        <v>1628</v>
      </c>
      <c r="I1720" s="1" t="str">
        <f t="shared" si="1"/>
        <v>15</v>
      </c>
      <c r="J1720" s="5"/>
      <c r="K1720" s="1" t="str">
        <f t="shared" si="2"/>
        <v>2</v>
      </c>
      <c r="L1720" s="5"/>
      <c r="M1720" s="2" t="str">
        <f t="shared" si="3"/>
        <v>1388</v>
      </c>
      <c r="N1720" s="1"/>
      <c r="O1720" s="13">
        <v>478.0</v>
      </c>
      <c r="P1720" s="5"/>
      <c r="Q1720" s="5"/>
      <c r="R1720" s="6" t="s">
        <v>1628</v>
      </c>
      <c r="S1720" s="5"/>
      <c r="T1720" s="1" t="str">
        <f>IFERROR(__xludf.DUMMYFUNCTION("INDEX(SPLIT(A1720, ""/""), 2)"),"کانون‌های فرهنگی هنری")</f>
        <v>کانون‌های فرهنگی هنری</v>
      </c>
      <c r="U1720" s="1" t="str">
        <f>IFERROR(__xludf.DUMMYFUNCTION("INDEX(SPLIT(A1720, ""/""), 3)"),"روزنامه شریف")</f>
        <v>روزنامه شریف</v>
      </c>
      <c r="V1720" s="1" t="str">
        <f>IFERROR(__xludf.DUMMYFUNCTION("INDEX(SPLIT(A1720, ""/""), 4)"),"#REF!")</f>
        <v>#REF!</v>
      </c>
    </row>
    <row r="1721">
      <c r="A1721" s="1" t="s">
        <v>4070</v>
      </c>
      <c r="B1721" s="1" t="s">
        <v>5307</v>
      </c>
      <c r="C1721" s="1" t="s">
        <v>21</v>
      </c>
      <c r="D1721" s="4" t="s">
        <v>5308</v>
      </c>
      <c r="E1721" s="1" t="s">
        <v>4072</v>
      </c>
      <c r="F1721" s="1" t="s">
        <v>4487</v>
      </c>
      <c r="G1721" s="1" t="s">
        <v>5218</v>
      </c>
      <c r="H1721" s="1" t="s">
        <v>5309</v>
      </c>
      <c r="I1721" s="1" t="str">
        <f t="shared" si="1"/>
        <v>19</v>
      </c>
      <c r="J1721" s="5"/>
      <c r="K1721" s="1" t="str">
        <f t="shared" si="2"/>
        <v>2</v>
      </c>
      <c r="L1721" s="5"/>
      <c r="M1721" s="2" t="str">
        <f t="shared" si="3"/>
        <v>1388</v>
      </c>
      <c r="N1721" s="1"/>
      <c r="O1721" s="13">
        <v>479.0</v>
      </c>
      <c r="P1721" s="5"/>
      <c r="Q1721" s="5"/>
      <c r="R1721" s="6" t="s">
        <v>5309</v>
      </c>
      <c r="S1721" s="5"/>
      <c r="T1721" s="1" t="str">
        <f>IFERROR(__xludf.DUMMYFUNCTION("INDEX(SPLIT(A1721, ""/""), 2)"),"کانون‌های فرهنگی هنری")</f>
        <v>کانون‌های فرهنگی هنری</v>
      </c>
      <c r="U1721" s="1" t="str">
        <f>IFERROR(__xludf.DUMMYFUNCTION("INDEX(SPLIT(A1721, ""/""), 3)"),"روزنامه شریف")</f>
        <v>روزنامه شریف</v>
      </c>
      <c r="V1721" s="1" t="str">
        <f>IFERROR(__xludf.DUMMYFUNCTION("INDEX(SPLIT(A1721, ""/""), 4)"),"#REF!")</f>
        <v>#REF!</v>
      </c>
    </row>
    <row r="1722">
      <c r="A1722" s="1" t="s">
        <v>4070</v>
      </c>
      <c r="B1722" s="1" t="s">
        <v>5310</v>
      </c>
      <c r="C1722" s="1" t="s">
        <v>21</v>
      </c>
      <c r="D1722" s="4" t="s">
        <v>5311</v>
      </c>
      <c r="E1722" s="1" t="s">
        <v>4072</v>
      </c>
      <c r="F1722" s="1" t="s">
        <v>4487</v>
      </c>
      <c r="G1722" s="1" t="s">
        <v>5218</v>
      </c>
      <c r="H1722" s="1" t="s">
        <v>5312</v>
      </c>
      <c r="I1722" s="1" t="str">
        <f t="shared" si="1"/>
        <v>22</v>
      </c>
      <c r="J1722" s="5"/>
      <c r="K1722" s="1" t="str">
        <f t="shared" si="2"/>
        <v>2</v>
      </c>
      <c r="L1722" s="5"/>
      <c r="M1722" s="2" t="str">
        <f t="shared" si="3"/>
        <v>1388</v>
      </c>
      <c r="N1722" s="1"/>
      <c r="O1722" s="13">
        <v>480.0</v>
      </c>
      <c r="P1722" s="5"/>
      <c r="Q1722" s="5"/>
      <c r="R1722" s="6" t="s">
        <v>5312</v>
      </c>
      <c r="S1722" s="5"/>
      <c r="T1722" s="1" t="str">
        <f>IFERROR(__xludf.DUMMYFUNCTION("INDEX(SPLIT(A1722, ""/""), 2)"),"کانون‌های فرهنگی هنری")</f>
        <v>کانون‌های فرهنگی هنری</v>
      </c>
      <c r="U1722" s="1" t="str">
        <f>IFERROR(__xludf.DUMMYFUNCTION("INDEX(SPLIT(A1722, ""/""), 3)"),"روزنامه شریف")</f>
        <v>روزنامه شریف</v>
      </c>
      <c r="V1722" s="1" t="str">
        <f>IFERROR(__xludf.DUMMYFUNCTION("INDEX(SPLIT(A1722, ""/""), 4)"),"#REF!")</f>
        <v>#REF!</v>
      </c>
    </row>
    <row r="1723">
      <c r="A1723" s="1" t="s">
        <v>4070</v>
      </c>
      <c r="B1723" s="1" t="s">
        <v>5313</v>
      </c>
      <c r="C1723" s="1" t="s">
        <v>21</v>
      </c>
      <c r="D1723" s="4" t="s">
        <v>5314</v>
      </c>
      <c r="E1723" s="1" t="s">
        <v>4072</v>
      </c>
      <c r="F1723" s="1" t="s">
        <v>4487</v>
      </c>
      <c r="G1723" s="1" t="s">
        <v>5218</v>
      </c>
      <c r="H1723" s="1" t="s">
        <v>5315</v>
      </c>
      <c r="I1723" s="1" t="str">
        <f t="shared" si="1"/>
        <v>26</v>
      </c>
      <c r="J1723" s="5"/>
      <c r="K1723" s="1" t="str">
        <f t="shared" si="2"/>
        <v>2</v>
      </c>
      <c r="L1723" s="5"/>
      <c r="M1723" s="2" t="str">
        <f t="shared" si="3"/>
        <v>1388</v>
      </c>
      <c r="N1723" s="1"/>
      <c r="O1723" s="13">
        <v>481.0</v>
      </c>
      <c r="P1723" s="5"/>
      <c r="Q1723" s="5"/>
      <c r="R1723" s="6" t="s">
        <v>5315</v>
      </c>
      <c r="S1723" s="5"/>
      <c r="T1723" s="1" t="str">
        <f>IFERROR(__xludf.DUMMYFUNCTION("INDEX(SPLIT(A1723, ""/""), 2)"),"کانون‌های فرهنگی هنری")</f>
        <v>کانون‌های فرهنگی هنری</v>
      </c>
      <c r="U1723" s="1" t="str">
        <f>IFERROR(__xludf.DUMMYFUNCTION("INDEX(SPLIT(A1723, ""/""), 3)"),"روزنامه شریف")</f>
        <v>روزنامه شریف</v>
      </c>
      <c r="V1723" s="1" t="str">
        <f>IFERROR(__xludf.DUMMYFUNCTION("INDEX(SPLIT(A1723, ""/""), 4)"),"#REF!")</f>
        <v>#REF!</v>
      </c>
    </row>
    <row r="1724">
      <c r="A1724" s="1" t="s">
        <v>4070</v>
      </c>
      <c r="B1724" s="1" t="s">
        <v>5316</v>
      </c>
      <c r="C1724" s="1" t="s">
        <v>21</v>
      </c>
      <c r="D1724" s="4" t="s">
        <v>5317</v>
      </c>
      <c r="E1724" s="1" t="s">
        <v>4072</v>
      </c>
      <c r="F1724" s="1" t="s">
        <v>4487</v>
      </c>
      <c r="G1724" s="1" t="s">
        <v>5218</v>
      </c>
      <c r="H1724" s="1" t="s">
        <v>5318</v>
      </c>
      <c r="I1724" s="1" t="str">
        <f t="shared" si="1"/>
        <v>29</v>
      </c>
      <c r="J1724" s="5"/>
      <c r="K1724" s="1" t="str">
        <f t="shared" si="2"/>
        <v>2</v>
      </c>
      <c r="L1724" s="5"/>
      <c r="M1724" s="2" t="str">
        <f t="shared" si="3"/>
        <v>1388</v>
      </c>
      <c r="N1724" s="1"/>
      <c r="O1724" s="13">
        <v>482.0</v>
      </c>
      <c r="P1724" s="5"/>
      <c r="Q1724" s="5"/>
      <c r="R1724" s="6" t="s">
        <v>5318</v>
      </c>
      <c r="S1724" s="5"/>
      <c r="T1724" s="1" t="str">
        <f>IFERROR(__xludf.DUMMYFUNCTION("INDEX(SPLIT(A1724, ""/""), 2)"),"کانون‌های فرهنگی هنری")</f>
        <v>کانون‌های فرهنگی هنری</v>
      </c>
      <c r="U1724" s="1" t="str">
        <f>IFERROR(__xludf.DUMMYFUNCTION("INDEX(SPLIT(A1724, ""/""), 3)"),"روزنامه شریف")</f>
        <v>روزنامه شریف</v>
      </c>
      <c r="V1724" s="1" t="str">
        <f>IFERROR(__xludf.DUMMYFUNCTION("INDEX(SPLIT(A1724, ""/""), 4)"),"#REF!")</f>
        <v>#REF!</v>
      </c>
    </row>
    <row r="1725">
      <c r="A1725" s="1" t="s">
        <v>4070</v>
      </c>
      <c r="B1725" s="1" t="s">
        <v>5319</v>
      </c>
      <c r="C1725" s="1" t="s">
        <v>21</v>
      </c>
      <c r="D1725" s="4" t="s">
        <v>5320</v>
      </c>
      <c r="E1725" s="1" t="s">
        <v>4072</v>
      </c>
      <c r="F1725" s="1" t="s">
        <v>4487</v>
      </c>
      <c r="G1725" s="1" t="s">
        <v>5218</v>
      </c>
      <c r="H1725" s="7" t="s">
        <v>5321</v>
      </c>
      <c r="I1725" s="1" t="str">
        <f t="shared" si="1"/>
        <v>2</v>
      </c>
      <c r="J1725" s="5"/>
      <c r="K1725" s="1" t="str">
        <f t="shared" si="2"/>
        <v>3</v>
      </c>
      <c r="L1725" s="5"/>
      <c r="M1725" s="2" t="str">
        <f t="shared" si="3"/>
        <v>1388</v>
      </c>
      <c r="N1725" s="1"/>
      <c r="O1725" s="13">
        <v>483.0</v>
      </c>
      <c r="P1725" s="5"/>
      <c r="Q1725" s="5"/>
      <c r="R1725" s="8" t="s">
        <v>5321</v>
      </c>
      <c r="S1725" s="5"/>
      <c r="T1725" s="1" t="str">
        <f>IFERROR(__xludf.DUMMYFUNCTION("INDEX(SPLIT(A1725, ""/""), 2)"),"کانون‌های فرهنگی هنری")</f>
        <v>کانون‌های فرهنگی هنری</v>
      </c>
      <c r="U1725" s="1" t="str">
        <f>IFERROR(__xludf.DUMMYFUNCTION("INDEX(SPLIT(A1725, ""/""), 3)"),"روزنامه شریف")</f>
        <v>روزنامه شریف</v>
      </c>
      <c r="V1725" s="1" t="str">
        <f>IFERROR(__xludf.DUMMYFUNCTION("INDEX(SPLIT(A1725, ""/""), 4)"),"#REF!")</f>
        <v>#REF!</v>
      </c>
    </row>
    <row r="1726">
      <c r="A1726" s="1" t="s">
        <v>4070</v>
      </c>
      <c r="B1726" s="1" t="s">
        <v>5322</v>
      </c>
      <c r="C1726" s="1" t="s">
        <v>21</v>
      </c>
      <c r="D1726" s="4" t="s">
        <v>5323</v>
      </c>
      <c r="E1726" s="1" t="s">
        <v>4072</v>
      </c>
      <c r="F1726" s="1" t="s">
        <v>4487</v>
      </c>
      <c r="G1726" s="1" t="s">
        <v>5218</v>
      </c>
      <c r="H1726" s="7" t="s">
        <v>5324</v>
      </c>
      <c r="I1726" s="1" t="str">
        <f t="shared" si="1"/>
        <v>5</v>
      </c>
      <c r="J1726" s="5"/>
      <c r="K1726" s="1" t="str">
        <f t="shared" si="2"/>
        <v>3</v>
      </c>
      <c r="L1726" s="5"/>
      <c r="M1726" s="2" t="str">
        <f t="shared" si="3"/>
        <v>1388</v>
      </c>
      <c r="N1726" s="1"/>
      <c r="O1726" s="13">
        <v>484.0</v>
      </c>
      <c r="P1726" s="5"/>
      <c r="Q1726" s="5"/>
      <c r="R1726" s="8" t="s">
        <v>5324</v>
      </c>
      <c r="S1726" s="5"/>
      <c r="T1726" s="1" t="str">
        <f>IFERROR(__xludf.DUMMYFUNCTION("INDEX(SPLIT(A1726, ""/""), 2)"),"کانون‌های فرهنگی هنری")</f>
        <v>کانون‌های فرهنگی هنری</v>
      </c>
      <c r="U1726" s="1" t="str">
        <f>IFERROR(__xludf.DUMMYFUNCTION("INDEX(SPLIT(A1726, ""/""), 3)"),"روزنامه شریف")</f>
        <v>روزنامه شریف</v>
      </c>
      <c r="V1726" s="1" t="str">
        <f>IFERROR(__xludf.DUMMYFUNCTION("INDEX(SPLIT(A1726, ""/""), 4)"),"#REF!")</f>
        <v>#REF!</v>
      </c>
    </row>
    <row r="1727">
      <c r="A1727" s="1" t="s">
        <v>4070</v>
      </c>
      <c r="B1727" s="1" t="s">
        <v>5325</v>
      </c>
      <c r="C1727" s="1" t="s">
        <v>21</v>
      </c>
      <c r="D1727" s="4" t="s">
        <v>5326</v>
      </c>
      <c r="E1727" s="1" t="s">
        <v>4072</v>
      </c>
      <c r="F1727" s="1" t="s">
        <v>4487</v>
      </c>
      <c r="G1727" s="1" t="s">
        <v>5218</v>
      </c>
      <c r="H1727" s="7" t="s">
        <v>5327</v>
      </c>
      <c r="I1727" s="1" t="str">
        <f t="shared" si="1"/>
        <v>9</v>
      </c>
      <c r="J1727" s="5"/>
      <c r="K1727" s="1" t="str">
        <f t="shared" si="2"/>
        <v>3</v>
      </c>
      <c r="L1727" s="5"/>
      <c r="M1727" s="2" t="str">
        <f t="shared" si="3"/>
        <v>1388</v>
      </c>
      <c r="N1727" s="1"/>
      <c r="O1727" s="13">
        <v>485.0</v>
      </c>
      <c r="P1727" s="5"/>
      <c r="Q1727" s="5"/>
      <c r="R1727" s="8" t="s">
        <v>5327</v>
      </c>
      <c r="S1727" s="5"/>
      <c r="T1727" s="1" t="str">
        <f>IFERROR(__xludf.DUMMYFUNCTION("INDEX(SPLIT(A1727, ""/""), 2)"),"کانون‌های فرهنگی هنری")</f>
        <v>کانون‌های فرهنگی هنری</v>
      </c>
      <c r="U1727" s="1" t="str">
        <f>IFERROR(__xludf.DUMMYFUNCTION("INDEX(SPLIT(A1727, ""/""), 3)"),"روزنامه شریف")</f>
        <v>روزنامه شریف</v>
      </c>
      <c r="V1727" s="1" t="str">
        <f>IFERROR(__xludf.DUMMYFUNCTION("INDEX(SPLIT(A1727, ""/""), 4)"),"#REF!")</f>
        <v>#REF!</v>
      </c>
    </row>
    <row r="1728">
      <c r="A1728" s="1" t="s">
        <v>4070</v>
      </c>
      <c r="B1728" s="1" t="s">
        <v>5328</v>
      </c>
      <c r="C1728" s="1" t="s">
        <v>21</v>
      </c>
      <c r="D1728" s="4" t="s">
        <v>5329</v>
      </c>
      <c r="E1728" s="1" t="s">
        <v>4072</v>
      </c>
      <c r="F1728" s="1" t="s">
        <v>4487</v>
      </c>
      <c r="G1728" s="1" t="s">
        <v>5218</v>
      </c>
      <c r="H1728" s="7" t="s">
        <v>5330</v>
      </c>
      <c r="I1728" s="1" t="str">
        <f t="shared" si="1"/>
        <v>12</v>
      </c>
      <c r="J1728" s="5"/>
      <c r="K1728" s="1" t="str">
        <f t="shared" si="2"/>
        <v>3</v>
      </c>
      <c r="L1728" s="5"/>
      <c r="M1728" s="2" t="str">
        <f t="shared" si="3"/>
        <v>1388</v>
      </c>
      <c r="N1728" s="1"/>
      <c r="O1728" s="13">
        <v>486.0</v>
      </c>
      <c r="P1728" s="5"/>
      <c r="Q1728" s="5"/>
      <c r="R1728" s="8" t="s">
        <v>5330</v>
      </c>
      <c r="S1728" s="5"/>
      <c r="T1728" s="1" t="str">
        <f>IFERROR(__xludf.DUMMYFUNCTION("INDEX(SPLIT(A1728, ""/""), 2)"),"کانون‌های فرهنگی هنری")</f>
        <v>کانون‌های فرهنگی هنری</v>
      </c>
      <c r="U1728" s="1" t="str">
        <f>IFERROR(__xludf.DUMMYFUNCTION("INDEX(SPLIT(A1728, ""/""), 3)"),"روزنامه شریف")</f>
        <v>روزنامه شریف</v>
      </c>
      <c r="V1728" s="1" t="str">
        <f>IFERROR(__xludf.DUMMYFUNCTION("INDEX(SPLIT(A1728, ""/""), 4)"),"#REF!")</f>
        <v>#REF!</v>
      </c>
    </row>
    <row r="1729">
      <c r="A1729" s="1" t="s">
        <v>4070</v>
      </c>
      <c r="B1729" s="1" t="s">
        <v>5331</v>
      </c>
      <c r="C1729" s="1" t="s">
        <v>21</v>
      </c>
      <c r="D1729" s="4" t="s">
        <v>5332</v>
      </c>
      <c r="E1729" s="1" t="s">
        <v>4072</v>
      </c>
      <c r="F1729" s="1" t="s">
        <v>4487</v>
      </c>
      <c r="G1729" s="1" t="s">
        <v>5218</v>
      </c>
      <c r="H1729" s="1" t="s">
        <v>5333</v>
      </c>
      <c r="I1729" s="1" t="str">
        <f t="shared" si="1"/>
        <v>24</v>
      </c>
      <c r="J1729" s="5"/>
      <c r="K1729" s="1" t="str">
        <f t="shared" si="2"/>
        <v>6</v>
      </c>
      <c r="L1729" s="5"/>
      <c r="M1729" s="2" t="str">
        <f t="shared" si="3"/>
        <v>1388</v>
      </c>
      <c r="N1729" s="5"/>
      <c r="O1729" s="13">
        <v>487.0</v>
      </c>
      <c r="P1729" s="5"/>
      <c r="Q1729" s="5"/>
      <c r="R1729" s="6" t="s">
        <v>5333</v>
      </c>
      <c r="S1729" s="5"/>
      <c r="T1729" s="1" t="str">
        <f>IFERROR(__xludf.DUMMYFUNCTION("INDEX(SPLIT(A1729, ""/""), 2)"),"کانون‌های فرهنگی هنری")</f>
        <v>کانون‌های فرهنگی هنری</v>
      </c>
      <c r="U1729" s="1" t="str">
        <f>IFERROR(__xludf.DUMMYFUNCTION("INDEX(SPLIT(A1729, ""/""), 3)"),"روزنامه شریف")</f>
        <v>روزنامه شریف</v>
      </c>
      <c r="V1729" s="1" t="str">
        <f>IFERROR(__xludf.DUMMYFUNCTION("INDEX(SPLIT(A1729, ""/""), 4)"),"#REF!")</f>
        <v>#REF!</v>
      </c>
    </row>
    <row r="1730">
      <c r="A1730" s="1" t="s">
        <v>4070</v>
      </c>
      <c r="B1730" s="1" t="s">
        <v>5334</v>
      </c>
      <c r="C1730" s="1" t="s">
        <v>21</v>
      </c>
      <c r="D1730" s="4" t="s">
        <v>5335</v>
      </c>
      <c r="E1730" s="1" t="s">
        <v>4072</v>
      </c>
      <c r="F1730" s="1" t="s">
        <v>4487</v>
      </c>
      <c r="G1730" s="1" t="s">
        <v>5218</v>
      </c>
      <c r="H1730" s="1" t="s">
        <v>5336</v>
      </c>
      <c r="I1730" s="1" t="str">
        <f t="shared" si="1"/>
        <v>31</v>
      </c>
      <c r="J1730" s="5"/>
      <c r="K1730" s="1" t="str">
        <f t="shared" si="2"/>
        <v>6</v>
      </c>
      <c r="L1730" s="5"/>
      <c r="M1730" s="2" t="str">
        <f t="shared" si="3"/>
        <v>1388</v>
      </c>
      <c r="N1730" s="1"/>
      <c r="O1730" s="13">
        <v>488.0</v>
      </c>
      <c r="P1730" s="5"/>
      <c r="Q1730" s="5"/>
      <c r="R1730" s="6" t="s">
        <v>5336</v>
      </c>
      <c r="S1730" s="5"/>
      <c r="T1730" s="1" t="str">
        <f>IFERROR(__xludf.DUMMYFUNCTION("INDEX(SPLIT(A1730, ""/""), 2)"),"کانون‌های فرهنگی هنری")</f>
        <v>کانون‌های فرهنگی هنری</v>
      </c>
      <c r="U1730" s="1" t="str">
        <f>IFERROR(__xludf.DUMMYFUNCTION("INDEX(SPLIT(A1730, ""/""), 3)"),"روزنامه شریف")</f>
        <v>روزنامه شریف</v>
      </c>
      <c r="V1730" s="1" t="str">
        <f>IFERROR(__xludf.DUMMYFUNCTION("INDEX(SPLIT(A1730, ""/""), 4)"),"#REF!")</f>
        <v>#REF!</v>
      </c>
    </row>
    <row r="1731">
      <c r="A1731" s="1" t="s">
        <v>4070</v>
      </c>
      <c r="B1731" s="1" t="s">
        <v>5337</v>
      </c>
      <c r="C1731" s="1" t="s">
        <v>21</v>
      </c>
      <c r="D1731" s="4" t="s">
        <v>5338</v>
      </c>
      <c r="E1731" s="1" t="s">
        <v>4072</v>
      </c>
      <c r="F1731" s="1" t="s">
        <v>4487</v>
      </c>
      <c r="G1731" s="1" t="s">
        <v>5218</v>
      </c>
      <c r="H1731" s="7" t="s">
        <v>5339</v>
      </c>
      <c r="I1731" s="1" t="str">
        <f t="shared" si="1"/>
        <v>4</v>
      </c>
      <c r="J1731" s="5"/>
      <c r="K1731" s="1" t="str">
        <f t="shared" si="2"/>
        <v>7</v>
      </c>
      <c r="L1731" s="5"/>
      <c r="M1731" s="2" t="str">
        <f t="shared" si="3"/>
        <v>1388</v>
      </c>
      <c r="N1731" s="1"/>
      <c r="O1731" s="13">
        <v>489.0</v>
      </c>
      <c r="P1731" s="5"/>
      <c r="Q1731" s="5"/>
      <c r="R1731" s="8" t="s">
        <v>5339</v>
      </c>
      <c r="S1731" s="5"/>
      <c r="T1731" s="1" t="str">
        <f>IFERROR(__xludf.DUMMYFUNCTION("INDEX(SPLIT(A1731, ""/""), 2)"),"کانون‌های فرهنگی هنری")</f>
        <v>کانون‌های فرهنگی هنری</v>
      </c>
      <c r="U1731" s="1" t="str">
        <f>IFERROR(__xludf.DUMMYFUNCTION("INDEX(SPLIT(A1731, ""/""), 3)"),"روزنامه شریف")</f>
        <v>روزنامه شریف</v>
      </c>
      <c r="V1731" s="1" t="str">
        <f>IFERROR(__xludf.DUMMYFUNCTION("INDEX(SPLIT(A1731, ""/""), 4)"),"#REF!")</f>
        <v>#REF!</v>
      </c>
    </row>
    <row r="1732">
      <c r="A1732" s="1" t="s">
        <v>4070</v>
      </c>
      <c r="B1732" s="1" t="s">
        <v>5340</v>
      </c>
      <c r="C1732" s="1" t="s">
        <v>21</v>
      </c>
      <c r="D1732" s="4" t="s">
        <v>5341</v>
      </c>
      <c r="E1732" s="1" t="s">
        <v>4072</v>
      </c>
      <c r="F1732" s="1" t="s">
        <v>4487</v>
      </c>
      <c r="G1732" s="1" t="s">
        <v>5218</v>
      </c>
      <c r="H1732" s="7" t="s">
        <v>5342</v>
      </c>
      <c r="I1732" s="1" t="str">
        <f t="shared" si="1"/>
        <v>7</v>
      </c>
      <c r="J1732" s="5"/>
      <c r="K1732" s="1" t="str">
        <f t="shared" si="2"/>
        <v>7</v>
      </c>
      <c r="L1732" s="5"/>
      <c r="M1732" s="2" t="str">
        <f t="shared" si="3"/>
        <v>1388</v>
      </c>
      <c r="N1732" s="1"/>
      <c r="O1732" s="13">
        <v>490.0</v>
      </c>
      <c r="P1732" s="5"/>
      <c r="Q1732" s="5"/>
      <c r="R1732" s="8" t="s">
        <v>5342</v>
      </c>
      <c r="S1732" s="5"/>
      <c r="T1732" s="1" t="str">
        <f>IFERROR(__xludf.DUMMYFUNCTION("INDEX(SPLIT(A1732, ""/""), 2)"),"کانون‌های فرهنگی هنری")</f>
        <v>کانون‌های فرهنگی هنری</v>
      </c>
      <c r="U1732" s="1" t="str">
        <f>IFERROR(__xludf.DUMMYFUNCTION("INDEX(SPLIT(A1732, ""/""), 3)"),"روزنامه شریف")</f>
        <v>روزنامه شریف</v>
      </c>
      <c r="V1732" s="1" t="str">
        <f>IFERROR(__xludf.DUMMYFUNCTION("INDEX(SPLIT(A1732, ""/""), 4)"),"#REF!")</f>
        <v>#REF!</v>
      </c>
    </row>
    <row r="1733">
      <c r="A1733" s="1" t="s">
        <v>4070</v>
      </c>
      <c r="B1733" s="1" t="s">
        <v>5343</v>
      </c>
      <c r="C1733" s="1" t="s">
        <v>21</v>
      </c>
      <c r="D1733" s="4" t="s">
        <v>5344</v>
      </c>
      <c r="E1733" s="1" t="s">
        <v>4072</v>
      </c>
      <c r="F1733" s="1" t="s">
        <v>4487</v>
      </c>
      <c r="G1733" s="1" t="s">
        <v>5218</v>
      </c>
      <c r="H1733" s="7" t="s">
        <v>5345</v>
      </c>
      <c r="I1733" s="1" t="str">
        <f t="shared" si="1"/>
        <v>11</v>
      </c>
      <c r="J1733" s="5"/>
      <c r="K1733" s="1" t="str">
        <f t="shared" si="2"/>
        <v>7</v>
      </c>
      <c r="L1733" s="5"/>
      <c r="M1733" s="2" t="str">
        <f t="shared" si="3"/>
        <v>1388</v>
      </c>
      <c r="N1733" s="1"/>
      <c r="O1733" s="13">
        <v>491.0</v>
      </c>
      <c r="P1733" s="5"/>
      <c r="Q1733" s="5"/>
      <c r="R1733" s="8" t="s">
        <v>5345</v>
      </c>
      <c r="S1733" s="5"/>
      <c r="T1733" s="1" t="str">
        <f>IFERROR(__xludf.DUMMYFUNCTION("INDEX(SPLIT(A1733, ""/""), 2)"),"کانون‌های فرهنگی هنری")</f>
        <v>کانون‌های فرهنگی هنری</v>
      </c>
      <c r="U1733" s="1" t="str">
        <f>IFERROR(__xludf.DUMMYFUNCTION("INDEX(SPLIT(A1733, ""/""), 3)"),"روزنامه شریف")</f>
        <v>روزنامه شریف</v>
      </c>
      <c r="V1733" s="1" t="str">
        <f>IFERROR(__xludf.DUMMYFUNCTION("INDEX(SPLIT(A1733, ""/""), 4)"),"#REF!")</f>
        <v>#REF!</v>
      </c>
    </row>
    <row r="1734">
      <c r="A1734" s="1" t="s">
        <v>4070</v>
      </c>
      <c r="B1734" s="1" t="s">
        <v>5346</v>
      </c>
      <c r="C1734" s="1" t="s">
        <v>21</v>
      </c>
      <c r="D1734" s="4" t="s">
        <v>5347</v>
      </c>
      <c r="E1734" s="1" t="s">
        <v>4072</v>
      </c>
      <c r="F1734" s="1" t="s">
        <v>4487</v>
      </c>
      <c r="G1734" s="1" t="s">
        <v>5218</v>
      </c>
      <c r="H1734" s="1" t="s">
        <v>5348</v>
      </c>
      <c r="I1734" s="1" t="str">
        <f t="shared" si="1"/>
        <v>14</v>
      </c>
      <c r="J1734" s="5"/>
      <c r="K1734" s="1" t="str">
        <f t="shared" si="2"/>
        <v>7</v>
      </c>
      <c r="L1734" s="5"/>
      <c r="M1734" s="2" t="str">
        <f t="shared" si="3"/>
        <v>1388</v>
      </c>
      <c r="N1734" s="1"/>
      <c r="O1734" s="13">
        <v>492.0</v>
      </c>
      <c r="P1734" s="5"/>
      <c r="Q1734" s="5"/>
      <c r="R1734" s="6" t="s">
        <v>5348</v>
      </c>
      <c r="S1734" s="5"/>
      <c r="T1734" s="1" t="str">
        <f>IFERROR(__xludf.DUMMYFUNCTION("INDEX(SPLIT(A1734, ""/""), 2)"),"کانون‌های فرهنگی هنری")</f>
        <v>کانون‌های فرهنگی هنری</v>
      </c>
      <c r="U1734" s="1" t="str">
        <f>IFERROR(__xludf.DUMMYFUNCTION("INDEX(SPLIT(A1734, ""/""), 3)"),"روزنامه شریف")</f>
        <v>روزنامه شریف</v>
      </c>
      <c r="V1734" s="1" t="str">
        <f>IFERROR(__xludf.DUMMYFUNCTION("INDEX(SPLIT(A1734, ""/""), 4)"),"#REF!")</f>
        <v>#REF!</v>
      </c>
    </row>
    <row r="1735">
      <c r="A1735" s="1" t="s">
        <v>4070</v>
      </c>
      <c r="B1735" s="1" t="s">
        <v>5349</v>
      </c>
      <c r="C1735" s="1" t="s">
        <v>21</v>
      </c>
      <c r="D1735" s="4" t="s">
        <v>5350</v>
      </c>
      <c r="E1735" s="1" t="s">
        <v>4072</v>
      </c>
      <c r="F1735" s="1" t="s">
        <v>4487</v>
      </c>
      <c r="G1735" s="1" t="s">
        <v>5218</v>
      </c>
      <c r="H1735" s="1" t="s">
        <v>5351</v>
      </c>
      <c r="I1735" s="1" t="str">
        <f t="shared" si="1"/>
        <v>18</v>
      </c>
      <c r="J1735" s="5"/>
      <c r="K1735" s="1" t="str">
        <f t="shared" si="2"/>
        <v>7</v>
      </c>
      <c r="L1735" s="5"/>
      <c r="M1735" s="2" t="str">
        <f t="shared" si="3"/>
        <v>1388</v>
      </c>
      <c r="N1735" s="1"/>
      <c r="O1735" s="13">
        <v>493.0</v>
      </c>
      <c r="P1735" s="5"/>
      <c r="Q1735" s="5"/>
      <c r="R1735" s="6" t="s">
        <v>5351</v>
      </c>
      <c r="S1735" s="5"/>
      <c r="T1735" s="1" t="str">
        <f>IFERROR(__xludf.DUMMYFUNCTION("INDEX(SPLIT(A1735, ""/""), 2)"),"کانون‌های فرهنگی هنری")</f>
        <v>کانون‌های فرهنگی هنری</v>
      </c>
      <c r="U1735" s="1" t="str">
        <f>IFERROR(__xludf.DUMMYFUNCTION("INDEX(SPLIT(A1735, ""/""), 3)"),"روزنامه شریف")</f>
        <v>روزنامه شریف</v>
      </c>
      <c r="V1735" s="1" t="str">
        <f>IFERROR(__xludf.DUMMYFUNCTION("INDEX(SPLIT(A1735, ""/""), 4)"),"#REF!")</f>
        <v>#REF!</v>
      </c>
    </row>
    <row r="1736">
      <c r="A1736" s="1" t="s">
        <v>4070</v>
      </c>
      <c r="B1736" s="1" t="s">
        <v>5352</v>
      </c>
      <c r="C1736" s="1" t="s">
        <v>21</v>
      </c>
      <c r="D1736" s="4" t="s">
        <v>5353</v>
      </c>
      <c r="E1736" s="1" t="s">
        <v>4072</v>
      </c>
      <c r="F1736" s="1" t="s">
        <v>4487</v>
      </c>
      <c r="G1736" s="1" t="s">
        <v>5218</v>
      </c>
      <c r="H1736" s="1" t="s">
        <v>5354</v>
      </c>
      <c r="I1736" s="1" t="str">
        <f t="shared" si="1"/>
        <v>21</v>
      </c>
      <c r="J1736" s="5"/>
      <c r="K1736" s="1" t="str">
        <f t="shared" si="2"/>
        <v>7</v>
      </c>
      <c r="L1736" s="5"/>
      <c r="M1736" s="2" t="str">
        <f t="shared" si="3"/>
        <v>1388</v>
      </c>
      <c r="N1736" s="1"/>
      <c r="O1736" s="13">
        <v>494.0</v>
      </c>
      <c r="P1736" s="5"/>
      <c r="Q1736" s="5"/>
      <c r="R1736" s="6" t="s">
        <v>5354</v>
      </c>
      <c r="S1736" s="5"/>
      <c r="T1736" s="1" t="str">
        <f>IFERROR(__xludf.DUMMYFUNCTION("INDEX(SPLIT(A1736, ""/""), 2)"),"کانون‌های فرهنگی هنری")</f>
        <v>کانون‌های فرهنگی هنری</v>
      </c>
      <c r="U1736" s="1" t="str">
        <f>IFERROR(__xludf.DUMMYFUNCTION("INDEX(SPLIT(A1736, ""/""), 3)"),"روزنامه شریف")</f>
        <v>روزنامه شریف</v>
      </c>
      <c r="V1736" s="1" t="str">
        <f>IFERROR(__xludf.DUMMYFUNCTION("INDEX(SPLIT(A1736, ""/""), 4)"),"#REF!")</f>
        <v>#REF!</v>
      </c>
    </row>
    <row r="1737">
      <c r="A1737" s="1" t="s">
        <v>4070</v>
      </c>
      <c r="B1737" s="1" t="s">
        <v>5355</v>
      </c>
      <c r="C1737" s="1" t="s">
        <v>21</v>
      </c>
      <c r="D1737" s="4" t="s">
        <v>5356</v>
      </c>
      <c r="E1737" s="1" t="s">
        <v>4072</v>
      </c>
      <c r="F1737" s="1" t="s">
        <v>4487</v>
      </c>
      <c r="G1737" s="1" t="s">
        <v>5218</v>
      </c>
      <c r="H1737" s="1" t="s">
        <v>5357</v>
      </c>
      <c r="I1737" s="1" t="str">
        <f t="shared" si="1"/>
        <v>28</v>
      </c>
      <c r="J1737" s="5"/>
      <c r="K1737" s="1" t="str">
        <f t="shared" si="2"/>
        <v>7</v>
      </c>
      <c r="L1737" s="5"/>
      <c r="M1737" s="2" t="str">
        <f t="shared" si="3"/>
        <v>1388</v>
      </c>
      <c r="N1737" s="1"/>
      <c r="O1737" s="13">
        <v>495.0</v>
      </c>
      <c r="P1737" s="5"/>
      <c r="Q1737" s="5"/>
      <c r="R1737" s="6" t="s">
        <v>5357</v>
      </c>
      <c r="S1737" s="5"/>
      <c r="T1737" s="1" t="str">
        <f>IFERROR(__xludf.DUMMYFUNCTION("INDEX(SPLIT(A1737, ""/""), 2)"),"کانون‌های فرهنگی هنری")</f>
        <v>کانون‌های فرهنگی هنری</v>
      </c>
      <c r="U1737" s="1" t="str">
        <f>IFERROR(__xludf.DUMMYFUNCTION("INDEX(SPLIT(A1737, ""/""), 3)"),"روزنامه شریف")</f>
        <v>روزنامه شریف</v>
      </c>
      <c r="V1737" s="1" t="str">
        <f>IFERROR(__xludf.DUMMYFUNCTION("INDEX(SPLIT(A1737, ""/""), 4)"),"#REF!")</f>
        <v>#REF!</v>
      </c>
    </row>
    <row r="1738">
      <c r="A1738" s="1" t="s">
        <v>4070</v>
      </c>
      <c r="B1738" s="1" t="s">
        <v>5358</v>
      </c>
      <c r="C1738" s="1" t="s">
        <v>21</v>
      </c>
      <c r="D1738" s="4" t="s">
        <v>5359</v>
      </c>
      <c r="E1738" s="1" t="s">
        <v>4072</v>
      </c>
      <c r="F1738" s="1" t="s">
        <v>4487</v>
      </c>
      <c r="G1738" s="1" t="s">
        <v>5218</v>
      </c>
      <c r="H1738" s="7" t="s">
        <v>5360</v>
      </c>
      <c r="I1738" s="1" t="str">
        <f t="shared" si="1"/>
        <v>2</v>
      </c>
      <c r="J1738" s="5"/>
      <c r="K1738" s="1" t="str">
        <f t="shared" si="2"/>
        <v>8</v>
      </c>
      <c r="L1738" s="5"/>
      <c r="M1738" s="2" t="str">
        <f t="shared" si="3"/>
        <v>1388</v>
      </c>
      <c r="N1738" s="1"/>
      <c r="O1738" s="13">
        <v>496.0</v>
      </c>
      <c r="P1738" s="5"/>
      <c r="Q1738" s="5"/>
      <c r="R1738" s="8" t="s">
        <v>5360</v>
      </c>
      <c r="S1738" s="5"/>
      <c r="T1738" s="1" t="str">
        <f>IFERROR(__xludf.DUMMYFUNCTION("INDEX(SPLIT(A1738, ""/""), 2)"),"کانون‌های فرهنگی هنری")</f>
        <v>کانون‌های فرهنگی هنری</v>
      </c>
      <c r="U1738" s="1" t="str">
        <f>IFERROR(__xludf.DUMMYFUNCTION("INDEX(SPLIT(A1738, ""/""), 3)"),"روزنامه شریف")</f>
        <v>روزنامه شریف</v>
      </c>
      <c r="V1738" s="1" t="str">
        <f>IFERROR(__xludf.DUMMYFUNCTION("INDEX(SPLIT(A1738, ""/""), 4)"),"#REF!")</f>
        <v>#REF!</v>
      </c>
    </row>
    <row r="1739">
      <c r="A1739" s="1" t="s">
        <v>4070</v>
      </c>
      <c r="B1739" s="1" t="s">
        <v>5361</v>
      </c>
      <c r="C1739" s="1" t="s">
        <v>21</v>
      </c>
      <c r="D1739" s="4" t="s">
        <v>5362</v>
      </c>
      <c r="E1739" s="1" t="s">
        <v>4072</v>
      </c>
      <c r="F1739" s="1" t="s">
        <v>4487</v>
      </c>
      <c r="G1739" s="1" t="s">
        <v>5218</v>
      </c>
      <c r="H1739" s="7" t="s">
        <v>5363</v>
      </c>
      <c r="I1739" s="1" t="str">
        <f t="shared" si="1"/>
        <v>5</v>
      </c>
      <c r="J1739" s="5"/>
      <c r="K1739" s="1" t="str">
        <f t="shared" si="2"/>
        <v>8</v>
      </c>
      <c r="L1739" s="5"/>
      <c r="M1739" s="2" t="str">
        <f t="shared" si="3"/>
        <v>1388</v>
      </c>
      <c r="N1739" s="1"/>
      <c r="O1739" s="13">
        <v>497.0</v>
      </c>
      <c r="P1739" s="5"/>
      <c r="Q1739" s="5"/>
      <c r="R1739" s="8" t="s">
        <v>5363</v>
      </c>
      <c r="S1739" s="5"/>
      <c r="T1739" s="1" t="str">
        <f>IFERROR(__xludf.DUMMYFUNCTION("INDEX(SPLIT(A1739, ""/""), 2)"),"کانون‌های فرهنگی هنری")</f>
        <v>کانون‌های فرهنگی هنری</v>
      </c>
      <c r="U1739" s="1" t="str">
        <f>IFERROR(__xludf.DUMMYFUNCTION("INDEX(SPLIT(A1739, ""/""), 3)"),"روزنامه شریف")</f>
        <v>روزنامه شریف</v>
      </c>
      <c r="V1739" s="1" t="str">
        <f>IFERROR(__xludf.DUMMYFUNCTION("INDEX(SPLIT(A1739, ""/""), 4)"),"#REF!")</f>
        <v>#REF!</v>
      </c>
    </row>
    <row r="1740">
      <c r="A1740" s="1" t="s">
        <v>4070</v>
      </c>
      <c r="B1740" s="1" t="s">
        <v>5364</v>
      </c>
      <c r="C1740" s="1" t="s">
        <v>21</v>
      </c>
      <c r="D1740" s="4" t="s">
        <v>5365</v>
      </c>
      <c r="E1740" s="1" t="s">
        <v>4072</v>
      </c>
      <c r="F1740" s="1" t="s">
        <v>4487</v>
      </c>
      <c r="G1740" s="1" t="s">
        <v>5218</v>
      </c>
      <c r="H1740" s="7" t="s">
        <v>1089</v>
      </c>
      <c r="I1740" s="1" t="str">
        <f t="shared" si="1"/>
        <v>9</v>
      </c>
      <c r="J1740" s="5"/>
      <c r="K1740" s="1" t="str">
        <f t="shared" si="2"/>
        <v>8</v>
      </c>
      <c r="L1740" s="5"/>
      <c r="M1740" s="2" t="str">
        <f t="shared" si="3"/>
        <v>1388</v>
      </c>
      <c r="N1740" s="1"/>
      <c r="O1740" s="13">
        <v>498.0</v>
      </c>
      <c r="P1740" s="5"/>
      <c r="Q1740" s="5"/>
      <c r="R1740" s="8" t="s">
        <v>1089</v>
      </c>
      <c r="S1740" s="5"/>
      <c r="T1740" s="1" t="str">
        <f>IFERROR(__xludf.DUMMYFUNCTION("INDEX(SPLIT(A1740, ""/""), 2)"),"کانون‌های فرهنگی هنری")</f>
        <v>کانون‌های فرهنگی هنری</v>
      </c>
      <c r="U1740" s="1" t="str">
        <f>IFERROR(__xludf.DUMMYFUNCTION("INDEX(SPLIT(A1740, ""/""), 3)"),"روزنامه شریف")</f>
        <v>روزنامه شریف</v>
      </c>
      <c r="V1740" s="1" t="str">
        <f>IFERROR(__xludf.DUMMYFUNCTION("INDEX(SPLIT(A1740, ""/""), 4)"),"#REF!")</f>
        <v>#REF!</v>
      </c>
    </row>
    <row r="1741">
      <c r="A1741" s="1" t="s">
        <v>4070</v>
      </c>
      <c r="B1741" s="1" t="s">
        <v>5366</v>
      </c>
      <c r="C1741" s="1" t="s">
        <v>21</v>
      </c>
      <c r="D1741" s="4" t="s">
        <v>5367</v>
      </c>
      <c r="E1741" s="1" t="s">
        <v>4072</v>
      </c>
      <c r="F1741" s="1" t="s">
        <v>4487</v>
      </c>
      <c r="G1741" s="1" t="s">
        <v>5218</v>
      </c>
      <c r="H1741" s="7" t="s">
        <v>5368</v>
      </c>
      <c r="I1741" s="1" t="str">
        <f t="shared" si="1"/>
        <v>12</v>
      </c>
      <c r="J1741" s="5"/>
      <c r="K1741" s="1" t="str">
        <f t="shared" si="2"/>
        <v>8</v>
      </c>
      <c r="L1741" s="5"/>
      <c r="M1741" s="2" t="str">
        <f t="shared" si="3"/>
        <v>1388</v>
      </c>
      <c r="N1741" s="1"/>
      <c r="O1741" s="13">
        <v>499.0</v>
      </c>
      <c r="P1741" s="5"/>
      <c r="Q1741" s="5"/>
      <c r="R1741" s="8" t="s">
        <v>5368</v>
      </c>
      <c r="S1741" s="5"/>
      <c r="T1741" s="1" t="str">
        <f>IFERROR(__xludf.DUMMYFUNCTION("INDEX(SPLIT(A1741, ""/""), 2)"),"کانون‌های فرهنگی هنری")</f>
        <v>کانون‌های فرهنگی هنری</v>
      </c>
      <c r="U1741" s="1" t="str">
        <f>IFERROR(__xludf.DUMMYFUNCTION("INDEX(SPLIT(A1741, ""/""), 3)"),"روزنامه شریف")</f>
        <v>روزنامه شریف</v>
      </c>
      <c r="V1741" s="1" t="str">
        <f>IFERROR(__xludf.DUMMYFUNCTION("INDEX(SPLIT(A1741, ""/""), 4)"),"#REF!")</f>
        <v>#REF!</v>
      </c>
    </row>
    <row r="1742">
      <c r="A1742" s="1" t="s">
        <v>4070</v>
      </c>
      <c r="B1742" s="1" t="s">
        <v>5369</v>
      </c>
      <c r="C1742" s="1" t="s">
        <v>21</v>
      </c>
      <c r="D1742" s="4" t="s">
        <v>5370</v>
      </c>
      <c r="E1742" s="1" t="s">
        <v>4072</v>
      </c>
      <c r="F1742" s="1" t="s">
        <v>4487</v>
      </c>
      <c r="G1742" s="1" t="s">
        <v>5218</v>
      </c>
      <c r="H1742" s="1" t="s">
        <v>5371</v>
      </c>
      <c r="I1742" s="1" t="str">
        <f t="shared" si="1"/>
        <v>16</v>
      </c>
      <c r="J1742" s="5"/>
      <c r="K1742" s="1" t="str">
        <f t="shared" si="2"/>
        <v>8</v>
      </c>
      <c r="L1742" s="5"/>
      <c r="M1742" s="2" t="str">
        <f t="shared" si="3"/>
        <v>1388</v>
      </c>
      <c r="N1742" s="1"/>
      <c r="O1742" s="13">
        <v>500.0</v>
      </c>
      <c r="P1742" s="5"/>
      <c r="Q1742" s="5"/>
      <c r="R1742" s="6" t="s">
        <v>5371</v>
      </c>
      <c r="S1742" s="5"/>
      <c r="T1742" s="1" t="str">
        <f>IFERROR(__xludf.DUMMYFUNCTION("INDEX(SPLIT(A1742, ""/""), 2)"),"کانون‌های فرهنگی هنری")</f>
        <v>کانون‌های فرهنگی هنری</v>
      </c>
      <c r="U1742" s="1" t="str">
        <f>IFERROR(__xludf.DUMMYFUNCTION("INDEX(SPLIT(A1742, ""/""), 3)"),"روزنامه شریف")</f>
        <v>روزنامه شریف</v>
      </c>
      <c r="V1742" s="1" t="str">
        <f>IFERROR(__xludf.DUMMYFUNCTION("INDEX(SPLIT(A1742, ""/""), 4)"),"#REF!")</f>
        <v>#REF!</v>
      </c>
    </row>
    <row r="1743">
      <c r="A1743" s="1" t="s">
        <v>4070</v>
      </c>
      <c r="B1743" s="1" t="s">
        <v>5372</v>
      </c>
      <c r="C1743" s="1" t="s">
        <v>21</v>
      </c>
      <c r="D1743" s="4" t="s">
        <v>5373</v>
      </c>
      <c r="E1743" s="1" t="s">
        <v>4072</v>
      </c>
      <c r="F1743" s="1" t="s">
        <v>4487</v>
      </c>
      <c r="G1743" s="1" t="s">
        <v>5218</v>
      </c>
      <c r="H1743" s="1" t="s">
        <v>5374</v>
      </c>
      <c r="I1743" s="1" t="str">
        <f t="shared" si="1"/>
        <v>19</v>
      </c>
      <c r="J1743" s="5"/>
      <c r="K1743" s="1" t="str">
        <f t="shared" si="2"/>
        <v>8</v>
      </c>
      <c r="L1743" s="5"/>
      <c r="M1743" s="2" t="str">
        <f t="shared" si="3"/>
        <v>1388</v>
      </c>
      <c r="N1743" s="1"/>
      <c r="O1743" s="13">
        <v>501.0</v>
      </c>
      <c r="P1743" s="5"/>
      <c r="Q1743" s="5"/>
      <c r="R1743" s="6" t="s">
        <v>5374</v>
      </c>
      <c r="S1743" s="5"/>
      <c r="T1743" s="1" t="str">
        <f>IFERROR(__xludf.DUMMYFUNCTION("INDEX(SPLIT(A1743, ""/""), 2)"),"کانون‌های فرهنگی هنری")</f>
        <v>کانون‌های فرهنگی هنری</v>
      </c>
      <c r="U1743" s="1" t="str">
        <f>IFERROR(__xludf.DUMMYFUNCTION("INDEX(SPLIT(A1743, ""/""), 3)"),"روزنامه شریف")</f>
        <v>روزنامه شریف</v>
      </c>
      <c r="V1743" s="1" t="str">
        <f>IFERROR(__xludf.DUMMYFUNCTION("INDEX(SPLIT(A1743, ""/""), 4)"),"#REF!")</f>
        <v>#REF!</v>
      </c>
    </row>
    <row r="1744">
      <c r="A1744" s="1" t="s">
        <v>4070</v>
      </c>
      <c r="B1744" s="1" t="s">
        <v>5375</v>
      </c>
      <c r="C1744" s="1" t="s">
        <v>21</v>
      </c>
      <c r="D1744" s="4" t="s">
        <v>5376</v>
      </c>
      <c r="E1744" s="1" t="s">
        <v>4072</v>
      </c>
      <c r="F1744" s="1" t="s">
        <v>4487</v>
      </c>
      <c r="G1744" s="1" t="s">
        <v>5218</v>
      </c>
      <c r="H1744" s="1" t="s">
        <v>5377</v>
      </c>
      <c r="I1744" s="1" t="str">
        <f t="shared" si="1"/>
        <v>23</v>
      </c>
      <c r="J1744" s="5"/>
      <c r="K1744" s="1" t="str">
        <f t="shared" si="2"/>
        <v>8</v>
      </c>
      <c r="L1744" s="5"/>
      <c r="M1744" s="2" t="str">
        <f t="shared" si="3"/>
        <v>1388</v>
      </c>
      <c r="N1744" s="1"/>
      <c r="O1744" s="13">
        <v>502.0</v>
      </c>
      <c r="P1744" s="5"/>
      <c r="Q1744" s="5"/>
      <c r="R1744" s="6" t="s">
        <v>5377</v>
      </c>
      <c r="S1744" s="5"/>
      <c r="T1744" s="1" t="str">
        <f>IFERROR(__xludf.DUMMYFUNCTION("INDEX(SPLIT(A1744, ""/""), 2)"),"کانون‌های فرهنگی هنری")</f>
        <v>کانون‌های فرهنگی هنری</v>
      </c>
      <c r="U1744" s="1" t="str">
        <f>IFERROR(__xludf.DUMMYFUNCTION("INDEX(SPLIT(A1744, ""/""), 3)"),"روزنامه شریف")</f>
        <v>روزنامه شریف</v>
      </c>
      <c r="V1744" s="1" t="str">
        <f>IFERROR(__xludf.DUMMYFUNCTION("INDEX(SPLIT(A1744, ""/""), 4)"),"#REF!")</f>
        <v>#REF!</v>
      </c>
    </row>
    <row r="1745">
      <c r="A1745" s="1" t="s">
        <v>4070</v>
      </c>
      <c r="B1745" s="1" t="s">
        <v>5378</v>
      </c>
      <c r="C1745" s="1" t="s">
        <v>21</v>
      </c>
      <c r="D1745" s="4" t="s">
        <v>5379</v>
      </c>
      <c r="E1745" s="1" t="s">
        <v>4072</v>
      </c>
      <c r="F1745" s="1" t="s">
        <v>4487</v>
      </c>
      <c r="G1745" s="1" t="s">
        <v>5218</v>
      </c>
      <c r="H1745" s="1" t="s">
        <v>5380</v>
      </c>
      <c r="I1745" s="1" t="str">
        <f t="shared" si="1"/>
        <v>26</v>
      </c>
      <c r="J1745" s="5"/>
      <c r="K1745" s="1" t="str">
        <f t="shared" si="2"/>
        <v>8</v>
      </c>
      <c r="L1745" s="5"/>
      <c r="M1745" s="2" t="str">
        <f t="shared" si="3"/>
        <v>1388</v>
      </c>
      <c r="N1745" s="1"/>
      <c r="O1745" s="13">
        <v>503.0</v>
      </c>
      <c r="P1745" s="5"/>
      <c r="Q1745" s="5"/>
      <c r="R1745" s="6" t="s">
        <v>5380</v>
      </c>
      <c r="S1745" s="5"/>
      <c r="T1745" s="1" t="str">
        <f>IFERROR(__xludf.DUMMYFUNCTION("INDEX(SPLIT(A1745, ""/""), 2)"),"کانون‌های فرهنگی هنری")</f>
        <v>کانون‌های فرهنگی هنری</v>
      </c>
      <c r="U1745" s="1" t="str">
        <f>IFERROR(__xludf.DUMMYFUNCTION("INDEX(SPLIT(A1745, ""/""), 3)"),"روزنامه شریف")</f>
        <v>روزنامه شریف</v>
      </c>
      <c r="V1745" s="1" t="str">
        <f>IFERROR(__xludf.DUMMYFUNCTION("INDEX(SPLIT(A1745, ""/""), 4)"),"#REF!")</f>
        <v>#REF!</v>
      </c>
    </row>
    <row r="1746">
      <c r="A1746" s="1" t="s">
        <v>4070</v>
      </c>
      <c r="B1746" s="1" t="s">
        <v>5381</v>
      </c>
      <c r="C1746" s="1" t="s">
        <v>21</v>
      </c>
      <c r="D1746" s="4" t="s">
        <v>5382</v>
      </c>
      <c r="E1746" s="1" t="s">
        <v>4072</v>
      </c>
      <c r="F1746" s="1" t="s">
        <v>4487</v>
      </c>
      <c r="G1746" s="1" t="s">
        <v>5218</v>
      </c>
      <c r="H1746" s="1" t="s">
        <v>5383</v>
      </c>
      <c r="I1746" s="1" t="str">
        <f t="shared" si="1"/>
        <v>30</v>
      </c>
      <c r="J1746" s="5"/>
      <c r="K1746" s="1" t="str">
        <f t="shared" si="2"/>
        <v>8</v>
      </c>
      <c r="L1746" s="5"/>
      <c r="M1746" s="2" t="str">
        <f t="shared" si="3"/>
        <v>1388</v>
      </c>
      <c r="N1746" s="1"/>
      <c r="O1746" s="13">
        <v>504.0</v>
      </c>
      <c r="P1746" s="5"/>
      <c r="Q1746" s="5"/>
      <c r="R1746" s="6" t="s">
        <v>5383</v>
      </c>
      <c r="S1746" s="5"/>
      <c r="T1746" s="1" t="str">
        <f>IFERROR(__xludf.DUMMYFUNCTION("INDEX(SPLIT(A1746, ""/""), 2)"),"کانون‌های فرهنگی هنری")</f>
        <v>کانون‌های فرهنگی هنری</v>
      </c>
      <c r="U1746" s="1" t="str">
        <f>IFERROR(__xludf.DUMMYFUNCTION("INDEX(SPLIT(A1746, ""/""), 3)"),"روزنامه شریف")</f>
        <v>روزنامه شریف</v>
      </c>
      <c r="V1746" s="1" t="str">
        <f>IFERROR(__xludf.DUMMYFUNCTION("INDEX(SPLIT(A1746, ""/""), 4)"),"#REF!")</f>
        <v>#REF!</v>
      </c>
    </row>
    <row r="1747">
      <c r="A1747" s="1" t="s">
        <v>4070</v>
      </c>
      <c r="B1747" s="1" t="s">
        <v>5384</v>
      </c>
      <c r="C1747" s="1" t="s">
        <v>21</v>
      </c>
      <c r="D1747" s="4" t="s">
        <v>5385</v>
      </c>
      <c r="E1747" s="1" t="s">
        <v>4072</v>
      </c>
      <c r="F1747" s="1" t="s">
        <v>4487</v>
      </c>
      <c r="G1747" s="1" t="s">
        <v>5218</v>
      </c>
      <c r="H1747" s="7" t="s">
        <v>5386</v>
      </c>
      <c r="I1747" s="1" t="str">
        <f t="shared" si="1"/>
        <v>3</v>
      </c>
      <c r="J1747" s="5"/>
      <c r="K1747" s="1" t="str">
        <f t="shared" si="2"/>
        <v>9</v>
      </c>
      <c r="L1747" s="5"/>
      <c r="M1747" s="2" t="str">
        <f t="shared" si="3"/>
        <v>1388</v>
      </c>
      <c r="N1747" s="1"/>
      <c r="O1747" s="13">
        <v>505.0</v>
      </c>
      <c r="P1747" s="5"/>
      <c r="Q1747" s="5"/>
      <c r="R1747" s="8" t="s">
        <v>5386</v>
      </c>
      <c r="S1747" s="5"/>
      <c r="T1747" s="1" t="str">
        <f>IFERROR(__xludf.DUMMYFUNCTION("INDEX(SPLIT(A1747, ""/""), 2)"),"کانون‌های فرهنگی هنری")</f>
        <v>کانون‌های فرهنگی هنری</v>
      </c>
      <c r="U1747" s="1" t="str">
        <f>IFERROR(__xludf.DUMMYFUNCTION("INDEX(SPLIT(A1747, ""/""), 3)"),"روزنامه شریف")</f>
        <v>روزنامه شریف</v>
      </c>
      <c r="V1747" s="1" t="str">
        <f>IFERROR(__xludf.DUMMYFUNCTION("INDEX(SPLIT(A1747, ""/""), 4)"),"#REF!")</f>
        <v>#REF!</v>
      </c>
    </row>
    <row r="1748">
      <c r="A1748" s="1" t="s">
        <v>4070</v>
      </c>
      <c r="B1748" s="1" t="s">
        <v>5387</v>
      </c>
      <c r="C1748" s="1" t="s">
        <v>21</v>
      </c>
      <c r="D1748" s="4" t="s">
        <v>5388</v>
      </c>
      <c r="E1748" s="1" t="s">
        <v>4072</v>
      </c>
      <c r="F1748" s="1" t="s">
        <v>4487</v>
      </c>
      <c r="G1748" s="1" t="s">
        <v>5218</v>
      </c>
      <c r="H1748" s="7" t="s">
        <v>5389</v>
      </c>
      <c r="I1748" s="1" t="str">
        <f t="shared" si="1"/>
        <v>10</v>
      </c>
      <c r="J1748" s="5"/>
      <c r="K1748" s="1" t="str">
        <f t="shared" si="2"/>
        <v>9</v>
      </c>
      <c r="L1748" s="5"/>
      <c r="M1748" s="2" t="str">
        <f t="shared" si="3"/>
        <v>1388</v>
      </c>
      <c r="N1748" s="1"/>
      <c r="O1748" s="13">
        <v>506.0</v>
      </c>
      <c r="P1748" s="5"/>
      <c r="Q1748" s="5"/>
      <c r="R1748" s="8" t="s">
        <v>5389</v>
      </c>
      <c r="S1748" s="5"/>
      <c r="T1748" s="1" t="str">
        <f>IFERROR(__xludf.DUMMYFUNCTION("INDEX(SPLIT(A1748, ""/""), 2)"),"کانون‌های فرهنگی هنری")</f>
        <v>کانون‌های فرهنگی هنری</v>
      </c>
      <c r="U1748" s="1" t="str">
        <f>IFERROR(__xludf.DUMMYFUNCTION("INDEX(SPLIT(A1748, ""/""), 3)"),"روزنامه شریف")</f>
        <v>روزنامه شریف</v>
      </c>
      <c r="V1748" s="1" t="str">
        <f>IFERROR(__xludf.DUMMYFUNCTION("INDEX(SPLIT(A1748, ""/""), 4)"),"#REF!")</f>
        <v>#REF!</v>
      </c>
    </row>
    <row r="1749">
      <c r="A1749" s="1" t="s">
        <v>4070</v>
      </c>
      <c r="B1749" s="1" t="s">
        <v>5390</v>
      </c>
      <c r="C1749" s="1" t="s">
        <v>21</v>
      </c>
      <c r="D1749" s="4" t="s">
        <v>5391</v>
      </c>
      <c r="E1749" s="1" t="s">
        <v>4072</v>
      </c>
      <c r="F1749" s="1" t="s">
        <v>4487</v>
      </c>
      <c r="G1749" s="1" t="s">
        <v>5218</v>
      </c>
      <c r="H1749" s="1" t="s">
        <v>5392</v>
      </c>
      <c r="I1749" s="1" t="str">
        <f t="shared" si="1"/>
        <v>17</v>
      </c>
      <c r="J1749" s="5"/>
      <c r="K1749" s="1" t="str">
        <f t="shared" si="2"/>
        <v>9</v>
      </c>
      <c r="L1749" s="5"/>
      <c r="M1749" s="2" t="str">
        <f t="shared" si="3"/>
        <v>1388</v>
      </c>
      <c r="N1749" s="1"/>
      <c r="O1749" s="13">
        <v>507.0</v>
      </c>
      <c r="P1749" s="5"/>
      <c r="Q1749" s="5"/>
      <c r="R1749" s="6" t="s">
        <v>5392</v>
      </c>
      <c r="S1749" s="5"/>
      <c r="T1749" s="1" t="str">
        <f>IFERROR(__xludf.DUMMYFUNCTION("INDEX(SPLIT(A1749, ""/""), 2)"),"کانون‌های فرهنگی هنری")</f>
        <v>کانون‌های فرهنگی هنری</v>
      </c>
      <c r="U1749" s="1" t="str">
        <f>IFERROR(__xludf.DUMMYFUNCTION("INDEX(SPLIT(A1749, ""/""), 3)"),"روزنامه شریف")</f>
        <v>روزنامه شریف</v>
      </c>
      <c r="V1749" s="1" t="str">
        <f>IFERROR(__xludf.DUMMYFUNCTION("INDEX(SPLIT(A1749, ""/""), 4)"),"#REF!")</f>
        <v>#REF!</v>
      </c>
    </row>
    <row r="1750">
      <c r="A1750" s="1" t="s">
        <v>4070</v>
      </c>
      <c r="B1750" s="1" t="s">
        <v>5393</v>
      </c>
      <c r="C1750" s="1" t="s">
        <v>21</v>
      </c>
      <c r="D1750" s="4" t="s">
        <v>5394</v>
      </c>
      <c r="E1750" s="1" t="s">
        <v>4072</v>
      </c>
      <c r="F1750" s="1" t="s">
        <v>4487</v>
      </c>
      <c r="G1750" s="1" t="s">
        <v>5218</v>
      </c>
      <c r="H1750" s="1" t="s">
        <v>5395</v>
      </c>
      <c r="I1750" s="1" t="str">
        <f t="shared" si="1"/>
        <v>18</v>
      </c>
      <c r="J1750" s="5"/>
      <c r="K1750" s="1" t="str">
        <f t="shared" si="2"/>
        <v>9</v>
      </c>
      <c r="L1750" s="5"/>
      <c r="M1750" s="2" t="str">
        <f t="shared" si="3"/>
        <v>1388</v>
      </c>
      <c r="N1750" s="1"/>
      <c r="O1750" s="13">
        <v>508.0</v>
      </c>
      <c r="P1750" s="5"/>
      <c r="Q1750" s="5"/>
      <c r="R1750" s="6" t="s">
        <v>5395</v>
      </c>
      <c r="S1750" s="5"/>
      <c r="T1750" s="1" t="str">
        <f>IFERROR(__xludf.DUMMYFUNCTION("INDEX(SPLIT(A1750, ""/""), 2)"),"کانون‌های فرهنگی هنری")</f>
        <v>کانون‌های فرهنگی هنری</v>
      </c>
      <c r="U1750" s="1" t="str">
        <f>IFERROR(__xludf.DUMMYFUNCTION("INDEX(SPLIT(A1750, ""/""), 3)"),"روزنامه شریف")</f>
        <v>روزنامه شریف</v>
      </c>
      <c r="V1750" s="1" t="str">
        <f>IFERROR(__xludf.DUMMYFUNCTION("INDEX(SPLIT(A1750, ""/""), 4)"),"#REF!")</f>
        <v>#REF!</v>
      </c>
    </row>
    <row r="1751">
      <c r="A1751" s="1" t="s">
        <v>4070</v>
      </c>
      <c r="B1751" s="1" t="s">
        <v>5396</v>
      </c>
      <c r="C1751" s="1" t="s">
        <v>21</v>
      </c>
      <c r="D1751" s="4" t="s">
        <v>5397</v>
      </c>
      <c r="E1751" s="1" t="s">
        <v>4072</v>
      </c>
      <c r="F1751" s="1" t="s">
        <v>4487</v>
      </c>
      <c r="G1751" s="1" t="s">
        <v>5218</v>
      </c>
      <c r="H1751" s="1" t="s">
        <v>5398</v>
      </c>
      <c r="I1751" s="1" t="str">
        <f t="shared" si="1"/>
        <v>19</v>
      </c>
      <c r="J1751" s="5"/>
      <c r="K1751" s="1" t="str">
        <f t="shared" si="2"/>
        <v>9</v>
      </c>
      <c r="L1751" s="5"/>
      <c r="M1751" s="2" t="str">
        <f t="shared" si="3"/>
        <v>1388</v>
      </c>
      <c r="N1751" s="1"/>
      <c r="O1751" s="13">
        <v>509.0</v>
      </c>
      <c r="P1751" s="5"/>
      <c r="Q1751" s="5"/>
      <c r="R1751" s="6" t="s">
        <v>5398</v>
      </c>
      <c r="S1751" s="5"/>
      <c r="T1751" s="1" t="str">
        <f>IFERROR(__xludf.DUMMYFUNCTION("INDEX(SPLIT(A1751, ""/""), 2)"),"کانون‌های فرهنگی هنری")</f>
        <v>کانون‌های فرهنگی هنری</v>
      </c>
      <c r="U1751" s="1" t="str">
        <f>IFERROR(__xludf.DUMMYFUNCTION("INDEX(SPLIT(A1751, ""/""), 3)"),"روزنامه شریف")</f>
        <v>روزنامه شریف</v>
      </c>
      <c r="V1751" s="1" t="str">
        <f>IFERROR(__xludf.DUMMYFUNCTION("INDEX(SPLIT(A1751, ""/""), 4)"),"#REF!")</f>
        <v>#REF!</v>
      </c>
    </row>
    <row r="1752">
      <c r="A1752" s="1" t="s">
        <v>4070</v>
      </c>
      <c r="B1752" s="1" t="s">
        <v>5399</v>
      </c>
      <c r="C1752" s="1" t="s">
        <v>21</v>
      </c>
      <c r="D1752" s="4" t="s">
        <v>5400</v>
      </c>
      <c r="E1752" s="1" t="s">
        <v>4072</v>
      </c>
      <c r="F1752" s="1" t="s">
        <v>4487</v>
      </c>
      <c r="G1752" s="1" t="s">
        <v>5218</v>
      </c>
      <c r="H1752" s="1" t="s">
        <v>1103</v>
      </c>
      <c r="I1752" s="1" t="str">
        <f t="shared" si="1"/>
        <v>21</v>
      </c>
      <c r="J1752" s="5"/>
      <c r="K1752" s="1" t="str">
        <f t="shared" si="2"/>
        <v>9</v>
      </c>
      <c r="L1752" s="5"/>
      <c r="M1752" s="2" t="str">
        <f t="shared" si="3"/>
        <v>1388</v>
      </c>
      <c r="N1752" s="1"/>
      <c r="O1752" s="13">
        <v>510.0</v>
      </c>
      <c r="P1752" s="5"/>
      <c r="Q1752" s="5"/>
      <c r="R1752" s="6" t="s">
        <v>1103</v>
      </c>
      <c r="S1752" s="5"/>
      <c r="T1752" s="1" t="str">
        <f>IFERROR(__xludf.DUMMYFUNCTION("INDEX(SPLIT(A1752, ""/""), 2)"),"کانون‌های فرهنگی هنری")</f>
        <v>کانون‌های فرهنگی هنری</v>
      </c>
      <c r="U1752" s="1" t="str">
        <f>IFERROR(__xludf.DUMMYFUNCTION("INDEX(SPLIT(A1752, ""/""), 3)"),"روزنامه شریف")</f>
        <v>روزنامه شریف</v>
      </c>
      <c r="V1752" s="1" t="str">
        <f>IFERROR(__xludf.DUMMYFUNCTION("INDEX(SPLIT(A1752, ""/""), 4)"),"#REF!")</f>
        <v>#REF!</v>
      </c>
    </row>
    <row r="1753">
      <c r="A1753" s="1" t="s">
        <v>4070</v>
      </c>
      <c r="B1753" s="1" t="s">
        <v>5401</v>
      </c>
      <c r="C1753" s="1" t="s">
        <v>21</v>
      </c>
      <c r="D1753" s="4" t="s">
        <v>5402</v>
      </c>
      <c r="E1753" s="1" t="s">
        <v>4072</v>
      </c>
      <c r="F1753" s="1" t="s">
        <v>4487</v>
      </c>
      <c r="G1753" s="1" t="s">
        <v>5218</v>
      </c>
      <c r="H1753" s="1" t="s">
        <v>1096</v>
      </c>
      <c r="I1753" s="1" t="str">
        <f t="shared" si="1"/>
        <v>24</v>
      </c>
      <c r="J1753" s="5"/>
      <c r="K1753" s="1" t="str">
        <f t="shared" si="2"/>
        <v>9</v>
      </c>
      <c r="L1753" s="5"/>
      <c r="M1753" s="2" t="str">
        <f t="shared" si="3"/>
        <v>1388</v>
      </c>
      <c r="N1753" s="1"/>
      <c r="O1753" s="13">
        <v>511.0</v>
      </c>
      <c r="P1753" s="5"/>
      <c r="Q1753" s="5"/>
      <c r="R1753" s="6" t="s">
        <v>1096</v>
      </c>
      <c r="S1753" s="5"/>
      <c r="T1753" s="1" t="str">
        <f>IFERROR(__xludf.DUMMYFUNCTION("INDEX(SPLIT(A1753, ""/""), 2)"),"کانون‌های فرهنگی هنری")</f>
        <v>کانون‌های فرهنگی هنری</v>
      </c>
      <c r="U1753" s="1" t="str">
        <f>IFERROR(__xludf.DUMMYFUNCTION("INDEX(SPLIT(A1753, ""/""), 3)"),"روزنامه شریف")</f>
        <v>روزنامه شریف</v>
      </c>
      <c r="V1753" s="1" t="str">
        <f>IFERROR(__xludf.DUMMYFUNCTION("INDEX(SPLIT(A1753, ""/""), 4)"),"#REF!")</f>
        <v>#REF!</v>
      </c>
    </row>
    <row r="1754">
      <c r="A1754" s="1" t="s">
        <v>4070</v>
      </c>
      <c r="B1754" s="1" t="s">
        <v>5403</v>
      </c>
      <c r="C1754" s="1" t="s">
        <v>21</v>
      </c>
      <c r="D1754" s="4" t="s">
        <v>5404</v>
      </c>
      <c r="E1754" s="1" t="s">
        <v>4072</v>
      </c>
      <c r="F1754" s="1" t="s">
        <v>4487</v>
      </c>
      <c r="G1754" s="1" t="s">
        <v>5218</v>
      </c>
      <c r="H1754" s="1" t="s">
        <v>5405</v>
      </c>
      <c r="I1754" s="1" t="str">
        <f t="shared" si="1"/>
        <v>25</v>
      </c>
      <c r="J1754" s="5"/>
      <c r="K1754" s="1" t="str">
        <f t="shared" si="2"/>
        <v>9</v>
      </c>
      <c r="L1754" s="5"/>
      <c r="M1754" s="2" t="str">
        <f t="shared" si="3"/>
        <v>1388</v>
      </c>
      <c r="N1754" s="1"/>
      <c r="O1754" s="13">
        <v>512.0</v>
      </c>
      <c r="P1754" s="5"/>
      <c r="Q1754" s="5"/>
      <c r="R1754" s="6" t="s">
        <v>5405</v>
      </c>
      <c r="S1754" s="5"/>
      <c r="T1754" s="1" t="str">
        <f>IFERROR(__xludf.DUMMYFUNCTION("INDEX(SPLIT(A1754, ""/""), 2)"),"کانون‌های فرهنگی هنری")</f>
        <v>کانون‌های فرهنگی هنری</v>
      </c>
      <c r="U1754" s="1" t="str">
        <f>IFERROR(__xludf.DUMMYFUNCTION("INDEX(SPLIT(A1754, ""/""), 3)"),"روزنامه شریف")</f>
        <v>روزنامه شریف</v>
      </c>
      <c r="V1754" s="1" t="str">
        <f>IFERROR(__xludf.DUMMYFUNCTION("INDEX(SPLIT(A1754, ""/""), 4)"),"#REF!")</f>
        <v>#REF!</v>
      </c>
    </row>
    <row r="1755">
      <c r="A1755" s="1" t="s">
        <v>4070</v>
      </c>
      <c r="B1755" s="1" t="s">
        <v>5406</v>
      </c>
      <c r="C1755" s="1" t="s">
        <v>21</v>
      </c>
      <c r="D1755" s="4" t="s">
        <v>5407</v>
      </c>
      <c r="E1755" s="1" t="s">
        <v>4072</v>
      </c>
      <c r="F1755" s="1" t="s">
        <v>4487</v>
      </c>
      <c r="G1755" s="1" t="s">
        <v>5218</v>
      </c>
      <c r="H1755" s="1" t="s">
        <v>5408</v>
      </c>
      <c r="I1755" s="1" t="str">
        <f t="shared" si="1"/>
        <v>28</v>
      </c>
      <c r="J1755" s="5"/>
      <c r="K1755" s="1" t="str">
        <f t="shared" si="2"/>
        <v>9</v>
      </c>
      <c r="L1755" s="5"/>
      <c r="M1755" s="2" t="str">
        <f t="shared" si="3"/>
        <v>1388</v>
      </c>
      <c r="N1755" s="5"/>
      <c r="O1755" s="13">
        <v>513.0</v>
      </c>
      <c r="P1755" s="5"/>
      <c r="Q1755" s="5"/>
      <c r="R1755" s="6" t="s">
        <v>5408</v>
      </c>
      <c r="S1755" s="5"/>
      <c r="T1755" s="1" t="str">
        <f>IFERROR(__xludf.DUMMYFUNCTION("INDEX(SPLIT(A1755, ""/""), 2)"),"کانون‌های فرهنگی هنری")</f>
        <v>کانون‌های فرهنگی هنری</v>
      </c>
      <c r="U1755" s="1" t="str">
        <f>IFERROR(__xludf.DUMMYFUNCTION("INDEX(SPLIT(A1755, ""/""), 3)"),"روزنامه شریف")</f>
        <v>روزنامه شریف</v>
      </c>
      <c r="V1755" s="1" t="str">
        <f>IFERROR(__xludf.DUMMYFUNCTION("INDEX(SPLIT(A1755, ""/""), 4)"),"#REF!")</f>
        <v>#REF!</v>
      </c>
    </row>
    <row r="1756">
      <c r="A1756" s="1" t="s">
        <v>4070</v>
      </c>
      <c r="B1756" s="1" t="s">
        <v>5409</v>
      </c>
      <c r="C1756" s="1" t="s">
        <v>21</v>
      </c>
      <c r="D1756" s="4" t="s">
        <v>5410</v>
      </c>
      <c r="E1756" s="1" t="s">
        <v>4072</v>
      </c>
      <c r="F1756" s="1" t="s">
        <v>4487</v>
      </c>
      <c r="G1756" s="1" t="s">
        <v>5218</v>
      </c>
      <c r="H1756" s="7" t="s">
        <v>5411</v>
      </c>
      <c r="I1756" s="1" t="str">
        <f t="shared" si="1"/>
        <v>1</v>
      </c>
      <c r="J1756" s="5"/>
      <c r="K1756" s="1" t="str">
        <f t="shared" si="2"/>
        <v>10</v>
      </c>
      <c r="L1756" s="5"/>
      <c r="M1756" s="2" t="str">
        <f t="shared" si="3"/>
        <v>1388</v>
      </c>
      <c r="N1756" s="5"/>
      <c r="O1756" s="13">
        <v>514.0</v>
      </c>
      <c r="P1756" s="5"/>
      <c r="Q1756" s="5"/>
      <c r="R1756" s="8" t="s">
        <v>5411</v>
      </c>
      <c r="S1756" s="5"/>
      <c r="T1756" s="1" t="str">
        <f>IFERROR(__xludf.DUMMYFUNCTION("INDEX(SPLIT(A1756, ""/""), 2)"),"کانون‌های فرهنگی هنری")</f>
        <v>کانون‌های فرهنگی هنری</v>
      </c>
      <c r="U1756" s="1" t="str">
        <f>IFERROR(__xludf.DUMMYFUNCTION("INDEX(SPLIT(A1756, ""/""), 3)"),"روزنامه شریف")</f>
        <v>روزنامه شریف</v>
      </c>
      <c r="V1756" s="1" t="str">
        <f>IFERROR(__xludf.DUMMYFUNCTION("INDEX(SPLIT(A1756, ""/""), 4)"),"#REF!")</f>
        <v>#REF!</v>
      </c>
    </row>
    <row r="1757">
      <c r="A1757" s="1" t="s">
        <v>4070</v>
      </c>
      <c r="B1757" s="1" t="s">
        <v>5412</v>
      </c>
      <c r="C1757" s="1" t="s">
        <v>21</v>
      </c>
      <c r="D1757" s="4" t="s">
        <v>5413</v>
      </c>
      <c r="E1757" s="1" t="s">
        <v>4072</v>
      </c>
      <c r="F1757" s="1" t="s">
        <v>4487</v>
      </c>
      <c r="G1757" s="1" t="s">
        <v>5218</v>
      </c>
      <c r="H1757" s="7" t="s">
        <v>5414</v>
      </c>
      <c r="I1757" s="1" t="str">
        <f t="shared" si="1"/>
        <v>4</v>
      </c>
      <c r="J1757" s="5"/>
      <c r="K1757" s="1" t="str">
        <f t="shared" si="2"/>
        <v>12</v>
      </c>
      <c r="L1757" s="5"/>
      <c r="M1757" s="2" t="str">
        <f t="shared" si="3"/>
        <v>1388</v>
      </c>
      <c r="N1757" s="1"/>
      <c r="O1757" s="13">
        <v>516.0</v>
      </c>
      <c r="P1757" s="5"/>
      <c r="Q1757" s="5"/>
      <c r="R1757" s="8" t="s">
        <v>5414</v>
      </c>
      <c r="S1757" s="5"/>
      <c r="T1757" s="1" t="str">
        <f>IFERROR(__xludf.DUMMYFUNCTION("INDEX(SPLIT(A1757, ""/""), 2)"),"کانون‌های فرهنگی هنری")</f>
        <v>کانون‌های فرهنگی هنری</v>
      </c>
      <c r="U1757" s="1" t="str">
        <f>IFERROR(__xludf.DUMMYFUNCTION("INDEX(SPLIT(A1757, ""/""), 3)"),"روزنامه شریف")</f>
        <v>روزنامه شریف</v>
      </c>
      <c r="V1757" s="1" t="str">
        <f>IFERROR(__xludf.DUMMYFUNCTION("INDEX(SPLIT(A1757, ""/""), 4)"),"#REF!")</f>
        <v>#REF!</v>
      </c>
    </row>
    <row r="1758">
      <c r="A1758" s="1" t="s">
        <v>4070</v>
      </c>
      <c r="B1758" s="1" t="s">
        <v>5415</v>
      </c>
      <c r="C1758" s="1" t="s">
        <v>21</v>
      </c>
      <c r="D1758" s="4" t="s">
        <v>5416</v>
      </c>
      <c r="E1758" s="1" t="s">
        <v>4072</v>
      </c>
      <c r="F1758" s="1" t="s">
        <v>4487</v>
      </c>
      <c r="G1758" s="1" t="s">
        <v>752</v>
      </c>
      <c r="H1758" s="7" t="s">
        <v>5417</v>
      </c>
      <c r="I1758" s="1" t="str">
        <f t="shared" si="1"/>
        <v>11</v>
      </c>
      <c r="J1758" s="5"/>
      <c r="K1758" s="1" t="str">
        <f t="shared" si="2"/>
        <v>12</v>
      </c>
      <c r="L1758" s="5"/>
      <c r="M1758" s="2" t="str">
        <f t="shared" si="3"/>
        <v>1388</v>
      </c>
      <c r="N1758" s="1"/>
      <c r="O1758" s="13">
        <v>517.0</v>
      </c>
      <c r="P1758" s="5"/>
      <c r="Q1758" s="5"/>
      <c r="R1758" s="8" t="s">
        <v>5417</v>
      </c>
      <c r="S1758" s="5"/>
      <c r="T1758" s="1" t="str">
        <f>IFERROR(__xludf.DUMMYFUNCTION("INDEX(SPLIT(A1758, ""/""), 2)"),"کانون‌های فرهنگی هنری")</f>
        <v>کانون‌های فرهنگی هنری</v>
      </c>
      <c r="U1758" s="1" t="str">
        <f>IFERROR(__xludf.DUMMYFUNCTION("INDEX(SPLIT(A1758, ""/""), 3)"),"روزنامه شریف")</f>
        <v>روزنامه شریف</v>
      </c>
      <c r="V1758" s="1" t="str">
        <f>IFERROR(__xludf.DUMMYFUNCTION("INDEX(SPLIT(A1758, ""/""), 4)"),"#REF!")</f>
        <v>#REF!</v>
      </c>
    </row>
    <row r="1759">
      <c r="A1759" s="1" t="s">
        <v>4070</v>
      </c>
      <c r="B1759" s="1" t="s">
        <v>5418</v>
      </c>
      <c r="C1759" s="1" t="s">
        <v>21</v>
      </c>
      <c r="D1759" s="4" t="s">
        <v>5419</v>
      </c>
      <c r="E1759" s="1" t="s">
        <v>4072</v>
      </c>
      <c r="F1759" s="1" t="s">
        <v>4487</v>
      </c>
      <c r="G1759" s="1" t="s">
        <v>752</v>
      </c>
      <c r="H1759" s="1" t="s">
        <v>5420</v>
      </c>
      <c r="I1759" s="1" t="str">
        <f t="shared" si="1"/>
        <v>15</v>
      </c>
      <c r="J1759" s="5"/>
      <c r="K1759" s="1" t="str">
        <f t="shared" si="2"/>
        <v>12</v>
      </c>
      <c r="L1759" s="5"/>
      <c r="M1759" s="2" t="str">
        <f t="shared" si="3"/>
        <v>1388</v>
      </c>
      <c r="N1759" s="1"/>
      <c r="O1759" s="13">
        <v>518.0</v>
      </c>
      <c r="P1759" s="5"/>
      <c r="Q1759" s="5"/>
      <c r="R1759" s="6" t="s">
        <v>5420</v>
      </c>
      <c r="S1759" s="5"/>
      <c r="T1759" s="1" t="str">
        <f>IFERROR(__xludf.DUMMYFUNCTION("INDEX(SPLIT(A1759, ""/""), 2)"),"کانون‌های فرهنگی هنری")</f>
        <v>کانون‌های فرهنگی هنری</v>
      </c>
      <c r="U1759" s="1" t="str">
        <f>IFERROR(__xludf.DUMMYFUNCTION("INDEX(SPLIT(A1759, ""/""), 3)"),"روزنامه شریف")</f>
        <v>روزنامه شریف</v>
      </c>
      <c r="V1759" s="1" t="str">
        <f>IFERROR(__xludf.DUMMYFUNCTION("INDEX(SPLIT(A1759, ""/""), 4)"),"#REF!")</f>
        <v>#REF!</v>
      </c>
    </row>
    <row r="1760">
      <c r="A1760" s="1" t="s">
        <v>4070</v>
      </c>
      <c r="B1760" s="1" t="s">
        <v>5421</v>
      </c>
      <c r="C1760" s="1" t="s">
        <v>21</v>
      </c>
      <c r="D1760" s="4" t="s">
        <v>5422</v>
      </c>
      <c r="E1760" s="1" t="s">
        <v>4072</v>
      </c>
      <c r="F1760" s="1" t="s">
        <v>4487</v>
      </c>
      <c r="G1760" s="1" t="s">
        <v>752</v>
      </c>
      <c r="H1760" s="1" t="s">
        <v>5423</v>
      </c>
      <c r="I1760" s="1" t="str">
        <f t="shared" si="1"/>
        <v>18</v>
      </c>
      <c r="J1760" s="5"/>
      <c r="K1760" s="1" t="str">
        <f t="shared" si="2"/>
        <v>12</v>
      </c>
      <c r="L1760" s="5"/>
      <c r="M1760" s="2" t="str">
        <f t="shared" si="3"/>
        <v>1388</v>
      </c>
      <c r="N1760" s="1"/>
      <c r="O1760" s="13">
        <v>519.0</v>
      </c>
      <c r="P1760" s="5"/>
      <c r="Q1760" s="5"/>
      <c r="R1760" s="6" t="s">
        <v>5423</v>
      </c>
      <c r="S1760" s="5"/>
      <c r="T1760" s="1" t="str">
        <f>IFERROR(__xludf.DUMMYFUNCTION("INDEX(SPLIT(A1760, ""/""), 2)"),"کانون‌های فرهنگی هنری")</f>
        <v>کانون‌های فرهنگی هنری</v>
      </c>
      <c r="U1760" s="1" t="str">
        <f>IFERROR(__xludf.DUMMYFUNCTION("INDEX(SPLIT(A1760, ""/""), 3)"),"روزنامه شریف")</f>
        <v>روزنامه شریف</v>
      </c>
      <c r="V1760" s="1" t="str">
        <f>IFERROR(__xludf.DUMMYFUNCTION("INDEX(SPLIT(A1760, ""/""), 4)"),"#REF!")</f>
        <v>#REF!</v>
      </c>
    </row>
    <row r="1761">
      <c r="A1761" s="1" t="s">
        <v>4070</v>
      </c>
      <c r="B1761" s="1" t="s">
        <v>5424</v>
      </c>
      <c r="C1761" s="1" t="s">
        <v>21</v>
      </c>
      <c r="D1761" s="4" t="s">
        <v>5425</v>
      </c>
      <c r="E1761" s="1" t="s">
        <v>4072</v>
      </c>
      <c r="F1761" s="1" t="s">
        <v>4487</v>
      </c>
      <c r="G1761" s="1" t="s">
        <v>5426</v>
      </c>
      <c r="H1761" s="1" t="s">
        <v>5427</v>
      </c>
      <c r="I1761" s="1" t="str">
        <f t="shared" si="1"/>
        <v>21</v>
      </c>
      <c r="J1761" s="5"/>
      <c r="K1761" s="1" t="str">
        <f t="shared" si="2"/>
        <v>1</v>
      </c>
      <c r="L1761" s="5"/>
      <c r="M1761" s="2" t="str">
        <f t="shared" si="3"/>
        <v>1389</v>
      </c>
      <c r="N1761" s="5"/>
      <c r="O1761" s="13">
        <v>520.0</v>
      </c>
      <c r="P1761" s="5"/>
      <c r="Q1761" s="5"/>
      <c r="R1761" s="6" t="s">
        <v>5427</v>
      </c>
      <c r="S1761" s="5"/>
      <c r="T1761" s="1" t="str">
        <f>IFERROR(__xludf.DUMMYFUNCTION("INDEX(SPLIT(A1761, ""/""), 2)"),"کانون‌های فرهنگی هنری")</f>
        <v>کانون‌های فرهنگی هنری</v>
      </c>
      <c r="U1761" s="1" t="str">
        <f>IFERROR(__xludf.DUMMYFUNCTION("INDEX(SPLIT(A1761, ""/""), 3)"),"روزنامه شریف")</f>
        <v>روزنامه شریف</v>
      </c>
      <c r="V1761" s="1" t="str">
        <f>IFERROR(__xludf.DUMMYFUNCTION("INDEX(SPLIT(A1761, ""/""), 4)"),"#REF!")</f>
        <v>#REF!</v>
      </c>
    </row>
    <row r="1762">
      <c r="A1762" s="1" t="s">
        <v>4070</v>
      </c>
      <c r="B1762" s="1" t="s">
        <v>5428</v>
      </c>
      <c r="C1762" s="1" t="s">
        <v>21</v>
      </c>
      <c r="D1762" s="4" t="s">
        <v>5429</v>
      </c>
      <c r="E1762" s="1" t="s">
        <v>4072</v>
      </c>
      <c r="F1762" s="1" t="s">
        <v>4487</v>
      </c>
      <c r="G1762" s="1" t="s">
        <v>5426</v>
      </c>
      <c r="H1762" s="1" t="s">
        <v>3713</v>
      </c>
      <c r="I1762" s="1" t="str">
        <f t="shared" si="1"/>
        <v>28</v>
      </c>
      <c r="J1762" s="5"/>
      <c r="K1762" s="1" t="str">
        <f t="shared" si="2"/>
        <v>1</v>
      </c>
      <c r="L1762" s="5"/>
      <c r="M1762" s="2" t="str">
        <f t="shared" si="3"/>
        <v>1389</v>
      </c>
      <c r="N1762" s="5"/>
      <c r="O1762" s="13">
        <v>521.0</v>
      </c>
      <c r="P1762" s="5"/>
      <c r="Q1762" s="5"/>
      <c r="R1762" s="6" t="s">
        <v>3713</v>
      </c>
      <c r="S1762" s="5"/>
      <c r="T1762" s="1" t="str">
        <f>IFERROR(__xludf.DUMMYFUNCTION("INDEX(SPLIT(A1762, ""/""), 2)"),"کانون‌های فرهنگی هنری")</f>
        <v>کانون‌های فرهنگی هنری</v>
      </c>
      <c r="U1762" s="1" t="str">
        <f>IFERROR(__xludf.DUMMYFUNCTION("INDEX(SPLIT(A1762, ""/""), 3)"),"روزنامه شریف")</f>
        <v>روزنامه شریف</v>
      </c>
      <c r="V1762" s="1" t="str">
        <f>IFERROR(__xludf.DUMMYFUNCTION("INDEX(SPLIT(A1762, ""/""), 4)"),"#REF!")</f>
        <v>#REF!</v>
      </c>
    </row>
    <row r="1763">
      <c r="A1763" s="1" t="s">
        <v>4070</v>
      </c>
      <c r="B1763" s="1" t="s">
        <v>5430</v>
      </c>
      <c r="C1763" s="1" t="s">
        <v>21</v>
      </c>
      <c r="D1763" s="4" t="s">
        <v>5431</v>
      </c>
      <c r="E1763" s="1" t="s">
        <v>4072</v>
      </c>
      <c r="F1763" s="1" t="s">
        <v>4487</v>
      </c>
      <c r="G1763" s="1" t="s">
        <v>5426</v>
      </c>
      <c r="H1763" s="7" t="s">
        <v>5432</v>
      </c>
      <c r="I1763" s="1" t="str">
        <f t="shared" si="1"/>
        <v>7</v>
      </c>
      <c r="J1763" s="5"/>
      <c r="K1763" s="1" t="str">
        <f t="shared" si="2"/>
        <v>2</v>
      </c>
      <c r="L1763" s="5"/>
      <c r="M1763" s="2" t="str">
        <f t="shared" si="3"/>
        <v>1389</v>
      </c>
      <c r="N1763" s="5"/>
      <c r="O1763" s="13">
        <v>522.0</v>
      </c>
      <c r="P1763" s="5"/>
      <c r="Q1763" s="5"/>
      <c r="R1763" s="8" t="s">
        <v>5432</v>
      </c>
      <c r="S1763" s="5"/>
      <c r="T1763" s="1" t="str">
        <f>IFERROR(__xludf.DUMMYFUNCTION("INDEX(SPLIT(A1763, ""/""), 2)"),"کانون‌های فرهنگی هنری")</f>
        <v>کانون‌های فرهنگی هنری</v>
      </c>
      <c r="U1763" s="1" t="str">
        <f>IFERROR(__xludf.DUMMYFUNCTION("INDEX(SPLIT(A1763, ""/""), 3)"),"روزنامه شریف")</f>
        <v>روزنامه شریف</v>
      </c>
      <c r="V1763" s="1" t="str">
        <f>IFERROR(__xludf.DUMMYFUNCTION("INDEX(SPLIT(A1763, ""/""), 4)"),"#REF!")</f>
        <v>#REF!</v>
      </c>
    </row>
    <row r="1764">
      <c r="A1764" s="1" t="s">
        <v>4070</v>
      </c>
      <c r="B1764" s="1" t="s">
        <v>5433</v>
      </c>
      <c r="C1764" s="1" t="s">
        <v>21</v>
      </c>
      <c r="D1764" s="4" t="s">
        <v>5434</v>
      </c>
      <c r="E1764" s="1" t="s">
        <v>4072</v>
      </c>
      <c r="F1764" s="1" t="s">
        <v>4487</v>
      </c>
      <c r="G1764" s="1" t="s">
        <v>5426</v>
      </c>
      <c r="H1764" s="1" t="s">
        <v>5435</v>
      </c>
      <c r="I1764" s="1" t="str">
        <f t="shared" si="1"/>
        <v>14</v>
      </c>
      <c r="J1764" s="5"/>
      <c r="K1764" s="1" t="str">
        <f t="shared" si="2"/>
        <v>2</v>
      </c>
      <c r="L1764" s="5"/>
      <c r="M1764" s="2" t="str">
        <f t="shared" si="3"/>
        <v>1389</v>
      </c>
      <c r="N1764" s="5"/>
      <c r="O1764" s="13">
        <v>523.0</v>
      </c>
      <c r="P1764" s="5"/>
      <c r="Q1764" s="5"/>
      <c r="R1764" s="6" t="s">
        <v>5435</v>
      </c>
      <c r="S1764" s="5"/>
      <c r="T1764" s="1" t="str">
        <f>IFERROR(__xludf.DUMMYFUNCTION("INDEX(SPLIT(A1764, ""/""), 2)"),"کانون‌های فرهنگی هنری")</f>
        <v>کانون‌های فرهنگی هنری</v>
      </c>
      <c r="U1764" s="1" t="str">
        <f>IFERROR(__xludf.DUMMYFUNCTION("INDEX(SPLIT(A1764, ""/""), 3)"),"روزنامه شریف")</f>
        <v>روزنامه شریف</v>
      </c>
      <c r="V1764" s="1" t="str">
        <f>IFERROR(__xludf.DUMMYFUNCTION("INDEX(SPLIT(A1764, ""/""), 4)"),"#REF!")</f>
        <v>#REF!</v>
      </c>
    </row>
    <row r="1765">
      <c r="A1765" s="1" t="s">
        <v>4070</v>
      </c>
      <c r="B1765" s="1" t="s">
        <v>5436</v>
      </c>
      <c r="C1765" s="1" t="s">
        <v>21</v>
      </c>
      <c r="D1765" s="4" t="s">
        <v>5437</v>
      </c>
      <c r="E1765" s="1" t="s">
        <v>4072</v>
      </c>
      <c r="F1765" s="1" t="s">
        <v>4487</v>
      </c>
      <c r="G1765" s="1" t="s">
        <v>5426</v>
      </c>
      <c r="H1765" s="7" t="s">
        <v>5438</v>
      </c>
      <c r="I1765" s="1" t="str">
        <f t="shared" si="1"/>
        <v>4</v>
      </c>
      <c r="J1765" s="5"/>
      <c r="K1765" s="1" t="str">
        <f t="shared" si="2"/>
        <v>3</v>
      </c>
      <c r="L1765" s="5"/>
      <c r="M1765" s="2" t="str">
        <f t="shared" si="3"/>
        <v>1389</v>
      </c>
      <c r="N1765" s="5"/>
      <c r="O1765" s="13">
        <v>524.0</v>
      </c>
      <c r="P1765" s="5"/>
      <c r="Q1765" s="5"/>
      <c r="R1765" s="8" t="s">
        <v>5438</v>
      </c>
      <c r="S1765" s="5"/>
      <c r="T1765" s="1" t="str">
        <f>IFERROR(__xludf.DUMMYFUNCTION("INDEX(SPLIT(A1765, ""/""), 2)"),"کانون‌های فرهنگی هنری")</f>
        <v>کانون‌های فرهنگی هنری</v>
      </c>
      <c r="U1765" s="1" t="str">
        <f>IFERROR(__xludf.DUMMYFUNCTION("INDEX(SPLIT(A1765, ""/""), 3)"),"روزنامه شریف")</f>
        <v>روزنامه شریف</v>
      </c>
      <c r="V1765" s="1" t="str">
        <f>IFERROR(__xludf.DUMMYFUNCTION("INDEX(SPLIT(A1765, ""/""), 4)"),"#REF!")</f>
        <v>#REF!</v>
      </c>
    </row>
    <row r="1766">
      <c r="A1766" s="1" t="s">
        <v>4070</v>
      </c>
      <c r="B1766" s="1" t="s">
        <v>5439</v>
      </c>
      <c r="C1766" s="1" t="s">
        <v>21</v>
      </c>
      <c r="D1766" s="4" t="s">
        <v>5440</v>
      </c>
      <c r="E1766" s="1" t="s">
        <v>3546</v>
      </c>
      <c r="F1766" s="1" t="s">
        <v>5441</v>
      </c>
      <c r="G1766" s="1" t="s">
        <v>5285</v>
      </c>
      <c r="H1766" s="1" t="s">
        <v>3810</v>
      </c>
      <c r="I1766" s="1" t="str">
        <f t="shared" si="1"/>
        <v>15</v>
      </c>
      <c r="J1766" s="5"/>
      <c r="K1766" s="1" t="str">
        <f t="shared" si="2"/>
        <v>7</v>
      </c>
      <c r="L1766" s="5"/>
      <c r="M1766" s="2" t="str">
        <f t="shared" si="3"/>
        <v>1391</v>
      </c>
      <c r="N1766" s="5"/>
      <c r="O1766" s="13">
        <v>525.0</v>
      </c>
      <c r="P1766" s="5"/>
      <c r="Q1766" s="5"/>
      <c r="R1766" s="6" t="s">
        <v>3810</v>
      </c>
      <c r="S1766" s="5"/>
      <c r="T1766" s="1" t="str">
        <f>IFERROR(__xludf.DUMMYFUNCTION("INDEX(SPLIT(A1766, ""/""), 2)"),"کانون‌های فرهنگی هنری")</f>
        <v>کانون‌های فرهنگی هنری</v>
      </c>
      <c r="U1766" s="1" t="str">
        <f>IFERROR(__xludf.DUMMYFUNCTION("INDEX(SPLIT(A1766, ""/""), 3)"),"روزنامه شریف")</f>
        <v>روزنامه شریف</v>
      </c>
      <c r="V1766" s="1" t="str">
        <f>IFERROR(__xludf.DUMMYFUNCTION("INDEX(SPLIT(A1766, ""/""), 4)"),"#REF!")</f>
        <v>#REF!</v>
      </c>
    </row>
    <row r="1767">
      <c r="A1767" s="1" t="s">
        <v>4070</v>
      </c>
      <c r="B1767" s="1" t="s">
        <v>5442</v>
      </c>
      <c r="C1767" s="1" t="s">
        <v>21</v>
      </c>
      <c r="D1767" s="4" t="s">
        <v>5443</v>
      </c>
      <c r="E1767" s="1" t="s">
        <v>3546</v>
      </c>
      <c r="F1767" s="1" t="s">
        <v>5441</v>
      </c>
      <c r="G1767" s="1" t="s">
        <v>71</v>
      </c>
      <c r="H1767" s="1" t="s">
        <v>5444</v>
      </c>
      <c r="I1767" s="1" t="str">
        <f t="shared" si="1"/>
        <v>22</v>
      </c>
      <c r="J1767" s="5"/>
      <c r="K1767" s="1" t="str">
        <f t="shared" si="2"/>
        <v>7</v>
      </c>
      <c r="L1767" s="5"/>
      <c r="M1767" s="2" t="str">
        <f t="shared" si="3"/>
        <v>1391</v>
      </c>
      <c r="N1767" s="5"/>
      <c r="O1767" s="13">
        <v>526.0</v>
      </c>
      <c r="P1767" s="5"/>
      <c r="Q1767" s="5"/>
      <c r="R1767" s="6" t="s">
        <v>5444</v>
      </c>
      <c r="S1767" s="5"/>
      <c r="T1767" s="1" t="str">
        <f>IFERROR(__xludf.DUMMYFUNCTION("INDEX(SPLIT(A1767, ""/""), 2)"),"کانون‌های فرهنگی هنری")</f>
        <v>کانون‌های فرهنگی هنری</v>
      </c>
      <c r="U1767" s="1" t="str">
        <f>IFERROR(__xludf.DUMMYFUNCTION("INDEX(SPLIT(A1767, ""/""), 3)"),"روزنامه شریف")</f>
        <v>روزنامه شریف</v>
      </c>
      <c r="V1767" s="1" t="str">
        <f>IFERROR(__xludf.DUMMYFUNCTION("INDEX(SPLIT(A1767, ""/""), 4)"),"#REF!")</f>
        <v>#REF!</v>
      </c>
    </row>
    <row r="1768">
      <c r="A1768" s="1" t="s">
        <v>4070</v>
      </c>
      <c r="B1768" s="1" t="s">
        <v>5445</v>
      </c>
      <c r="C1768" s="1" t="s">
        <v>21</v>
      </c>
      <c r="D1768" s="4" t="s">
        <v>5446</v>
      </c>
      <c r="E1768" s="1" t="s">
        <v>3546</v>
      </c>
      <c r="F1768" s="1" t="s">
        <v>5441</v>
      </c>
      <c r="G1768" s="1" t="s">
        <v>71</v>
      </c>
      <c r="H1768" s="1" t="s">
        <v>5447</v>
      </c>
      <c r="I1768" s="1" t="str">
        <f t="shared" si="1"/>
        <v>29</v>
      </c>
      <c r="J1768" s="5"/>
      <c r="K1768" s="1" t="str">
        <f t="shared" si="2"/>
        <v>7</v>
      </c>
      <c r="L1768" s="5"/>
      <c r="M1768" s="2" t="str">
        <f t="shared" si="3"/>
        <v>1391</v>
      </c>
      <c r="N1768" s="5"/>
      <c r="O1768" s="13">
        <v>527.0</v>
      </c>
      <c r="P1768" s="5"/>
      <c r="Q1768" s="5"/>
      <c r="R1768" s="6" t="s">
        <v>5447</v>
      </c>
      <c r="S1768" s="5"/>
      <c r="T1768" s="1" t="str">
        <f>IFERROR(__xludf.DUMMYFUNCTION("INDEX(SPLIT(A1768, ""/""), 2)"),"کانون‌های فرهنگی هنری")</f>
        <v>کانون‌های فرهنگی هنری</v>
      </c>
      <c r="U1768" s="1" t="str">
        <f>IFERROR(__xludf.DUMMYFUNCTION("INDEX(SPLIT(A1768, ""/""), 3)"),"روزنامه شریف")</f>
        <v>روزنامه شریف</v>
      </c>
      <c r="V1768" s="1" t="str">
        <f>IFERROR(__xludf.DUMMYFUNCTION("INDEX(SPLIT(A1768, ""/""), 4)"),"#REF!")</f>
        <v>#REF!</v>
      </c>
    </row>
    <row r="1769">
      <c r="A1769" s="1" t="s">
        <v>4070</v>
      </c>
      <c r="B1769" s="1" t="s">
        <v>5448</v>
      </c>
      <c r="C1769" s="1" t="s">
        <v>21</v>
      </c>
      <c r="D1769" s="4" t="s">
        <v>5449</v>
      </c>
      <c r="E1769" s="1" t="s">
        <v>3546</v>
      </c>
      <c r="F1769" s="1" t="s">
        <v>5441</v>
      </c>
      <c r="G1769" s="1" t="s">
        <v>71</v>
      </c>
      <c r="H1769" s="7" t="s">
        <v>5450</v>
      </c>
      <c r="I1769" s="1" t="str">
        <f t="shared" si="1"/>
        <v>6</v>
      </c>
      <c r="J1769" s="5"/>
      <c r="K1769" s="1" t="str">
        <f t="shared" si="2"/>
        <v>8</v>
      </c>
      <c r="L1769" s="5"/>
      <c r="M1769" s="2" t="str">
        <f t="shared" si="3"/>
        <v>1391</v>
      </c>
      <c r="N1769" s="5"/>
      <c r="O1769" s="13">
        <v>528.0</v>
      </c>
      <c r="P1769" s="5"/>
      <c r="Q1769" s="5"/>
      <c r="R1769" s="8" t="s">
        <v>5450</v>
      </c>
      <c r="S1769" s="5"/>
      <c r="T1769" s="1" t="str">
        <f>IFERROR(__xludf.DUMMYFUNCTION("INDEX(SPLIT(A1769, ""/""), 2)"),"کانون‌های فرهنگی هنری")</f>
        <v>کانون‌های فرهنگی هنری</v>
      </c>
      <c r="U1769" s="1" t="str">
        <f>IFERROR(__xludf.DUMMYFUNCTION("INDEX(SPLIT(A1769, ""/""), 3)"),"روزنامه شریف")</f>
        <v>روزنامه شریف</v>
      </c>
      <c r="V1769" s="1" t="str">
        <f>IFERROR(__xludf.DUMMYFUNCTION("INDEX(SPLIT(A1769, ""/""), 4)"),"#REF!")</f>
        <v>#REF!</v>
      </c>
    </row>
    <row r="1770">
      <c r="A1770" s="1" t="s">
        <v>4070</v>
      </c>
      <c r="B1770" s="1" t="s">
        <v>5451</v>
      </c>
      <c r="C1770" s="1" t="s">
        <v>21</v>
      </c>
      <c r="D1770" s="4" t="s">
        <v>5452</v>
      </c>
      <c r="E1770" s="1" t="s">
        <v>3546</v>
      </c>
      <c r="F1770" s="1" t="s">
        <v>5441</v>
      </c>
      <c r="G1770" s="1" t="s">
        <v>71</v>
      </c>
      <c r="H1770" s="1" t="s">
        <v>5453</v>
      </c>
      <c r="I1770" s="1" t="str">
        <f t="shared" si="1"/>
        <v>14</v>
      </c>
      <c r="J1770" s="5"/>
      <c r="K1770" s="1" t="str">
        <f t="shared" si="2"/>
        <v>8</v>
      </c>
      <c r="L1770" s="5"/>
      <c r="M1770" s="2" t="str">
        <f t="shared" si="3"/>
        <v>1391</v>
      </c>
      <c r="N1770" s="5"/>
      <c r="O1770" s="13">
        <v>529.0</v>
      </c>
      <c r="P1770" s="5"/>
      <c r="Q1770" s="5"/>
      <c r="R1770" s="6" t="s">
        <v>5453</v>
      </c>
      <c r="S1770" s="5"/>
      <c r="T1770" s="1" t="str">
        <f>IFERROR(__xludf.DUMMYFUNCTION("INDEX(SPLIT(A1770, ""/""), 2)"),"کانون‌های فرهنگی هنری")</f>
        <v>کانون‌های فرهنگی هنری</v>
      </c>
      <c r="U1770" s="1" t="str">
        <f>IFERROR(__xludf.DUMMYFUNCTION("INDEX(SPLIT(A1770, ""/""), 3)"),"روزنامه شریف")</f>
        <v>روزنامه شریف</v>
      </c>
      <c r="V1770" s="1" t="str">
        <f>IFERROR(__xludf.DUMMYFUNCTION("INDEX(SPLIT(A1770, ""/""), 4)"),"#REF!")</f>
        <v>#REF!</v>
      </c>
    </row>
    <row r="1771">
      <c r="A1771" s="1" t="s">
        <v>4070</v>
      </c>
      <c r="B1771" s="1" t="s">
        <v>5454</v>
      </c>
      <c r="C1771" s="1" t="s">
        <v>21</v>
      </c>
      <c r="D1771" s="4" t="s">
        <v>5455</v>
      </c>
      <c r="E1771" s="1" t="s">
        <v>3546</v>
      </c>
      <c r="F1771" s="1" t="s">
        <v>5441</v>
      </c>
      <c r="G1771" s="1" t="s">
        <v>71</v>
      </c>
      <c r="H1771" s="1" t="s">
        <v>5456</v>
      </c>
      <c r="I1771" s="1" t="str">
        <f t="shared" si="1"/>
        <v>20</v>
      </c>
      <c r="J1771" s="5"/>
      <c r="K1771" s="1" t="str">
        <f t="shared" si="2"/>
        <v>8</v>
      </c>
      <c r="L1771" s="5"/>
      <c r="M1771" s="2" t="str">
        <f t="shared" si="3"/>
        <v>1391</v>
      </c>
      <c r="N1771" s="5"/>
      <c r="O1771" s="13">
        <v>530.0</v>
      </c>
      <c r="P1771" s="5"/>
      <c r="Q1771" s="5"/>
      <c r="R1771" s="6" t="s">
        <v>5456</v>
      </c>
      <c r="S1771" s="5"/>
      <c r="T1771" s="1" t="str">
        <f>IFERROR(__xludf.DUMMYFUNCTION("INDEX(SPLIT(A1771, ""/""), 2)"),"کانون‌های فرهنگی هنری")</f>
        <v>کانون‌های فرهنگی هنری</v>
      </c>
      <c r="U1771" s="1" t="str">
        <f>IFERROR(__xludf.DUMMYFUNCTION("INDEX(SPLIT(A1771, ""/""), 3)"),"روزنامه شریف")</f>
        <v>روزنامه شریف</v>
      </c>
      <c r="V1771" s="1" t="str">
        <f>IFERROR(__xludf.DUMMYFUNCTION("INDEX(SPLIT(A1771, ""/""), 4)"),"#REF!")</f>
        <v>#REF!</v>
      </c>
    </row>
    <row r="1772">
      <c r="A1772" s="1" t="s">
        <v>4070</v>
      </c>
      <c r="B1772" s="1" t="s">
        <v>5457</v>
      </c>
      <c r="C1772" s="1" t="s">
        <v>21</v>
      </c>
      <c r="D1772" s="4" t="s">
        <v>5458</v>
      </c>
      <c r="E1772" s="1" t="s">
        <v>3546</v>
      </c>
      <c r="F1772" s="1" t="s">
        <v>5441</v>
      </c>
      <c r="G1772" s="1" t="s">
        <v>71</v>
      </c>
      <c r="H1772" s="1" t="s">
        <v>5459</v>
      </c>
      <c r="I1772" s="1" t="str">
        <f t="shared" si="1"/>
        <v>27</v>
      </c>
      <c r="J1772" s="5"/>
      <c r="K1772" s="1" t="str">
        <f t="shared" si="2"/>
        <v>8</v>
      </c>
      <c r="L1772" s="5"/>
      <c r="M1772" s="2" t="str">
        <f t="shared" si="3"/>
        <v>1391</v>
      </c>
      <c r="N1772" s="5"/>
      <c r="O1772" s="13">
        <v>531.0</v>
      </c>
      <c r="P1772" s="5"/>
      <c r="Q1772" s="5"/>
      <c r="R1772" s="6" t="s">
        <v>5459</v>
      </c>
      <c r="S1772" s="5"/>
      <c r="T1772" s="1" t="str">
        <f>IFERROR(__xludf.DUMMYFUNCTION("INDEX(SPLIT(A1772, ""/""), 2)"),"کانون‌های فرهنگی هنری")</f>
        <v>کانون‌های فرهنگی هنری</v>
      </c>
      <c r="U1772" s="1" t="str">
        <f>IFERROR(__xludf.DUMMYFUNCTION("INDEX(SPLIT(A1772, ""/""), 3)"),"روزنامه شریف")</f>
        <v>روزنامه شریف</v>
      </c>
      <c r="V1772" s="1" t="str">
        <f>IFERROR(__xludf.DUMMYFUNCTION("INDEX(SPLIT(A1772, ""/""), 4)"),"#REF!")</f>
        <v>#REF!</v>
      </c>
    </row>
    <row r="1773">
      <c r="A1773" s="1" t="s">
        <v>4070</v>
      </c>
      <c r="B1773" s="1" t="s">
        <v>5460</v>
      </c>
      <c r="C1773" s="1" t="s">
        <v>21</v>
      </c>
      <c r="D1773" s="4" t="s">
        <v>5461</v>
      </c>
      <c r="E1773" s="1" t="s">
        <v>3546</v>
      </c>
      <c r="F1773" s="1" t="s">
        <v>5441</v>
      </c>
      <c r="G1773" s="1" t="s">
        <v>71</v>
      </c>
      <c r="H1773" s="7" t="s">
        <v>5462</v>
      </c>
      <c r="I1773" s="1" t="str">
        <f t="shared" si="1"/>
        <v>11</v>
      </c>
      <c r="J1773" s="5"/>
      <c r="K1773" s="1" t="str">
        <f t="shared" si="2"/>
        <v>9</v>
      </c>
      <c r="L1773" s="5"/>
      <c r="M1773" s="2" t="str">
        <f t="shared" si="3"/>
        <v>1391</v>
      </c>
      <c r="N1773" s="5"/>
      <c r="O1773" s="13">
        <v>532.0</v>
      </c>
      <c r="P1773" s="5"/>
      <c r="Q1773" s="5"/>
      <c r="R1773" s="8" t="s">
        <v>5462</v>
      </c>
      <c r="S1773" s="5"/>
      <c r="T1773" s="1" t="str">
        <f>IFERROR(__xludf.DUMMYFUNCTION("INDEX(SPLIT(A1773, ""/""), 2)"),"کانون‌های فرهنگی هنری")</f>
        <v>کانون‌های فرهنگی هنری</v>
      </c>
      <c r="U1773" s="1" t="str">
        <f>IFERROR(__xludf.DUMMYFUNCTION("INDEX(SPLIT(A1773, ""/""), 3)"),"روزنامه شریف")</f>
        <v>روزنامه شریف</v>
      </c>
      <c r="V1773" s="1" t="str">
        <f>IFERROR(__xludf.DUMMYFUNCTION("INDEX(SPLIT(A1773, ""/""), 4)"),"#REF!")</f>
        <v>#REF!</v>
      </c>
    </row>
    <row r="1774">
      <c r="A1774" s="1" t="s">
        <v>4070</v>
      </c>
      <c r="B1774" s="1" t="s">
        <v>5463</v>
      </c>
      <c r="C1774" s="1" t="s">
        <v>21</v>
      </c>
      <c r="D1774" s="4" t="s">
        <v>5464</v>
      </c>
      <c r="E1774" s="1" t="s">
        <v>3546</v>
      </c>
      <c r="F1774" s="1" t="s">
        <v>5441</v>
      </c>
      <c r="G1774" s="1" t="s">
        <v>71</v>
      </c>
      <c r="H1774" s="1" t="s">
        <v>5465</v>
      </c>
      <c r="I1774" s="1" t="str">
        <f t="shared" si="1"/>
        <v>18</v>
      </c>
      <c r="J1774" s="5"/>
      <c r="K1774" s="1" t="str">
        <f t="shared" si="2"/>
        <v>9</v>
      </c>
      <c r="L1774" s="5"/>
      <c r="M1774" s="2" t="str">
        <f t="shared" si="3"/>
        <v>1391</v>
      </c>
      <c r="N1774" s="5"/>
      <c r="O1774" s="13">
        <v>533.0</v>
      </c>
      <c r="P1774" s="5"/>
      <c r="Q1774" s="5"/>
      <c r="R1774" s="6" t="s">
        <v>5465</v>
      </c>
      <c r="S1774" s="5"/>
      <c r="T1774" s="1" t="str">
        <f>IFERROR(__xludf.DUMMYFUNCTION("INDEX(SPLIT(A1774, ""/""), 2)"),"کانون‌های فرهنگی هنری")</f>
        <v>کانون‌های فرهنگی هنری</v>
      </c>
      <c r="U1774" s="1" t="str">
        <f>IFERROR(__xludf.DUMMYFUNCTION("INDEX(SPLIT(A1774, ""/""), 3)"),"روزنامه شریف")</f>
        <v>روزنامه شریف</v>
      </c>
      <c r="V1774" s="1" t="str">
        <f>IFERROR(__xludf.DUMMYFUNCTION("INDEX(SPLIT(A1774, ""/""), 4)"),"#REF!")</f>
        <v>#REF!</v>
      </c>
    </row>
    <row r="1775">
      <c r="A1775" s="1" t="s">
        <v>4070</v>
      </c>
      <c r="B1775" s="1" t="s">
        <v>5466</v>
      </c>
      <c r="C1775" s="1" t="s">
        <v>21</v>
      </c>
      <c r="D1775" s="4" t="s">
        <v>5467</v>
      </c>
      <c r="E1775" s="1" t="s">
        <v>3546</v>
      </c>
      <c r="F1775" s="1" t="s">
        <v>5441</v>
      </c>
      <c r="G1775" s="1" t="s">
        <v>71</v>
      </c>
      <c r="H1775" s="1" t="s">
        <v>3813</v>
      </c>
      <c r="I1775" s="1" t="str">
        <f t="shared" si="1"/>
        <v>25</v>
      </c>
      <c r="J1775" s="5"/>
      <c r="K1775" s="1" t="str">
        <f t="shared" si="2"/>
        <v>9</v>
      </c>
      <c r="L1775" s="5"/>
      <c r="M1775" s="2" t="str">
        <f t="shared" si="3"/>
        <v>1391</v>
      </c>
      <c r="N1775" s="5"/>
      <c r="O1775" s="13">
        <v>534.0</v>
      </c>
      <c r="P1775" s="5"/>
      <c r="Q1775" s="5"/>
      <c r="R1775" s="6" t="s">
        <v>3813</v>
      </c>
      <c r="S1775" s="5"/>
      <c r="T1775" s="1" t="str">
        <f>IFERROR(__xludf.DUMMYFUNCTION("INDEX(SPLIT(A1775, ""/""), 2)"),"کانون‌های فرهنگی هنری")</f>
        <v>کانون‌های فرهنگی هنری</v>
      </c>
      <c r="U1775" s="1" t="str">
        <f>IFERROR(__xludf.DUMMYFUNCTION("INDEX(SPLIT(A1775, ""/""), 3)"),"روزنامه شریف")</f>
        <v>روزنامه شریف</v>
      </c>
      <c r="V1775" s="1" t="str">
        <f>IFERROR(__xludf.DUMMYFUNCTION("INDEX(SPLIT(A1775, ""/""), 4)"),"#REF!")</f>
        <v>#REF!</v>
      </c>
    </row>
    <row r="1776">
      <c r="A1776" s="1" t="s">
        <v>4070</v>
      </c>
      <c r="B1776" s="1" t="s">
        <v>5468</v>
      </c>
      <c r="C1776" s="1" t="s">
        <v>21</v>
      </c>
      <c r="D1776" s="4" t="s">
        <v>5469</v>
      </c>
      <c r="E1776" s="1" t="s">
        <v>3546</v>
      </c>
      <c r="F1776" s="1" t="s">
        <v>5441</v>
      </c>
      <c r="G1776" s="1" t="s">
        <v>71</v>
      </c>
      <c r="H1776" s="7" t="s">
        <v>5470</v>
      </c>
      <c r="I1776" s="1" t="str">
        <f t="shared" si="1"/>
        <v>2</v>
      </c>
      <c r="J1776" s="5"/>
      <c r="K1776" s="1" t="str">
        <f t="shared" si="2"/>
        <v>10</v>
      </c>
      <c r="L1776" s="5"/>
      <c r="M1776" s="2" t="str">
        <f t="shared" si="3"/>
        <v>1391</v>
      </c>
      <c r="N1776" s="5"/>
      <c r="O1776" s="13">
        <v>535.0</v>
      </c>
      <c r="P1776" s="5"/>
      <c r="Q1776" s="5"/>
      <c r="R1776" s="8" t="s">
        <v>5470</v>
      </c>
      <c r="S1776" s="5"/>
      <c r="T1776" s="1" t="str">
        <f>IFERROR(__xludf.DUMMYFUNCTION("INDEX(SPLIT(A1776, ""/""), 2)"),"کانون‌های فرهنگی هنری")</f>
        <v>کانون‌های فرهنگی هنری</v>
      </c>
      <c r="U1776" s="1" t="str">
        <f>IFERROR(__xludf.DUMMYFUNCTION("INDEX(SPLIT(A1776, ""/""), 3)"),"روزنامه شریف")</f>
        <v>روزنامه شریف</v>
      </c>
      <c r="V1776" s="1" t="str">
        <f>IFERROR(__xludf.DUMMYFUNCTION("INDEX(SPLIT(A1776, ""/""), 4)"),"#REF!")</f>
        <v>#REF!</v>
      </c>
    </row>
    <row r="1777">
      <c r="A1777" s="1" t="s">
        <v>4070</v>
      </c>
      <c r="B1777" s="1" t="s">
        <v>5471</v>
      </c>
      <c r="C1777" s="1" t="s">
        <v>21</v>
      </c>
      <c r="D1777" s="4" t="s">
        <v>5472</v>
      </c>
      <c r="E1777" s="1" t="s">
        <v>71</v>
      </c>
      <c r="F1777" s="1" t="s">
        <v>5441</v>
      </c>
      <c r="G1777" s="1" t="s">
        <v>71</v>
      </c>
      <c r="H1777" s="1" t="s">
        <v>5473</v>
      </c>
      <c r="I1777" s="1" t="str">
        <f t="shared" si="1"/>
        <v>24</v>
      </c>
      <c r="J1777" s="5"/>
      <c r="K1777" s="1" t="str">
        <f t="shared" si="2"/>
        <v>11</v>
      </c>
      <c r="L1777" s="5"/>
      <c r="M1777" s="2" t="str">
        <f t="shared" si="3"/>
        <v>1391</v>
      </c>
      <c r="N1777" s="1"/>
      <c r="O1777" s="13">
        <v>536.0</v>
      </c>
      <c r="P1777" s="5"/>
      <c r="Q1777" s="5"/>
      <c r="R1777" s="6" t="s">
        <v>5473</v>
      </c>
      <c r="S1777" s="5"/>
      <c r="T1777" s="1" t="str">
        <f>IFERROR(__xludf.DUMMYFUNCTION("INDEX(SPLIT(A1777, ""/""), 2)"),"کانون‌های فرهنگی هنری")</f>
        <v>کانون‌های فرهنگی هنری</v>
      </c>
      <c r="U1777" s="1" t="str">
        <f>IFERROR(__xludf.DUMMYFUNCTION("INDEX(SPLIT(A1777, ""/""), 3)"),"روزنامه شریف")</f>
        <v>روزنامه شریف</v>
      </c>
      <c r="V1777" s="1" t="str">
        <f>IFERROR(__xludf.DUMMYFUNCTION("INDEX(SPLIT(A1777, ""/""), 4)"),"#REF!")</f>
        <v>#REF!</v>
      </c>
    </row>
    <row r="1778">
      <c r="A1778" s="1" t="s">
        <v>4070</v>
      </c>
      <c r="B1778" s="1" t="s">
        <v>5474</v>
      </c>
      <c r="C1778" s="1" t="s">
        <v>21</v>
      </c>
      <c r="D1778" s="4" t="s">
        <v>5475</v>
      </c>
      <c r="E1778" s="1" t="s">
        <v>71</v>
      </c>
      <c r="F1778" s="1" t="s">
        <v>5441</v>
      </c>
      <c r="G1778" s="1" t="s">
        <v>71</v>
      </c>
      <c r="H1778" s="1" t="s">
        <v>5476</v>
      </c>
      <c r="I1778" s="1" t="str">
        <f t="shared" si="1"/>
        <v>28</v>
      </c>
      <c r="J1778" s="5"/>
      <c r="K1778" s="1" t="str">
        <f t="shared" si="2"/>
        <v>11</v>
      </c>
      <c r="L1778" s="5"/>
      <c r="M1778" s="2" t="str">
        <f t="shared" si="3"/>
        <v>1391</v>
      </c>
      <c r="N1778" s="5"/>
      <c r="O1778" s="13">
        <v>537.0</v>
      </c>
      <c r="P1778" s="5"/>
      <c r="Q1778" s="5"/>
      <c r="R1778" s="6" t="s">
        <v>5476</v>
      </c>
      <c r="S1778" s="5"/>
      <c r="T1778" s="1" t="str">
        <f>IFERROR(__xludf.DUMMYFUNCTION("INDEX(SPLIT(A1778, ""/""), 2)"),"کانون‌های فرهنگی هنری")</f>
        <v>کانون‌های فرهنگی هنری</v>
      </c>
      <c r="U1778" s="1" t="str">
        <f>IFERROR(__xludf.DUMMYFUNCTION("INDEX(SPLIT(A1778, ""/""), 3)"),"روزنامه شریف")</f>
        <v>روزنامه شریف</v>
      </c>
      <c r="V1778" s="1" t="str">
        <f>IFERROR(__xludf.DUMMYFUNCTION("INDEX(SPLIT(A1778, ""/""), 4)"),"#REF!")</f>
        <v>#REF!</v>
      </c>
    </row>
    <row r="1779">
      <c r="A1779" s="1" t="s">
        <v>4070</v>
      </c>
      <c r="B1779" s="1" t="s">
        <v>5477</v>
      </c>
      <c r="C1779" s="1" t="s">
        <v>21</v>
      </c>
      <c r="D1779" s="4" t="s">
        <v>5478</v>
      </c>
      <c r="E1779" s="1" t="s">
        <v>71</v>
      </c>
      <c r="F1779" s="1" t="s">
        <v>5441</v>
      </c>
      <c r="G1779" s="1" t="s">
        <v>71</v>
      </c>
      <c r="H1779" s="7" t="s">
        <v>3060</v>
      </c>
      <c r="I1779" s="1" t="str">
        <f t="shared" si="1"/>
        <v>1</v>
      </c>
      <c r="J1779" s="5"/>
      <c r="K1779" s="1" t="str">
        <f t="shared" si="2"/>
        <v>12</v>
      </c>
      <c r="L1779" s="5"/>
      <c r="M1779" s="2" t="str">
        <f t="shared" si="3"/>
        <v>1391</v>
      </c>
      <c r="N1779" s="1"/>
      <c r="O1779" s="13">
        <v>538.0</v>
      </c>
      <c r="P1779" s="5"/>
      <c r="Q1779" s="5"/>
      <c r="R1779" s="8" t="s">
        <v>3060</v>
      </c>
      <c r="S1779" s="5"/>
      <c r="T1779" s="1" t="str">
        <f>IFERROR(__xludf.DUMMYFUNCTION("INDEX(SPLIT(A1779, ""/""), 2)"),"کانون‌های فرهنگی هنری")</f>
        <v>کانون‌های فرهنگی هنری</v>
      </c>
      <c r="U1779" s="1" t="str">
        <f>IFERROR(__xludf.DUMMYFUNCTION("INDEX(SPLIT(A1779, ""/""), 3)"),"روزنامه شریف")</f>
        <v>روزنامه شریف</v>
      </c>
      <c r="V1779" s="1" t="str">
        <f>IFERROR(__xludf.DUMMYFUNCTION("INDEX(SPLIT(A1779, ""/""), 4)"),"#REF!")</f>
        <v>#REF!</v>
      </c>
    </row>
    <row r="1780">
      <c r="A1780" s="1" t="s">
        <v>4070</v>
      </c>
      <c r="B1780" s="1" t="s">
        <v>5479</v>
      </c>
      <c r="C1780" s="1" t="s">
        <v>21</v>
      </c>
      <c r="D1780" s="4" t="s">
        <v>5480</v>
      </c>
      <c r="E1780" s="1" t="s">
        <v>71</v>
      </c>
      <c r="F1780" s="1" t="s">
        <v>5441</v>
      </c>
      <c r="G1780" s="1" t="s">
        <v>71</v>
      </c>
      <c r="H1780" s="7" t="s">
        <v>5481</v>
      </c>
      <c r="I1780" s="1" t="str">
        <f t="shared" si="1"/>
        <v>5</v>
      </c>
      <c r="J1780" s="5"/>
      <c r="K1780" s="1" t="str">
        <f t="shared" si="2"/>
        <v>12</v>
      </c>
      <c r="L1780" s="5"/>
      <c r="M1780" s="2" t="str">
        <f t="shared" si="3"/>
        <v>1391</v>
      </c>
      <c r="N1780" s="5"/>
      <c r="O1780" s="13">
        <v>539.0</v>
      </c>
      <c r="P1780" s="5"/>
      <c r="Q1780" s="5"/>
      <c r="R1780" s="8" t="s">
        <v>5481</v>
      </c>
      <c r="S1780" s="5"/>
      <c r="T1780" s="1" t="str">
        <f>IFERROR(__xludf.DUMMYFUNCTION("INDEX(SPLIT(A1780, ""/""), 2)"),"کانون‌های فرهنگی هنری")</f>
        <v>کانون‌های فرهنگی هنری</v>
      </c>
      <c r="U1780" s="1" t="str">
        <f>IFERROR(__xludf.DUMMYFUNCTION("INDEX(SPLIT(A1780, ""/""), 3)"),"روزنامه شریف")</f>
        <v>روزنامه شریف</v>
      </c>
      <c r="V1780" s="1" t="str">
        <f>IFERROR(__xludf.DUMMYFUNCTION("INDEX(SPLIT(A1780, ""/""), 4)"),"#REF!")</f>
        <v>#REF!</v>
      </c>
    </row>
    <row r="1781">
      <c r="A1781" s="1" t="s">
        <v>4070</v>
      </c>
      <c r="B1781" s="1" t="s">
        <v>5482</v>
      </c>
      <c r="C1781" s="1" t="s">
        <v>21</v>
      </c>
      <c r="D1781" s="4" t="s">
        <v>5483</v>
      </c>
      <c r="E1781" s="1" t="s">
        <v>71</v>
      </c>
      <c r="F1781" s="1" t="s">
        <v>5441</v>
      </c>
      <c r="G1781" s="1" t="s">
        <v>71</v>
      </c>
      <c r="H1781" s="7" t="s">
        <v>5484</v>
      </c>
      <c r="I1781" s="1" t="str">
        <f t="shared" si="1"/>
        <v>8</v>
      </c>
      <c r="J1781" s="5"/>
      <c r="K1781" s="1" t="str">
        <f t="shared" si="2"/>
        <v>12</v>
      </c>
      <c r="L1781" s="5"/>
      <c r="M1781" s="2" t="str">
        <f t="shared" si="3"/>
        <v>1391</v>
      </c>
      <c r="N1781" s="1"/>
      <c r="O1781" s="13">
        <v>540.0</v>
      </c>
      <c r="P1781" s="5"/>
      <c r="Q1781" s="5"/>
      <c r="R1781" s="8" t="s">
        <v>5484</v>
      </c>
      <c r="S1781" s="5"/>
      <c r="T1781" s="1" t="str">
        <f>IFERROR(__xludf.DUMMYFUNCTION("INDEX(SPLIT(A1781, ""/""), 2)"),"کانون‌های فرهنگی هنری")</f>
        <v>کانون‌های فرهنگی هنری</v>
      </c>
      <c r="U1781" s="1" t="str">
        <f>IFERROR(__xludf.DUMMYFUNCTION("INDEX(SPLIT(A1781, ""/""), 3)"),"روزنامه شریف")</f>
        <v>روزنامه شریف</v>
      </c>
      <c r="V1781" s="1" t="str">
        <f>IFERROR(__xludf.DUMMYFUNCTION("INDEX(SPLIT(A1781, ""/""), 4)"),"#REF!")</f>
        <v>#REF!</v>
      </c>
    </row>
    <row r="1782">
      <c r="A1782" s="1" t="s">
        <v>4070</v>
      </c>
      <c r="B1782" s="1" t="s">
        <v>5485</v>
      </c>
      <c r="C1782" s="1" t="s">
        <v>21</v>
      </c>
      <c r="D1782" s="4" t="s">
        <v>5486</v>
      </c>
      <c r="E1782" s="1" t="s">
        <v>71</v>
      </c>
      <c r="F1782" s="1" t="s">
        <v>5441</v>
      </c>
      <c r="G1782" s="1" t="s">
        <v>71</v>
      </c>
      <c r="H1782" s="7" t="s">
        <v>5487</v>
      </c>
      <c r="I1782" s="1" t="str">
        <f t="shared" si="1"/>
        <v>12</v>
      </c>
      <c r="J1782" s="5"/>
      <c r="K1782" s="1" t="str">
        <f t="shared" si="2"/>
        <v>12</v>
      </c>
      <c r="L1782" s="5"/>
      <c r="M1782" s="2" t="str">
        <f t="shared" si="3"/>
        <v>1391</v>
      </c>
      <c r="N1782" s="5"/>
      <c r="O1782" s="13">
        <v>541.0</v>
      </c>
      <c r="P1782" s="5"/>
      <c r="Q1782" s="5"/>
      <c r="R1782" s="8" t="s">
        <v>5487</v>
      </c>
      <c r="S1782" s="5"/>
      <c r="T1782" s="1" t="str">
        <f>IFERROR(__xludf.DUMMYFUNCTION("INDEX(SPLIT(A1782, ""/""), 2)"),"کانون‌های فرهنگی هنری")</f>
        <v>کانون‌های فرهنگی هنری</v>
      </c>
      <c r="U1782" s="1" t="str">
        <f>IFERROR(__xludf.DUMMYFUNCTION("INDEX(SPLIT(A1782, ""/""), 3)"),"روزنامه شریف")</f>
        <v>روزنامه شریف</v>
      </c>
      <c r="V1782" s="1" t="str">
        <f>IFERROR(__xludf.DUMMYFUNCTION("INDEX(SPLIT(A1782, ""/""), 4)"),"#REF!")</f>
        <v>#REF!</v>
      </c>
    </row>
    <row r="1783">
      <c r="A1783" s="1" t="s">
        <v>4070</v>
      </c>
      <c r="B1783" s="1" t="s">
        <v>5488</v>
      </c>
      <c r="C1783" s="1" t="s">
        <v>21</v>
      </c>
      <c r="D1783" s="4" t="s">
        <v>5489</v>
      </c>
      <c r="E1783" s="1" t="s">
        <v>71</v>
      </c>
      <c r="F1783" s="1" t="s">
        <v>5441</v>
      </c>
      <c r="G1783" s="1" t="s">
        <v>71</v>
      </c>
      <c r="H1783" s="1" t="s">
        <v>3818</v>
      </c>
      <c r="I1783" s="1" t="str">
        <f t="shared" si="1"/>
        <v>15</v>
      </c>
      <c r="J1783" s="5"/>
      <c r="K1783" s="1" t="str">
        <f t="shared" si="2"/>
        <v>12</v>
      </c>
      <c r="L1783" s="5"/>
      <c r="M1783" s="2" t="str">
        <f t="shared" si="3"/>
        <v>1391</v>
      </c>
      <c r="N1783" s="5"/>
      <c r="O1783" s="13">
        <v>542.0</v>
      </c>
      <c r="P1783" s="5"/>
      <c r="Q1783" s="5"/>
      <c r="R1783" s="6" t="s">
        <v>3818</v>
      </c>
      <c r="S1783" s="5"/>
      <c r="T1783" s="1" t="str">
        <f>IFERROR(__xludf.DUMMYFUNCTION("INDEX(SPLIT(A1783, ""/""), 2)"),"کانون‌های فرهنگی هنری")</f>
        <v>کانون‌های فرهنگی هنری</v>
      </c>
      <c r="U1783" s="1" t="str">
        <f>IFERROR(__xludf.DUMMYFUNCTION("INDEX(SPLIT(A1783, ""/""), 3)"),"روزنامه شریف")</f>
        <v>روزنامه شریف</v>
      </c>
      <c r="V1783" s="1" t="str">
        <f>IFERROR(__xludf.DUMMYFUNCTION("INDEX(SPLIT(A1783, ""/""), 4)"),"#REF!")</f>
        <v>#REF!</v>
      </c>
    </row>
    <row r="1784">
      <c r="A1784" s="1" t="s">
        <v>4070</v>
      </c>
      <c r="B1784" s="1" t="s">
        <v>5490</v>
      </c>
      <c r="C1784" s="1" t="s">
        <v>21</v>
      </c>
      <c r="D1784" s="4" t="s">
        <v>5491</v>
      </c>
      <c r="E1784" s="1" t="s">
        <v>71</v>
      </c>
      <c r="F1784" s="1" t="s">
        <v>5441</v>
      </c>
      <c r="G1784" s="1" t="s">
        <v>71</v>
      </c>
      <c r="H1784" s="1" t="s">
        <v>5492</v>
      </c>
      <c r="I1784" s="1" t="str">
        <f t="shared" si="1"/>
        <v>19</v>
      </c>
      <c r="J1784" s="5"/>
      <c r="K1784" s="1" t="str">
        <f t="shared" si="2"/>
        <v>12</v>
      </c>
      <c r="L1784" s="5"/>
      <c r="M1784" s="2" t="str">
        <f t="shared" si="3"/>
        <v>1391</v>
      </c>
      <c r="N1784" s="5"/>
      <c r="O1784" s="13">
        <v>543.0</v>
      </c>
      <c r="P1784" s="5"/>
      <c r="Q1784" s="5"/>
      <c r="R1784" s="6" t="s">
        <v>5492</v>
      </c>
      <c r="S1784" s="5"/>
      <c r="T1784" s="1" t="str">
        <f>IFERROR(__xludf.DUMMYFUNCTION("INDEX(SPLIT(A1784, ""/""), 2)"),"کانون‌های فرهنگی هنری")</f>
        <v>کانون‌های فرهنگی هنری</v>
      </c>
      <c r="U1784" s="1" t="str">
        <f>IFERROR(__xludf.DUMMYFUNCTION("INDEX(SPLIT(A1784, ""/""), 3)"),"روزنامه شریف")</f>
        <v>روزنامه شریف</v>
      </c>
      <c r="V1784" s="1" t="str">
        <f>IFERROR(__xludf.DUMMYFUNCTION("INDEX(SPLIT(A1784, ""/""), 4)"),"#REF!")</f>
        <v>#REF!</v>
      </c>
    </row>
    <row r="1785">
      <c r="A1785" s="1" t="s">
        <v>4070</v>
      </c>
      <c r="B1785" s="1" t="s">
        <v>5493</v>
      </c>
      <c r="C1785" s="1" t="s">
        <v>21</v>
      </c>
      <c r="D1785" s="4" t="s">
        <v>5494</v>
      </c>
      <c r="E1785" s="1" t="s">
        <v>71</v>
      </c>
      <c r="F1785" s="1" t="s">
        <v>5441</v>
      </c>
      <c r="G1785" s="1" t="s">
        <v>71</v>
      </c>
      <c r="H1785" s="1" t="s">
        <v>5495</v>
      </c>
      <c r="I1785" s="1" t="str">
        <f t="shared" si="1"/>
        <v>20</v>
      </c>
      <c r="J1785" s="5"/>
      <c r="K1785" s="1" t="str">
        <f t="shared" si="2"/>
        <v>1</v>
      </c>
      <c r="L1785" s="5"/>
      <c r="M1785" s="2" t="str">
        <f t="shared" si="3"/>
        <v>1392</v>
      </c>
      <c r="N1785" s="1"/>
      <c r="O1785" s="13">
        <v>544.0</v>
      </c>
      <c r="P1785" s="5"/>
      <c r="Q1785" s="5"/>
      <c r="R1785" s="6" t="s">
        <v>5495</v>
      </c>
      <c r="S1785" s="5"/>
      <c r="T1785" s="1" t="str">
        <f>IFERROR(__xludf.DUMMYFUNCTION("INDEX(SPLIT(A1785, ""/""), 2)"),"کانون‌های فرهنگی هنری")</f>
        <v>کانون‌های فرهنگی هنری</v>
      </c>
      <c r="U1785" s="1" t="str">
        <f>IFERROR(__xludf.DUMMYFUNCTION("INDEX(SPLIT(A1785, ""/""), 3)"),"روزنامه شریف")</f>
        <v>روزنامه شریف</v>
      </c>
      <c r="V1785" s="1" t="str">
        <f>IFERROR(__xludf.DUMMYFUNCTION("INDEX(SPLIT(A1785, ""/""), 4)"),"#REF!")</f>
        <v>#REF!</v>
      </c>
    </row>
    <row r="1786">
      <c r="A1786" s="1" t="s">
        <v>4070</v>
      </c>
      <c r="B1786" s="1" t="s">
        <v>5496</v>
      </c>
      <c r="C1786" s="1" t="s">
        <v>21</v>
      </c>
      <c r="D1786" s="4" t="s">
        <v>5497</v>
      </c>
      <c r="E1786" s="1" t="s">
        <v>71</v>
      </c>
      <c r="F1786" s="1" t="s">
        <v>5441</v>
      </c>
      <c r="G1786" s="1" t="s">
        <v>71</v>
      </c>
      <c r="H1786" s="1" t="s">
        <v>5498</v>
      </c>
      <c r="I1786" s="1" t="str">
        <f t="shared" si="1"/>
        <v>24</v>
      </c>
      <c r="J1786" s="5"/>
      <c r="K1786" s="1" t="str">
        <f t="shared" si="2"/>
        <v>1</v>
      </c>
      <c r="L1786" s="5"/>
      <c r="M1786" s="2" t="str">
        <f t="shared" si="3"/>
        <v>1392</v>
      </c>
      <c r="N1786" s="1"/>
      <c r="O1786" s="13">
        <v>545.0</v>
      </c>
      <c r="P1786" s="5"/>
      <c r="Q1786" s="5"/>
      <c r="R1786" s="6" t="s">
        <v>5498</v>
      </c>
      <c r="S1786" s="5"/>
      <c r="T1786" s="1" t="str">
        <f>IFERROR(__xludf.DUMMYFUNCTION("INDEX(SPLIT(A1786, ""/""), 2)"),"کانون‌های فرهنگی هنری")</f>
        <v>کانون‌های فرهنگی هنری</v>
      </c>
      <c r="U1786" s="1" t="str">
        <f>IFERROR(__xludf.DUMMYFUNCTION("INDEX(SPLIT(A1786, ""/""), 3)"),"روزنامه شریف")</f>
        <v>روزنامه شریف</v>
      </c>
      <c r="V1786" s="1" t="str">
        <f>IFERROR(__xludf.DUMMYFUNCTION("INDEX(SPLIT(A1786, ""/""), 4)"),"#REF!")</f>
        <v>#REF!</v>
      </c>
    </row>
    <row r="1787">
      <c r="A1787" s="1" t="s">
        <v>4070</v>
      </c>
      <c r="B1787" s="1" t="s">
        <v>5499</v>
      </c>
      <c r="C1787" s="1" t="s">
        <v>21</v>
      </c>
      <c r="D1787" s="4" t="s">
        <v>5500</v>
      </c>
      <c r="E1787" s="1" t="s">
        <v>71</v>
      </c>
      <c r="F1787" s="1" t="s">
        <v>5441</v>
      </c>
      <c r="G1787" s="1" t="s">
        <v>71</v>
      </c>
      <c r="H1787" s="1" t="s">
        <v>5501</v>
      </c>
      <c r="I1787" s="1" t="str">
        <f t="shared" si="1"/>
        <v>27</v>
      </c>
      <c r="J1787" s="5"/>
      <c r="K1787" s="1" t="str">
        <f t="shared" si="2"/>
        <v>1</v>
      </c>
      <c r="L1787" s="5"/>
      <c r="M1787" s="2" t="str">
        <f t="shared" si="3"/>
        <v>1392</v>
      </c>
      <c r="N1787" s="5"/>
      <c r="O1787" s="13">
        <v>546.0</v>
      </c>
      <c r="P1787" s="5"/>
      <c r="Q1787" s="5"/>
      <c r="R1787" s="6" t="s">
        <v>5501</v>
      </c>
      <c r="S1787" s="5"/>
      <c r="T1787" s="1" t="str">
        <f>IFERROR(__xludf.DUMMYFUNCTION("INDEX(SPLIT(A1787, ""/""), 2)"),"کانون‌های فرهنگی هنری")</f>
        <v>کانون‌های فرهنگی هنری</v>
      </c>
      <c r="U1787" s="1" t="str">
        <f>IFERROR(__xludf.DUMMYFUNCTION("INDEX(SPLIT(A1787, ""/""), 3)"),"روزنامه شریف")</f>
        <v>روزنامه شریف</v>
      </c>
      <c r="V1787" s="1" t="str">
        <f>IFERROR(__xludf.DUMMYFUNCTION("INDEX(SPLIT(A1787, ""/""), 4)"),"#REF!")</f>
        <v>#REF!</v>
      </c>
    </row>
    <row r="1788">
      <c r="A1788" s="1" t="s">
        <v>4070</v>
      </c>
      <c r="B1788" s="1" t="s">
        <v>5502</v>
      </c>
      <c r="C1788" s="1" t="s">
        <v>21</v>
      </c>
      <c r="D1788" s="4" t="s">
        <v>5503</v>
      </c>
      <c r="E1788" s="1" t="s">
        <v>71</v>
      </c>
      <c r="F1788" s="1" t="s">
        <v>5441</v>
      </c>
      <c r="G1788" s="1" t="s">
        <v>71</v>
      </c>
      <c r="H1788" s="1" t="s">
        <v>5504</v>
      </c>
      <c r="I1788" s="1" t="str">
        <f t="shared" si="1"/>
        <v>31</v>
      </c>
      <c r="J1788" s="5"/>
      <c r="K1788" s="1" t="str">
        <f t="shared" si="2"/>
        <v>1</v>
      </c>
      <c r="L1788" s="5"/>
      <c r="M1788" s="2" t="str">
        <f t="shared" si="3"/>
        <v>1392</v>
      </c>
      <c r="N1788" s="1"/>
      <c r="O1788" s="13">
        <v>547.0</v>
      </c>
      <c r="P1788" s="5"/>
      <c r="Q1788" s="5"/>
      <c r="R1788" s="6" t="s">
        <v>5504</v>
      </c>
      <c r="S1788" s="5"/>
      <c r="T1788" s="1" t="str">
        <f>IFERROR(__xludf.DUMMYFUNCTION("INDEX(SPLIT(A1788, ""/""), 2)"),"کانون‌های فرهنگی هنری")</f>
        <v>کانون‌های فرهنگی هنری</v>
      </c>
      <c r="U1788" s="1" t="str">
        <f>IFERROR(__xludf.DUMMYFUNCTION("INDEX(SPLIT(A1788, ""/""), 3)"),"روزنامه شریف")</f>
        <v>روزنامه شریف</v>
      </c>
      <c r="V1788" s="1" t="str">
        <f>IFERROR(__xludf.DUMMYFUNCTION("INDEX(SPLIT(A1788, ""/""), 4)"),"#REF!")</f>
        <v>#REF!</v>
      </c>
    </row>
    <row r="1789">
      <c r="A1789" s="1" t="s">
        <v>4070</v>
      </c>
      <c r="B1789" s="1" t="s">
        <v>5505</v>
      </c>
      <c r="C1789" s="1" t="s">
        <v>21</v>
      </c>
      <c r="D1789" s="4" t="s">
        <v>5506</v>
      </c>
      <c r="E1789" s="1" t="s">
        <v>71</v>
      </c>
      <c r="F1789" s="1" t="s">
        <v>5441</v>
      </c>
      <c r="G1789" s="1" t="s">
        <v>71</v>
      </c>
      <c r="H1789" s="7" t="s">
        <v>5507</v>
      </c>
      <c r="I1789" s="1" t="str">
        <f t="shared" si="1"/>
        <v>3</v>
      </c>
      <c r="J1789" s="5"/>
      <c r="K1789" s="1" t="str">
        <f t="shared" si="2"/>
        <v>2</v>
      </c>
      <c r="L1789" s="5"/>
      <c r="M1789" s="2" t="str">
        <f t="shared" si="3"/>
        <v>1392</v>
      </c>
      <c r="N1789" s="5"/>
      <c r="O1789" s="13">
        <v>548.0</v>
      </c>
      <c r="P1789" s="5"/>
      <c r="Q1789" s="5"/>
      <c r="R1789" s="8" t="s">
        <v>5507</v>
      </c>
      <c r="S1789" s="5"/>
      <c r="T1789" s="1" t="str">
        <f>IFERROR(__xludf.DUMMYFUNCTION("INDEX(SPLIT(A1789, ""/""), 2)"),"کانون‌های فرهنگی هنری")</f>
        <v>کانون‌های فرهنگی هنری</v>
      </c>
      <c r="U1789" s="1" t="str">
        <f>IFERROR(__xludf.DUMMYFUNCTION("INDEX(SPLIT(A1789, ""/""), 3)"),"روزنامه شریف")</f>
        <v>روزنامه شریف</v>
      </c>
      <c r="V1789" s="1" t="str">
        <f>IFERROR(__xludf.DUMMYFUNCTION("INDEX(SPLIT(A1789, ""/""), 4)"),"#REF!")</f>
        <v>#REF!</v>
      </c>
    </row>
    <row r="1790">
      <c r="A1790" s="1" t="s">
        <v>4070</v>
      </c>
      <c r="B1790" s="1" t="s">
        <v>5508</v>
      </c>
      <c r="C1790" s="1" t="s">
        <v>21</v>
      </c>
      <c r="D1790" s="4" t="s">
        <v>5509</v>
      </c>
      <c r="E1790" s="1" t="s">
        <v>71</v>
      </c>
      <c r="F1790" s="1" t="s">
        <v>5441</v>
      </c>
      <c r="G1790" s="1" t="s">
        <v>71</v>
      </c>
      <c r="H1790" s="7" t="s">
        <v>5510</v>
      </c>
      <c r="I1790" s="1" t="str">
        <f t="shared" si="1"/>
        <v>7</v>
      </c>
      <c r="J1790" s="5"/>
      <c r="K1790" s="1" t="str">
        <f t="shared" si="2"/>
        <v>2</v>
      </c>
      <c r="L1790" s="5"/>
      <c r="M1790" s="2" t="str">
        <f t="shared" si="3"/>
        <v>1392</v>
      </c>
      <c r="N1790" s="1"/>
      <c r="O1790" s="13">
        <v>549.0</v>
      </c>
      <c r="P1790" s="5"/>
      <c r="Q1790" s="5"/>
      <c r="R1790" s="8" t="s">
        <v>5510</v>
      </c>
      <c r="S1790" s="5"/>
      <c r="T1790" s="1" t="str">
        <f>IFERROR(__xludf.DUMMYFUNCTION("INDEX(SPLIT(A1790, ""/""), 2)"),"کانون‌های فرهنگی هنری")</f>
        <v>کانون‌های فرهنگی هنری</v>
      </c>
      <c r="U1790" s="1" t="str">
        <f>IFERROR(__xludf.DUMMYFUNCTION("INDEX(SPLIT(A1790, ""/""), 3)"),"روزنامه شریف")</f>
        <v>روزنامه شریف</v>
      </c>
      <c r="V1790" s="1" t="str">
        <f>IFERROR(__xludf.DUMMYFUNCTION("INDEX(SPLIT(A1790, ""/""), 4)"),"#REF!")</f>
        <v>#REF!</v>
      </c>
    </row>
    <row r="1791">
      <c r="A1791" s="1" t="s">
        <v>4070</v>
      </c>
      <c r="B1791" s="1" t="s">
        <v>5511</v>
      </c>
      <c r="C1791" s="1" t="s">
        <v>21</v>
      </c>
      <c r="D1791" s="4" t="s">
        <v>5512</v>
      </c>
      <c r="E1791" s="1" t="s">
        <v>71</v>
      </c>
      <c r="F1791" s="1" t="s">
        <v>5441</v>
      </c>
      <c r="G1791" s="1" t="s">
        <v>71</v>
      </c>
      <c r="H1791" s="7" t="s">
        <v>5513</v>
      </c>
      <c r="I1791" s="1" t="str">
        <f t="shared" si="1"/>
        <v>10</v>
      </c>
      <c r="J1791" s="5"/>
      <c r="K1791" s="1" t="str">
        <f t="shared" si="2"/>
        <v>2</v>
      </c>
      <c r="L1791" s="5"/>
      <c r="M1791" s="2" t="str">
        <f t="shared" si="3"/>
        <v>1392</v>
      </c>
      <c r="N1791" s="1"/>
      <c r="O1791" s="13">
        <v>550.0</v>
      </c>
      <c r="P1791" s="5"/>
      <c r="Q1791" s="5"/>
      <c r="R1791" s="8" t="s">
        <v>5513</v>
      </c>
      <c r="S1791" s="5"/>
      <c r="T1791" s="1" t="str">
        <f>IFERROR(__xludf.DUMMYFUNCTION("INDEX(SPLIT(A1791, ""/""), 2)"),"کانون‌های فرهنگی هنری")</f>
        <v>کانون‌های فرهنگی هنری</v>
      </c>
      <c r="U1791" s="1" t="str">
        <f>IFERROR(__xludf.DUMMYFUNCTION("INDEX(SPLIT(A1791, ""/""), 3)"),"روزنامه شریف")</f>
        <v>روزنامه شریف</v>
      </c>
      <c r="V1791" s="1" t="str">
        <f>IFERROR(__xludf.DUMMYFUNCTION("INDEX(SPLIT(A1791, ""/""), 4)"),"#REF!")</f>
        <v>#REF!</v>
      </c>
    </row>
    <row r="1792">
      <c r="A1792" s="1" t="s">
        <v>4070</v>
      </c>
      <c r="B1792" s="1" t="s">
        <v>5514</v>
      </c>
      <c r="C1792" s="1" t="s">
        <v>21</v>
      </c>
      <c r="D1792" s="4" t="s">
        <v>5515</v>
      </c>
      <c r="E1792" s="1" t="s">
        <v>71</v>
      </c>
      <c r="F1792" s="1" t="s">
        <v>5441</v>
      </c>
      <c r="G1792" s="1" t="s">
        <v>71</v>
      </c>
      <c r="H1792" s="1" t="s">
        <v>5516</v>
      </c>
      <c r="I1792" s="1" t="str">
        <f t="shared" si="1"/>
        <v>14</v>
      </c>
      <c r="J1792" s="5"/>
      <c r="K1792" s="1" t="str">
        <f t="shared" si="2"/>
        <v>2</v>
      </c>
      <c r="L1792" s="5"/>
      <c r="M1792" s="2" t="str">
        <f t="shared" si="3"/>
        <v>1392</v>
      </c>
      <c r="N1792" s="1"/>
      <c r="O1792" s="13">
        <v>551.0</v>
      </c>
      <c r="P1792" s="5"/>
      <c r="Q1792" s="5"/>
      <c r="R1792" s="6" t="s">
        <v>5516</v>
      </c>
      <c r="S1792" s="5"/>
      <c r="T1792" s="1" t="str">
        <f>IFERROR(__xludf.DUMMYFUNCTION("INDEX(SPLIT(A1792, ""/""), 2)"),"کانون‌های فرهنگی هنری")</f>
        <v>کانون‌های فرهنگی هنری</v>
      </c>
      <c r="U1792" s="1" t="str">
        <f>IFERROR(__xludf.DUMMYFUNCTION("INDEX(SPLIT(A1792, ""/""), 3)"),"روزنامه شریف")</f>
        <v>روزنامه شریف</v>
      </c>
      <c r="V1792" s="1" t="str">
        <f>IFERROR(__xludf.DUMMYFUNCTION("INDEX(SPLIT(A1792, ""/""), 4)"),"#REF!")</f>
        <v>#REF!</v>
      </c>
    </row>
    <row r="1793">
      <c r="A1793" s="1" t="s">
        <v>4070</v>
      </c>
      <c r="B1793" s="1" t="s">
        <v>5517</v>
      </c>
      <c r="C1793" s="1" t="s">
        <v>21</v>
      </c>
      <c r="D1793" s="4" t="s">
        <v>5518</v>
      </c>
      <c r="E1793" s="1" t="s">
        <v>71</v>
      </c>
      <c r="F1793" s="1" t="s">
        <v>5441</v>
      </c>
      <c r="G1793" s="1" t="s">
        <v>71</v>
      </c>
      <c r="H1793" s="1" t="s">
        <v>5519</v>
      </c>
      <c r="I1793" s="1" t="str">
        <f t="shared" si="1"/>
        <v>17</v>
      </c>
      <c r="J1793" s="5"/>
      <c r="K1793" s="1" t="str">
        <f t="shared" si="2"/>
        <v>2</v>
      </c>
      <c r="L1793" s="5"/>
      <c r="M1793" s="2" t="str">
        <f t="shared" si="3"/>
        <v>1392</v>
      </c>
      <c r="N1793" s="1"/>
      <c r="O1793" s="13">
        <v>552.0</v>
      </c>
      <c r="P1793" s="5"/>
      <c r="Q1793" s="5"/>
      <c r="R1793" s="6" t="s">
        <v>5519</v>
      </c>
      <c r="S1793" s="5"/>
      <c r="T1793" s="1" t="str">
        <f>IFERROR(__xludf.DUMMYFUNCTION("INDEX(SPLIT(A1793, ""/""), 2)"),"کانون‌های فرهنگی هنری")</f>
        <v>کانون‌های فرهنگی هنری</v>
      </c>
      <c r="U1793" s="1" t="str">
        <f>IFERROR(__xludf.DUMMYFUNCTION("INDEX(SPLIT(A1793, ""/""), 3)"),"روزنامه شریف")</f>
        <v>روزنامه شریف</v>
      </c>
      <c r="V1793" s="1" t="str">
        <f>IFERROR(__xludf.DUMMYFUNCTION("INDEX(SPLIT(A1793, ""/""), 4)"),"#REF!")</f>
        <v>#REF!</v>
      </c>
    </row>
    <row r="1794">
      <c r="A1794" s="1" t="s">
        <v>4070</v>
      </c>
      <c r="B1794" s="1" t="s">
        <v>5520</v>
      </c>
      <c r="C1794" s="1" t="s">
        <v>21</v>
      </c>
      <c r="D1794" s="4" t="s">
        <v>5521</v>
      </c>
      <c r="E1794" s="1" t="s">
        <v>71</v>
      </c>
      <c r="F1794" s="1" t="s">
        <v>5441</v>
      </c>
      <c r="G1794" s="1" t="s">
        <v>71</v>
      </c>
      <c r="H1794" s="1" t="s">
        <v>5522</v>
      </c>
      <c r="I1794" s="1" t="str">
        <f t="shared" si="1"/>
        <v>21</v>
      </c>
      <c r="J1794" s="5"/>
      <c r="K1794" s="1" t="str">
        <f t="shared" si="2"/>
        <v>2</v>
      </c>
      <c r="L1794" s="5"/>
      <c r="M1794" s="2" t="str">
        <f t="shared" si="3"/>
        <v>1392</v>
      </c>
      <c r="N1794" s="1"/>
      <c r="O1794" s="13">
        <v>553.0</v>
      </c>
      <c r="P1794" s="5"/>
      <c r="Q1794" s="5"/>
      <c r="R1794" s="6" t="s">
        <v>5522</v>
      </c>
      <c r="S1794" s="5"/>
      <c r="T1794" s="1" t="str">
        <f>IFERROR(__xludf.DUMMYFUNCTION("INDEX(SPLIT(A1794, ""/""), 2)"),"کانون‌های فرهنگی هنری")</f>
        <v>کانون‌های فرهنگی هنری</v>
      </c>
      <c r="U1794" s="1" t="str">
        <f>IFERROR(__xludf.DUMMYFUNCTION("INDEX(SPLIT(A1794, ""/""), 3)"),"روزنامه شریف")</f>
        <v>روزنامه شریف</v>
      </c>
      <c r="V1794" s="1" t="str">
        <f>IFERROR(__xludf.DUMMYFUNCTION("INDEX(SPLIT(A1794, ""/""), 4)"),"#REF!")</f>
        <v>#REF!</v>
      </c>
    </row>
    <row r="1795">
      <c r="A1795" s="1" t="s">
        <v>4070</v>
      </c>
      <c r="B1795" s="1" t="s">
        <v>5523</v>
      </c>
      <c r="C1795" s="1" t="s">
        <v>21</v>
      </c>
      <c r="D1795" s="4" t="s">
        <v>5524</v>
      </c>
      <c r="E1795" s="1" t="s">
        <v>71</v>
      </c>
      <c r="F1795" s="1" t="s">
        <v>5441</v>
      </c>
      <c r="G1795" s="1" t="s">
        <v>71</v>
      </c>
      <c r="H1795" s="1" t="s">
        <v>5525</v>
      </c>
      <c r="I1795" s="1" t="str">
        <f t="shared" si="1"/>
        <v>24</v>
      </c>
      <c r="J1795" s="5"/>
      <c r="K1795" s="1" t="str">
        <f t="shared" si="2"/>
        <v>2</v>
      </c>
      <c r="L1795" s="5"/>
      <c r="M1795" s="2" t="str">
        <f t="shared" si="3"/>
        <v>1392</v>
      </c>
      <c r="N1795" s="1"/>
      <c r="O1795" s="13">
        <v>554.0</v>
      </c>
      <c r="P1795" s="5"/>
      <c r="Q1795" s="5"/>
      <c r="R1795" s="6" t="s">
        <v>5525</v>
      </c>
      <c r="S1795" s="5"/>
      <c r="T1795" s="1" t="str">
        <f>IFERROR(__xludf.DUMMYFUNCTION("INDEX(SPLIT(A1795, ""/""), 2)"),"کانون‌های فرهنگی هنری")</f>
        <v>کانون‌های فرهنگی هنری</v>
      </c>
      <c r="U1795" s="1" t="str">
        <f>IFERROR(__xludf.DUMMYFUNCTION("INDEX(SPLIT(A1795, ""/""), 3)"),"روزنامه شریف")</f>
        <v>روزنامه شریف</v>
      </c>
      <c r="V1795" s="1" t="str">
        <f>IFERROR(__xludf.DUMMYFUNCTION("INDEX(SPLIT(A1795, ""/""), 4)"),"#REF!")</f>
        <v>#REF!</v>
      </c>
    </row>
    <row r="1796">
      <c r="A1796" s="1" t="s">
        <v>4070</v>
      </c>
      <c r="B1796" s="1" t="s">
        <v>5526</v>
      </c>
      <c r="C1796" s="1" t="s">
        <v>21</v>
      </c>
      <c r="D1796" s="4" t="s">
        <v>5527</v>
      </c>
      <c r="E1796" s="1" t="s">
        <v>71</v>
      </c>
      <c r="F1796" s="1" t="s">
        <v>5441</v>
      </c>
      <c r="G1796" s="1" t="s">
        <v>71</v>
      </c>
      <c r="H1796" s="1" t="s">
        <v>5528</v>
      </c>
      <c r="I1796" s="1" t="str">
        <f t="shared" si="1"/>
        <v>28</v>
      </c>
      <c r="J1796" s="5"/>
      <c r="K1796" s="1" t="str">
        <f t="shared" si="2"/>
        <v>2</v>
      </c>
      <c r="L1796" s="5"/>
      <c r="M1796" s="2" t="str">
        <f t="shared" si="3"/>
        <v>1392</v>
      </c>
      <c r="N1796" s="1"/>
      <c r="O1796" s="13">
        <v>555.0</v>
      </c>
      <c r="P1796" s="5"/>
      <c r="Q1796" s="5"/>
      <c r="R1796" s="6" t="s">
        <v>5528</v>
      </c>
      <c r="S1796" s="5"/>
      <c r="T1796" s="1" t="str">
        <f>IFERROR(__xludf.DUMMYFUNCTION("INDEX(SPLIT(A1796, ""/""), 2)"),"کانون‌های فرهنگی هنری")</f>
        <v>کانون‌های فرهنگی هنری</v>
      </c>
      <c r="U1796" s="1" t="str">
        <f>IFERROR(__xludf.DUMMYFUNCTION("INDEX(SPLIT(A1796, ""/""), 3)"),"روزنامه شریف")</f>
        <v>روزنامه شریف</v>
      </c>
      <c r="V1796" s="1" t="str">
        <f>IFERROR(__xludf.DUMMYFUNCTION("INDEX(SPLIT(A1796, ""/""), 4)"),"#REF!")</f>
        <v>#REF!</v>
      </c>
    </row>
    <row r="1797">
      <c r="A1797" s="1" t="s">
        <v>4070</v>
      </c>
      <c r="B1797" s="1" t="s">
        <v>5529</v>
      </c>
      <c r="C1797" s="1" t="s">
        <v>21</v>
      </c>
      <c r="D1797" s="4" t="s">
        <v>5530</v>
      </c>
      <c r="E1797" s="1" t="s">
        <v>71</v>
      </c>
      <c r="F1797" s="1" t="s">
        <v>5441</v>
      </c>
      <c r="G1797" s="1" t="s">
        <v>71</v>
      </c>
      <c r="H1797" s="1" t="s">
        <v>5531</v>
      </c>
      <c r="I1797" s="1" t="str">
        <f t="shared" si="1"/>
        <v>30</v>
      </c>
      <c r="J1797" s="5"/>
      <c r="K1797" s="1" t="str">
        <f t="shared" si="2"/>
        <v>6</v>
      </c>
      <c r="L1797" s="5"/>
      <c r="M1797" s="2" t="str">
        <f t="shared" si="3"/>
        <v>1392</v>
      </c>
      <c r="N1797" s="1"/>
      <c r="O1797" s="13">
        <v>556.0</v>
      </c>
      <c r="P1797" s="5"/>
      <c r="Q1797" s="5"/>
      <c r="R1797" s="6" t="s">
        <v>5531</v>
      </c>
      <c r="S1797" s="5"/>
      <c r="T1797" s="1" t="str">
        <f>IFERROR(__xludf.DUMMYFUNCTION("INDEX(SPLIT(A1797, ""/""), 2)"),"کانون‌های فرهنگی هنری")</f>
        <v>کانون‌های فرهنگی هنری</v>
      </c>
      <c r="U1797" s="1" t="str">
        <f>IFERROR(__xludf.DUMMYFUNCTION("INDEX(SPLIT(A1797, ""/""), 3)"),"روزنامه شریف")</f>
        <v>روزنامه شریف</v>
      </c>
      <c r="V1797" s="1" t="str">
        <f>IFERROR(__xludf.DUMMYFUNCTION("INDEX(SPLIT(A1797, ""/""), 4)"),"#REF!")</f>
        <v>#REF!</v>
      </c>
    </row>
    <row r="1798">
      <c r="A1798" s="1" t="s">
        <v>4070</v>
      </c>
      <c r="B1798" s="1" t="s">
        <v>5532</v>
      </c>
      <c r="C1798" s="1" t="s">
        <v>21</v>
      </c>
      <c r="D1798" s="4" t="s">
        <v>5533</v>
      </c>
      <c r="E1798" s="1" t="s">
        <v>71</v>
      </c>
      <c r="F1798" s="1" t="s">
        <v>5441</v>
      </c>
      <c r="G1798" s="1" t="s">
        <v>71</v>
      </c>
      <c r="H1798" s="7" t="s">
        <v>5534</v>
      </c>
      <c r="I1798" s="1" t="str">
        <f t="shared" si="1"/>
        <v>2</v>
      </c>
      <c r="J1798" s="5"/>
      <c r="K1798" s="1" t="str">
        <f t="shared" si="2"/>
        <v>7</v>
      </c>
      <c r="L1798" s="5"/>
      <c r="M1798" s="2" t="str">
        <f t="shared" si="3"/>
        <v>1392</v>
      </c>
      <c r="N1798" s="5"/>
      <c r="O1798" s="13">
        <v>557.0</v>
      </c>
      <c r="P1798" s="5"/>
      <c r="Q1798" s="5"/>
      <c r="R1798" s="8" t="s">
        <v>5534</v>
      </c>
      <c r="S1798" s="5"/>
      <c r="T1798" s="1" t="str">
        <f>IFERROR(__xludf.DUMMYFUNCTION("INDEX(SPLIT(A1798, ""/""), 2)"),"کانون‌های فرهنگی هنری")</f>
        <v>کانون‌های فرهنگی هنری</v>
      </c>
      <c r="U1798" s="1" t="str">
        <f>IFERROR(__xludf.DUMMYFUNCTION("INDEX(SPLIT(A1798, ""/""), 3)"),"روزنامه شریف")</f>
        <v>روزنامه شریف</v>
      </c>
      <c r="V1798" s="1" t="str">
        <f>IFERROR(__xludf.DUMMYFUNCTION("INDEX(SPLIT(A1798, ""/""), 4)"),"#REF!")</f>
        <v>#REF!</v>
      </c>
    </row>
    <row r="1799">
      <c r="A1799" s="1" t="s">
        <v>4070</v>
      </c>
      <c r="B1799" s="1" t="s">
        <v>5535</v>
      </c>
      <c r="C1799" s="1" t="s">
        <v>21</v>
      </c>
      <c r="D1799" s="4" t="s">
        <v>5536</v>
      </c>
      <c r="E1799" s="1" t="s">
        <v>71</v>
      </c>
      <c r="F1799" s="1" t="s">
        <v>5441</v>
      </c>
      <c r="G1799" s="1" t="s">
        <v>71</v>
      </c>
      <c r="H1799" s="7" t="s">
        <v>5537</v>
      </c>
      <c r="I1799" s="1" t="str">
        <f t="shared" si="1"/>
        <v>6</v>
      </c>
      <c r="J1799" s="5"/>
      <c r="K1799" s="1" t="str">
        <f t="shared" si="2"/>
        <v>7</v>
      </c>
      <c r="L1799" s="5"/>
      <c r="M1799" s="2" t="str">
        <f t="shared" si="3"/>
        <v>1392</v>
      </c>
      <c r="N1799" s="1"/>
      <c r="O1799" s="13">
        <v>558.0</v>
      </c>
      <c r="P1799" s="5"/>
      <c r="Q1799" s="5"/>
      <c r="R1799" s="8" t="s">
        <v>5537</v>
      </c>
      <c r="S1799" s="5"/>
      <c r="T1799" s="1" t="str">
        <f>IFERROR(__xludf.DUMMYFUNCTION("INDEX(SPLIT(A1799, ""/""), 2)"),"کانون‌های فرهنگی هنری")</f>
        <v>کانون‌های فرهنگی هنری</v>
      </c>
      <c r="U1799" s="1" t="str">
        <f>IFERROR(__xludf.DUMMYFUNCTION("INDEX(SPLIT(A1799, ""/""), 3)"),"روزنامه شریف")</f>
        <v>روزنامه شریف</v>
      </c>
      <c r="V1799" s="1" t="str">
        <f>IFERROR(__xludf.DUMMYFUNCTION("INDEX(SPLIT(A1799, ""/""), 4)"),"#REF!")</f>
        <v>#REF!</v>
      </c>
    </row>
    <row r="1800">
      <c r="A1800" s="1" t="s">
        <v>4070</v>
      </c>
      <c r="B1800" s="1" t="s">
        <v>5538</v>
      </c>
      <c r="C1800" s="1" t="s">
        <v>21</v>
      </c>
      <c r="D1800" s="4" t="s">
        <v>5539</v>
      </c>
      <c r="E1800" s="1" t="s">
        <v>71</v>
      </c>
      <c r="F1800" s="1" t="s">
        <v>5441</v>
      </c>
      <c r="G1800" s="1" t="s">
        <v>71</v>
      </c>
      <c r="H1800" s="7" t="s">
        <v>5540</v>
      </c>
      <c r="I1800" s="1" t="str">
        <f t="shared" si="1"/>
        <v>9</v>
      </c>
      <c r="J1800" s="5"/>
      <c r="K1800" s="1" t="str">
        <f t="shared" si="2"/>
        <v>7</v>
      </c>
      <c r="L1800" s="5"/>
      <c r="M1800" s="2" t="str">
        <f t="shared" si="3"/>
        <v>1392</v>
      </c>
      <c r="N1800" s="1"/>
      <c r="O1800" s="13">
        <v>559.0</v>
      </c>
      <c r="P1800" s="5"/>
      <c r="Q1800" s="5"/>
      <c r="R1800" s="8" t="s">
        <v>5540</v>
      </c>
      <c r="S1800" s="5"/>
      <c r="T1800" s="1" t="str">
        <f>IFERROR(__xludf.DUMMYFUNCTION("INDEX(SPLIT(A1800, ""/""), 2)"),"کانون‌های فرهنگی هنری")</f>
        <v>کانون‌های فرهنگی هنری</v>
      </c>
      <c r="U1800" s="1" t="str">
        <f>IFERROR(__xludf.DUMMYFUNCTION("INDEX(SPLIT(A1800, ""/""), 3)"),"روزنامه شریف")</f>
        <v>روزنامه شریف</v>
      </c>
      <c r="V1800" s="1" t="str">
        <f>IFERROR(__xludf.DUMMYFUNCTION("INDEX(SPLIT(A1800, ""/""), 4)"),"#REF!")</f>
        <v>#REF!</v>
      </c>
    </row>
    <row r="1801">
      <c r="A1801" s="1" t="s">
        <v>4070</v>
      </c>
      <c r="B1801" s="1" t="s">
        <v>5541</v>
      </c>
      <c r="C1801" s="1" t="s">
        <v>21</v>
      </c>
      <c r="D1801" s="4" t="s">
        <v>5542</v>
      </c>
      <c r="E1801" s="1" t="s">
        <v>71</v>
      </c>
      <c r="F1801" s="1" t="s">
        <v>5441</v>
      </c>
      <c r="G1801" s="1" t="s">
        <v>71</v>
      </c>
      <c r="H1801" s="1" t="s">
        <v>5543</v>
      </c>
      <c r="I1801" s="1" t="str">
        <f t="shared" si="1"/>
        <v>13</v>
      </c>
      <c r="J1801" s="5"/>
      <c r="K1801" s="1" t="str">
        <f t="shared" si="2"/>
        <v>7</v>
      </c>
      <c r="L1801" s="5"/>
      <c r="M1801" s="2" t="str">
        <f t="shared" si="3"/>
        <v>1392</v>
      </c>
      <c r="N1801" s="1"/>
      <c r="O1801" s="13">
        <v>560.0</v>
      </c>
      <c r="P1801" s="5"/>
      <c r="Q1801" s="5"/>
      <c r="R1801" s="6" t="s">
        <v>5543</v>
      </c>
      <c r="S1801" s="5"/>
      <c r="T1801" s="1" t="str">
        <f>IFERROR(__xludf.DUMMYFUNCTION("INDEX(SPLIT(A1801, ""/""), 2)"),"کانون‌های فرهنگی هنری")</f>
        <v>کانون‌های فرهنگی هنری</v>
      </c>
      <c r="U1801" s="1" t="str">
        <f>IFERROR(__xludf.DUMMYFUNCTION("INDEX(SPLIT(A1801, ""/""), 3)"),"روزنامه شریف")</f>
        <v>روزنامه شریف</v>
      </c>
      <c r="V1801" s="1" t="str">
        <f>IFERROR(__xludf.DUMMYFUNCTION("INDEX(SPLIT(A1801, ""/""), 4)"),"#REF!")</f>
        <v>#REF!</v>
      </c>
    </row>
    <row r="1802">
      <c r="A1802" s="1" t="s">
        <v>4070</v>
      </c>
      <c r="B1802" s="1" t="s">
        <v>5544</v>
      </c>
      <c r="C1802" s="1" t="s">
        <v>21</v>
      </c>
      <c r="D1802" s="4" t="s">
        <v>5545</v>
      </c>
      <c r="E1802" s="1" t="s">
        <v>71</v>
      </c>
      <c r="F1802" s="1" t="s">
        <v>5441</v>
      </c>
      <c r="G1802" s="1" t="s">
        <v>71</v>
      </c>
      <c r="H1802" s="1" t="s">
        <v>5546</v>
      </c>
      <c r="I1802" s="1" t="str">
        <f t="shared" si="1"/>
        <v>16</v>
      </c>
      <c r="J1802" s="5"/>
      <c r="K1802" s="1" t="str">
        <f t="shared" si="2"/>
        <v>7</v>
      </c>
      <c r="L1802" s="5"/>
      <c r="M1802" s="2" t="str">
        <f t="shared" si="3"/>
        <v>1392</v>
      </c>
      <c r="N1802" s="1"/>
      <c r="O1802" s="13">
        <v>561.0</v>
      </c>
      <c r="P1802" s="5"/>
      <c r="Q1802" s="5"/>
      <c r="R1802" s="6" t="s">
        <v>5546</v>
      </c>
      <c r="S1802" s="5"/>
      <c r="T1802" s="1" t="str">
        <f>IFERROR(__xludf.DUMMYFUNCTION("INDEX(SPLIT(A1802, ""/""), 2)"),"کانون‌های فرهنگی هنری")</f>
        <v>کانون‌های فرهنگی هنری</v>
      </c>
      <c r="U1802" s="1" t="str">
        <f>IFERROR(__xludf.DUMMYFUNCTION("INDEX(SPLIT(A1802, ""/""), 3)"),"روزنامه شریف")</f>
        <v>روزنامه شریف</v>
      </c>
      <c r="V1802" s="1" t="str">
        <f>IFERROR(__xludf.DUMMYFUNCTION("INDEX(SPLIT(A1802, ""/""), 4)"),"#REF!")</f>
        <v>#REF!</v>
      </c>
    </row>
    <row r="1803">
      <c r="A1803" s="1" t="s">
        <v>4070</v>
      </c>
      <c r="B1803" s="1" t="s">
        <v>5547</v>
      </c>
      <c r="C1803" s="1" t="s">
        <v>21</v>
      </c>
      <c r="D1803" s="4" t="s">
        <v>5548</v>
      </c>
      <c r="E1803" s="1" t="s">
        <v>71</v>
      </c>
      <c r="F1803" s="1" t="s">
        <v>5441</v>
      </c>
      <c r="G1803" s="1" t="s">
        <v>71</v>
      </c>
      <c r="H1803" s="1" t="s">
        <v>5549</v>
      </c>
      <c r="I1803" s="1" t="str">
        <f t="shared" si="1"/>
        <v>20</v>
      </c>
      <c r="J1803" s="5"/>
      <c r="K1803" s="1" t="str">
        <f t="shared" si="2"/>
        <v>7</v>
      </c>
      <c r="L1803" s="5"/>
      <c r="M1803" s="2" t="str">
        <f t="shared" si="3"/>
        <v>1392</v>
      </c>
      <c r="N1803" s="1"/>
      <c r="O1803" s="13">
        <v>562.0</v>
      </c>
      <c r="P1803" s="5"/>
      <c r="Q1803" s="5"/>
      <c r="R1803" s="6" t="s">
        <v>5549</v>
      </c>
      <c r="S1803" s="5"/>
      <c r="T1803" s="1" t="str">
        <f>IFERROR(__xludf.DUMMYFUNCTION("INDEX(SPLIT(A1803, ""/""), 2)"),"کانون‌های فرهنگی هنری")</f>
        <v>کانون‌های فرهنگی هنری</v>
      </c>
      <c r="U1803" s="1" t="str">
        <f>IFERROR(__xludf.DUMMYFUNCTION("INDEX(SPLIT(A1803, ""/""), 3)"),"روزنامه شریف")</f>
        <v>روزنامه شریف</v>
      </c>
      <c r="V1803" s="1" t="str">
        <f>IFERROR(__xludf.DUMMYFUNCTION("INDEX(SPLIT(A1803, ""/""), 4)"),"#REF!")</f>
        <v>#REF!</v>
      </c>
    </row>
    <row r="1804">
      <c r="A1804" s="1" t="s">
        <v>4070</v>
      </c>
      <c r="B1804" s="1" t="s">
        <v>5550</v>
      </c>
      <c r="C1804" s="1" t="s">
        <v>21</v>
      </c>
      <c r="D1804" s="4" t="s">
        <v>5551</v>
      </c>
      <c r="E1804" s="1" t="s">
        <v>71</v>
      </c>
      <c r="F1804" s="1" t="s">
        <v>5441</v>
      </c>
      <c r="G1804" s="1" t="s">
        <v>71</v>
      </c>
      <c r="H1804" s="1" t="s">
        <v>5552</v>
      </c>
      <c r="I1804" s="1" t="str">
        <f t="shared" si="1"/>
        <v>23</v>
      </c>
      <c r="J1804" s="5"/>
      <c r="K1804" s="1" t="str">
        <f t="shared" si="2"/>
        <v>7</v>
      </c>
      <c r="L1804" s="5"/>
      <c r="M1804" s="2" t="str">
        <f t="shared" si="3"/>
        <v>1392</v>
      </c>
      <c r="N1804" s="1"/>
      <c r="O1804" s="13">
        <v>563.0</v>
      </c>
      <c r="P1804" s="5"/>
      <c r="Q1804" s="5"/>
      <c r="R1804" s="6" t="s">
        <v>5552</v>
      </c>
      <c r="S1804" s="5"/>
      <c r="T1804" s="1" t="str">
        <f>IFERROR(__xludf.DUMMYFUNCTION("INDEX(SPLIT(A1804, ""/""), 2)"),"کانون‌های فرهنگی هنری")</f>
        <v>کانون‌های فرهنگی هنری</v>
      </c>
      <c r="U1804" s="1" t="str">
        <f>IFERROR(__xludf.DUMMYFUNCTION("INDEX(SPLIT(A1804, ""/""), 3)"),"روزنامه شریف")</f>
        <v>روزنامه شریف</v>
      </c>
      <c r="V1804" s="1" t="str">
        <f>IFERROR(__xludf.DUMMYFUNCTION("INDEX(SPLIT(A1804, ""/""), 4)"),"#REF!")</f>
        <v>#REF!</v>
      </c>
    </row>
    <row r="1805">
      <c r="A1805" s="1" t="s">
        <v>4070</v>
      </c>
      <c r="B1805" s="1" t="s">
        <v>5553</v>
      </c>
      <c r="C1805" s="1" t="s">
        <v>21</v>
      </c>
      <c r="D1805" s="4" t="s">
        <v>5554</v>
      </c>
      <c r="E1805" s="1" t="s">
        <v>71</v>
      </c>
      <c r="F1805" s="1" t="s">
        <v>5441</v>
      </c>
      <c r="G1805" s="1" t="s">
        <v>71</v>
      </c>
      <c r="H1805" s="1" t="s">
        <v>5555</v>
      </c>
      <c r="I1805" s="1" t="str">
        <f t="shared" si="1"/>
        <v>27</v>
      </c>
      <c r="J1805" s="5"/>
      <c r="K1805" s="1" t="str">
        <f t="shared" si="2"/>
        <v>7</v>
      </c>
      <c r="L1805" s="5"/>
      <c r="M1805" s="2" t="str">
        <f t="shared" si="3"/>
        <v>1392</v>
      </c>
      <c r="N1805" s="1"/>
      <c r="O1805" s="13">
        <v>564.0</v>
      </c>
      <c r="P1805" s="5"/>
      <c r="Q1805" s="5"/>
      <c r="R1805" s="6" t="s">
        <v>5555</v>
      </c>
      <c r="S1805" s="5"/>
      <c r="T1805" s="1" t="str">
        <f>IFERROR(__xludf.DUMMYFUNCTION("INDEX(SPLIT(A1805, ""/""), 2)"),"کانون‌های فرهنگی هنری")</f>
        <v>کانون‌های فرهنگی هنری</v>
      </c>
      <c r="U1805" s="1" t="str">
        <f>IFERROR(__xludf.DUMMYFUNCTION("INDEX(SPLIT(A1805, ""/""), 3)"),"روزنامه شریف")</f>
        <v>روزنامه شریف</v>
      </c>
      <c r="V1805" s="1" t="str">
        <f>IFERROR(__xludf.DUMMYFUNCTION("INDEX(SPLIT(A1805, ""/""), 4)"),"#REF!")</f>
        <v>#REF!</v>
      </c>
    </row>
    <row r="1806">
      <c r="A1806" s="1" t="s">
        <v>4070</v>
      </c>
      <c r="B1806" s="1" t="s">
        <v>5556</v>
      </c>
      <c r="C1806" s="1" t="s">
        <v>21</v>
      </c>
      <c r="D1806" s="4" t="s">
        <v>5557</v>
      </c>
      <c r="E1806" s="1" t="s">
        <v>71</v>
      </c>
      <c r="F1806" s="1" t="s">
        <v>5441</v>
      </c>
      <c r="G1806" s="1" t="s">
        <v>71</v>
      </c>
      <c r="H1806" s="1" t="s">
        <v>5558</v>
      </c>
      <c r="I1806" s="1" t="str">
        <f t="shared" si="1"/>
        <v>30</v>
      </c>
      <c r="J1806" s="5"/>
      <c r="K1806" s="1" t="str">
        <f t="shared" si="2"/>
        <v>7</v>
      </c>
      <c r="L1806" s="5"/>
      <c r="M1806" s="2" t="str">
        <f t="shared" si="3"/>
        <v>1392</v>
      </c>
      <c r="N1806" s="1"/>
      <c r="O1806" s="13">
        <v>565.0</v>
      </c>
      <c r="P1806" s="5"/>
      <c r="Q1806" s="5"/>
      <c r="R1806" s="6" t="s">
        <v>5558</v>
      </c>
      <c r="S1806" s="5"/>
      <c r="T1806" s="1" t="str">
        <f>IFERROR(__xludf.DUMMYFUNCTION("INDEX(SPLIT(A1806, ""/""), 2)"),"کانون‌های فرهنگی هنری")</f>
        <v>کانون‌های فرهنگی هنری</v>
      </c>
      <c r="U1806" s="1" t="str">
        <f>IFERROR(__xludf.DUMMYFUNCTION("INDEX(SPLIT(A1806, ""/""), 3)"),"روزنامه شریف")</f>
        <v>روزنامه شریف</v>
      </c>
      <c r="V1806" s="1" t="str">
        <f>IFERROR(__xludf.DUMMYFUNCTION("INDEX(SPLIT(A1806, ""/""), 4)"),"#REF!")</f>
        <v>#REF!</v>
      </c>
    </row>
    <row r="1807">
      <c r="A1807" s="1" t="s">
        <v>4070</v>
      </c>
      <c r="B1807" s="1" t="s">
        <v>5559</v>
      </c>
      <c r="C1807" s="1" t="s">
        <v>21</v>
      </c>
      <c r="D1807" s="4" t="s">
        <v>5560</v>
      </c>
      <c r="E1807" s="1" t="s">
        <v>71</v>
      </c>
      <c r="F1807" s="1" t="s">
        <v>5441</v>
      </c>
      <c r="G1807" s="1" t="s">
        <v>71</v>
      </c>
      <c r="H1807" s="7" t="s">
        <v>5561</v>
      </c>
      <c r="I1807" s="1" t="str">
        <f t="shared" si="1"/>
        <v>4</v>
      </c>
      <c r="J1807" s="5"/>
      <c r="K1807" s="1" t="str">
        <f t="shared" si="2"/>
        <v>8</v>
      </c>
      <c r="L1807" s="5"/>
      <c r="M1807" s="2" t="str">
        <f t="shared" si="3"/>
        <v>1392</v>
      </c>
      <c r="N1807" s="1"/>
      <c r="O1807" s="13">
        <v>566.0</v>
      </c>
      <c r="P1807" s="5"/>
      <c r="Q1807" s="5"/>
      <c r="R1807" s="8" t="s">
        <v>5561</v>
      </c>
      <c r="S1807" s="5"/>
      <c r="T1807" s="1" t="str">
        <f>IFERROR(__xludf.DUMMYFUNCTION("INDEX(SPLIT(A1807, ""/""), 2)"),"کانون‌های فرهنگی هنری")</f>
        <v>کانون‌های فرهنگی هنری</v>
      </c>
      <c r="U1807" s="1" t="str">
        <f>IFERROR(__xludf.DUMMYFUNCTION("INDEX(SPLIT(A1807, ""/""), 3)"),"روزنامه شریف")</f>
        <v>روزنامه شریف</v>
      </c>
      <c r="V1807" s="1" t="str">
        <f>IFERROR(__xludf.DUMMYFUNCTION("INDEX(SPLIT(A1807, ""/""), 4)"),"#REF!")</f>
        <v>#REF!</v>
      </c>
    </row>
    <row r="1808">
      <c r="A1808" s="1" t="s">
        <v>4070</v>
      </c>
      <c r="B1808" s="1" t="s">
        <v>5562</v>
      </c>
      <c r="C1808" s="1" t="s">
        <v>21</v>
      </c>
      <c r="D1808" s="4" t="s">
        <v>5563</v>
      </c>
      <c r="E1808" s="1" t="s">
        <v>71</v>
      </c>
      <c r="F1808" s="1" t="s">
        <v>5441</v>
      </c>
      <c r="G1808" s="1" t="s">
        <v>71</v>
      </c>
      <c r="H1808" s="7" t="s">
        <v>5564</v>
      </c>
      <c r="I1808" s="1" t="str">
        <f t="shared" si="1"/>
        <v>11</v>
      </c>
      <c r="J1808" s="5"/>
      <c r="K1808" s="1" t="str">
        <f t="shared" si="2"/>
        <v>8</v>
      </c>
      <c r="L1808" s="5"/>
      <c r="M1808" s="2" t="str">
        <f t="shared" si="3"/>
        <v>1392</v>
      </c>
      <c r="N1808" s="5"/>
      <c r="O1808" s="13">
        <v>567.0</v>
      </c>
      <c r="P1808" s="5"/>
      <c r="Q1808" s="5"/>
      <c r="R1808" s="8" t="s">
        <v>5564</v>
      </c>
      <c r="S1808" s="5"/>
      <c r="T1808" s="1" t="str">
        <f>IFERROR(__xludf.DUMMYFUNCTION("INDEX(SPLIT(A1808, ""/""), 2)"),"کانون‌های فرهنگی هنری")</f>
        <v>کانون‌های فرهنگی هنری</v>
      </c>
      <c r="U1808" s="1" t="str">
        <f>IFERROR(__xludf.DUMMYFUNCTION("INDEX(SPLIT(A1808, ""/""), 3)"),"روزنامه شریف")</f>
        <v>روزنامه شریف</v>
      </c>
      <c r="V1808" s="1" t="str">
        <f>IFERROR(__xludf.DUMMYFUNCTION("INDEX(SPLIT(A1808, ""/""), 4)"),"#REF!")</f>
        <v>#REF!</v>
      </c>
    </row>
    <row r="1809">
      <c r="A1809" s="1" t="s">
        <v>4070</v>
      </c>
      <c r="B1809" s="1" t="s">
        <v>5565</v>
      </c>
      <c r="C1809" s="1" t="s">
        <v>21</v>
      </c>
      <c r="D1809" s="4" t="s">
        <v>5566</v>
      </c>
      <c r="E1809" s="1" t="s">
        <v>71</v>
      </c>
      <c r="F1809" s="1" t="s">
        <v>5441</v>
      </c>
      <c r="G1809" s="1" t="s">
        <v>71</v>
      </c>
      <c r="H1809" s="1" t="s">
        <v>5567</v>
      </c>
      <c r="I1809" s="1" t="str">
        <f t="shared" si="1"/>
        <v>14</v>
      </c>
      <c r="J1809" s="5"/>
      <c r="K1809" s="1" t="str">
        <f t="shared" si="2"/>
        <v>8</v>
      </c>
      <c r="L1809" s="5"/>
      <c r="M1809" s="2" t="str">
        <f t="shared" si="3"/>
        <v>1392</v>
      </c>
      <c r="N1809" s="1"/>
      <c r="O1809" s="13">
        <v>568.0</v>
      </c>
      <c r="P1809" s="5"/>
      <c r="Q1809" s="5"/>
      <c r="R1809" s="6" t="s">
        <v>5567</v>
      </c>
      <c r="S1809" s="5"/>
      <c r="T1809" s="1" t="str">
        <f>IFERROR(__xludf.DUMMYFUNCTION("INDEX(SPLIT(A1809, ""/""), 2)"),"کانون‌های فرهنگی هنری")</f>
        <v>کانون‌های فرهنگی هنری</v>
      </c>
      <c r="U1809" s="1" t="str">
        <f>IFERROR(__xludf.DUMMYFUNCTION("INDEX(SPLIT(A1809, ""/""), 3)"),"روزنامه شریف")</f>
        <v>روزنامه شریف</v>
      </c>
      <c r="V1809" s="1" t="str">
        <f>IFERROR(__xludf.DUMMYFUNCTION("INDEX(SPLIT(A1809, ""/""), 4)"),"#REF!")</f>
        <v>#REF!</v>
      </c>
    </row>
    <row r="1810">
      <c r="A1810" s="1" t="s">
        <v>4070</v>
      </c>
      <c r="B1810" s="1" t="s">
        <v>5568</v>
      </c>
      <c r="C1810" s="1" t="s">
        <v>21</v>
      </c>
      <c r="D1810" s="4" t="s">
        <v>5569</v>
      </c>
      <c r="E1810" s="1" t="s">
        <v>71</v>
      </c>
      <c r="F1810" s="1" t="s">
        <v>5441</v>
      </c>
      <c r="G1810" s="1" t="s">
        <v>71</v>
      </c>
      <c r="H1810" s="1" t="s">
        <v>5570</v>
      </c>
      <c r="I1810" s="1" t="str">
        <f t="shared" si="1"/>
        <v>18</v>
      </c>
      <c r="J1810" s="5"/>
      <c r="K1810" s="1" t="str">
        <f t="shared" si="2"/>
        <v>8</v>
      </c>
      <c r="L1810" s="5"/>
      <c r="M1810" s="2" t="str">
        <f t="shared" si="3"/>
        <v>1392</v>
      </c>
      <c r="N1810" s="1"/>
      <c r="O1810" s="13">
        <v>569.0</v>
      </c>
      <c r="P1810" s="5"/>
      <c r="Q1810" s="5"/>
      <c r="R1810" s="6" t="s">
        <v>5570</v>
      </c>
      <c r="S1810" s="5"/>
      <c r="T1810" s="1" t="str">
        <f>IFERROR(__xludf.DUMMYFUNCTION("INDEX(SPLIT(A1810, ""/""), 2)"),"کانون‌های فرهنگی هنری")</f>
        <v>کانون‌های فرهنگی هنری</v>
      </c>
      <c r="U1810" s="1" t="str">
        <f>IFERROR(__xludf.DUMMYFUNCTION("INDEX(SPLIT(A1810, ""/""), 3)"),"روزنامه شریف")</f>
        <v>روزنامه شریف</v>
      </c>
      <c r="V1810" s="1" t="str">
        <f>IFERROR(__xludf.DUMMYFUNCTION("INDEX(SPLIT(A1810, ""/""), 4)"),"#REF!")</f>
        <v>#REF!</v>
      </c>
    </row>
    <row r="1811">
      <c r="A1811" s="1" t="s">
        <v>4070</v>
      </c>
      <c r="B1811" s="1" t="s">
        <v>5571</v>
      </c>
      <c r="C1811" s="1" t="s">
        <v>21</v>
      </c>
      <c r="D1811" s="4" t="s">
        <v>5572</v>
      </c>
      <c r="E1811" s="1" t="s">
        <v>71</v>
      </c>
      <c r="F1811" s="1" t="s">
        <v>5441</v>
      </c>
      <c r="G1811" s="1" t="s">
        <v>71</v>
      </c>
      <c r="H1811" s="1" t="s">
        <v>5573</v>
      </c>
      <c r="I1811" s="1" t="str">
        <f t="shared" si="1"/>
        <v>21</v>
      </c>
      <c r="J1811" s="5"/>
      <c r="K1811" s="1" t="str">
        <f t="shared" si="2"/>
        <v>8</v>
      </c>
      <c r="L1811" s="5"/>
      <c r="M1811" s="2" t="str">
        <f t="shared" si="3"/>
        <v>1392</v>
      </c>
      <c r="N1811" s="1"/>
      <c r="O1811" s="13">
        <v>570.0</v>
      </c>
      <c r="P1811" s="5"/>
      <c r="Q1811" s="5"/>
      <c r="R1811" s="6" t="s">
        <v>5573</v>
      </c>
      <c r="S1811" s="5"/>
      <c r="T1811" s="1" t="str">
        <f>IFERROR(__xludf.DUMMYFUNCTION("INDEX(SPLIT(A1811, ""/""), 2)"),"کانون‌های فرهنگی هنری")</f>
        <v>کانون‌های فرهنگی هنری</v>
      </c>
      <c r="U1811" s="1" t="str">
        <f>IFERROR(__xludf.DUMMYFUNCTION("INDEX(SPLIT(A1811, ""/""), 3)"),"روزنامه شریف")</f>
        <v>روزنامه شریف</v>
      </c>
      <c r="V1811" s="1" t="str">
        <f>IFERROR(__xludf.DUMMYFUNCTION("INDEX(SPLIT(A1811, ""/""), 4)"),"#REF!")</f>
        <v>#REF!</v>
      </c>
    </row>
    <row r="1812">
      <c r="A1812" s="1" t="s">
        <v>4070</v>
      </c>
      <c r="B1812" s="1" t="s">
        <v>5574</v>
      </c>
      <c r="C1812" s="1" t="s">
        <v>21</v>
      </c>
      <c r="D1812" s="4" t="s">
        <v>5575</v>
      </c>
      <c r="E1812" s="1" t="s">
        <v>71</v>
      </c>
      <c r="F1812" s="1" t="s">
        <v>5441</v>
      </c>
      <c r="G1812" s="1" t="s">
        <v>71</v>
      </c>
      <c r="H1812" s="1" t="s">
        <v>5573</v>
      </c>
      <c r="I1812" s="1" t="str">
        <f t="shared" si="1"/>
        <v>21</v>
      </c>
      <c r="J1812" s="5"/>
      <c r="K1812" s="1" t="str">
        <f t="shared" si="2"/>
        <v>8</v>
      </c>
      <c r="L1812" s="5"/>
      <c r="M1812" s="2" t="str">
        <f t="shared" si="3"/>
        <v>1392</v>
      </c>
      <c r="N1812" s="1"/>
      <c r="O1812" s="13">
        <v>571.0</v>
      </c>
      <c r="P1812" s="5"/>
      <c r="Q1812" s="5"/>
      <c r="R1812" s="6" t="s">
        <v>5573</v>
      </c>
      <c r="S1812" s="5"/>
      <c r="T1812" s="1" t="str">
        <f>IFERROR(__xludf.DUMMYFUNCTION("INDEX(SPLIT(A1812, ""/""), 2)"),"کانون‌های فرهنگی هنری")</f>
        <v>کانون‌های فرهنگی هنری</v>
      </c>
      <c r="U1812" s="1" t="str">
        <f>IFERROR(__xludf.DUMMYFUNCTION("INDEX(SPLIT(A1812, ""/""), 3)"),"روزنامه شریف")</f>
        <v>روزنامه شریف</v>
      </c>
      <c r="V1812" s="1" t="str">
        <f>IFERROR(__xludf.DUMMYFUNCTION("INDEX(SPLIT(A1812, ""/""), 4)"),"#REF!")</f>
        <v>#REF!</v>
      </c>
    </row>
    <row r="1813">
      <c r="A1813" s="1" t="s">
        <v>4070</v>
      </c>
      <c r="B1813" s="1" t="s">
        <v>5576</v>
      </c>
      <c r="C1813" s="1" t="s">
        <v>21</v>
      </c>
      <c r="D1813" s="4" t="s">
        <v>5577</v>
      </c>
      <c r="E1813" s="1" t="s">
        <v>71</v>
      </c>
      <c r="F1813" s="1" t="s">
        <v>5441</v>
      </c>
      <c r="G1813" s="1" t="s">
        <v>71</v>
      </c>
      <c r="H1813" s="1" t="s">
        <v>5573</v>
      </c>
      <c r="I1813" s="1" t="str">
        <f t="shared" si="1"/>
        <v>21</v>
      </c>
      <c r="J1813" s="5"/>
      <c r="K1813" s="1" t="str">
        <f t="shared" si="2"/>
        <v>8</v>
      </c>
      <c r="L1813" s="5"/>
      <c r="M1813" s="2" t="str">
        <f t="shared" si="3"/>
        <v>1392</v>
      </c>
      <c r="N1813" s="1"/>
      <c r="O1813" s="13">
        <v>571.0</v>
      </c>
      <c r="P1813" s="5"/>
      <c r="Q1813" s="5"/>
      <c r="R1813" s="6" t="s">
        <v>5573</v>
      </c>
      <c r="S1813" s="5"/>
      <c r="T1813" s="1" t="str">
        <f>IFERROR(__xludf.DUMMYFUNCTION("INDEX(SPLIT(A1813, ""/""), 2)"),"کانون‌های فرهنگی هنری")</f>
        <v>کانون‌های فرهنگی هنری</v>
      </c>
      <c r="U1813" s="1" t="str">
        <f>IFERROR(__xludf.DUMMYFUNCTION("INDEX(SPLIT(A1813, ""/""), 3)"),"روزنامه شریف")</f>
        <v>روزنامه شریف</v>
      </c>
      <c r="V1813" s="1" t="str">
        <f>IFERROR(__xludf.DUMMYFUNCTION("INDEX(SPLIT(A1813, ""/""), 4)"),"#REF!")</f>
        <v>#REF!</v>
      </c>
    </row>
    <row r="1814">
      <c r="A1814" s="1" t="s">
        <v>4070</v>
      </c>
      <c r="B1814" s="1" t="s">
        <v>5578</v>
      </c>
      <c r="C1814" s="1" t="s">
        <v>21</v>
      </c>
      <c r="D1814" s="4" t="s">
        <v>5579</v>
      </c>
      <c r="E1814" s="1" t="s">
        <v>71</v>
      </c>
      <c r="F1814" s="1" t="s">
        <v>5441</v>
      </c>
      <c r="G1814" s="1" t="s">
        <v>71</v>
      </c>
      <c r="H1814" s="1" t="s">
        <v>3076</v>
      </c>
      <c r="I1814" s="1" t="str">
        <f t="shared" si="1"/>
        <v>28</v>
      </c>
      <c r="J1814" s="5"/>
      <c r="K1814" s="1" t="str">
        <f t="shared" si="2"/>
        <v>8</v>
      </c>
      <c r="L1814" s="5"/>
      <c r="M1814" s="2" t="str">
        <f t="shared" si="3"/>
        <v>1392</v>
      </c>
      <c r="N1814" s="1"/>
      <c r="O1814" s="13">
        <v>572.0</v>
      </c>
      <c r="P1814" s="5"/>
      <c r="Q1814" s="5"/>
      <c r="R1814" s="6" t="s">
        <v>3076</v>
      </c>
      <c r="S1814" s="5"/>
      <c r="T1814" s="1" t="str">
        <f>IFERROR(__xludf.DUMMYFUNCTION("INDEX(SPLIT(A1814, ""/""), 2)"),"کانون‌های فرهنگی هنری")</f>
        <v>کانون‌های فرهنگی هنری</v>
      </c>
      <c r="U1814" s="1" t="str">
        <f>IFERROR(__xludf.DUMMYFUNCTION("INDEX(SPLIT(A1814, ""/""), 3)"),"روزنامه شریف")</f>
        <v>روزنامه شریف</v>
      </c>
      <c r="V1814" s="1" t="str">
        <f>IFERROR(__xludf.DUMMYFUNCTION("INDEX(SPLIT(A1814, ""/""), 4)"),"#REF!")</f>
        <v>#REF!</v>
      </c>
    </row>
    <row r="1815">
      <c r="A1815" s="1" t="s">
        <v>4070</v>
      </c>
      <c r="B1815" s="1" t="s">
        <v>5580</v>
      </c>
      <c r="C1815" s="1" t="s">
        <v>21</v>
      </c>
      <c r="D1815" s="4" t="s">
        <v>5581</v>
      </c>
      <c r="E1815" s="1" t="s">
        <v>71</v>
      </c>
      <c r="F1815" s="1" t="s">
        <v>5441</v>
      </c>
      <c r="G1815" s="1" t="s">
        <v>71</v>
      </c>
      <c r="H1815" s="7" t="s">
        <v>5582</v>
      </c>
      <c r="I1815" s="1" t="str">
        <f t="shared" si="1"/>
        <v>2</v>
      </c>
      <c r="J1815" s="5"/>
      <c r="K1815" s="1" t="str">
        <f t="shared" si="2"/>
        <v>9</v>
      </c>
      <c r="L1815" s="5"/>
      <c r="M1815" s="2" t="str">
        <f t="shared" si="3"/>
        <v>1392</v>
      </c>
      <c r="N1815" s="1"/>
      <c r="O1815" s="13">
        <v>573.0</v>
      </c>
      <c r="P1815" s="5"/>
      <c r="Q1815" s="5"/>
      <c r="R1815" s="8" t="s">
        <v>5582</v>
      </c>
      <c r="S1815" s="5"/>
      <c r="T1815" s="1" t="str">
        <f>IFERROR(__xludf.DUMMYFUNCTION("INDEX(SPLIT(A1815, ""/""), 2)"),"کانون‌های فرهنگی هنری")</f>
        <v>کانون‌های فرهنگی هنری</v>
      </c>
      <c r="U1815" s="1" t="str">
        <f>IFERROR(__xludf.DUMMYFUNCTION("INDEX(SPLIT(A1815, ""/""), 3)"),"روزنامه شریف")</f>
        <v>روزنامه شریف</v>
      </c>
      <c r="V1815" s="1" t="str">
        <f>IFERROR(__xludf.DUMMYFUNCTION("INDEX(SPLIT(A1815, ""/""), 4)"),"#REF!")</f>
        <v>#REF!</v>
      </c>
    </row>
    <row r="1816">
      <c r="A1816" s="1" t="s">
        <v>4070</v>
      </c>
      <c r="B1816" s="1" t="s">
        <v>5583</v>
      </c>
      <c r="C1816" s="1" t="s">
        <v>21</v>
      </c>
      <c r="D1816" s="4" t="s">
        <v>5584</v>
      </c>
      <c r="E1816" s="1" t="s">
        <v>71</v>
      </c>
      <c r="F1816" s="1" t="s">
        <v>5441</v>
      </c>
      <c r="G1816" s="1" t="s">
        <v>752</v>
      </c>
      <c r="H1816" s="7" t="s">
        <v>5585</v>
      </c>
      <c r="I1816" s="1" t="str">
        <f t="shared" si="1"/>
        <v>5</v>
      </c>
      <c r="J1816" s="5"/>
      <c r="K1816" s="1" t="str">
        <f t="shared" si="2"/>
        <v>9</v>
      </c>
      <c r="L1816" s="5"/>
      <c r="M1816" s="2" t="str">
        <f t="shared" si="3"/>
        <v>1392</v>
      </c>
      <c r="N1816" s="1"/>
      <c r="O1816" s="13">
        <v>574.0</v>
      </c>
      <c r="P1816" s="5"/>
      <c r="Q1816" s="5"/>
      <c r="R1816" s="8" t="s">
        <v>5585</v>
      </c>
      <c r="S1816" s="5"/>
      <c r="T1816" s="1" t="str">
        <f>IFERROR(__xludf.DUMMYFUNCTION("INDEX(SPLIT(A1816, ""/""), 2)"),"کانون‌های فرهنگی هنری")</f>
        <v>کانون‌های فرهنگی هنری</v>
      </c>
      <c r="U1816" s="1" t="str">
        <f>IFERROR(__xludf.DUMMYFUNCTION("INDEX(SPLIT(A1816, ""/""), 3)"),"روزنامه شریف")</f>
        <v>روزنامه شریف</v>
      </c>
      <c r="V1816" s="1" t="str">
        <f>IFERROR(__xludf.DUMMYFUNCTION("INDEX(SPLIT(A1816, ""/""), 4)"),"#REF!")</f>
        <v>#REF!</v>
      </c>
    </row>
    <row r="1817">
      <c r="A1817" s="1" t="s">
        <v>4070</v>
      </c>
      <c r="B1817" s="1" t="s">
        <v>5586</v>
      </c>
      <c r="C1817" s="1" t="s">
        <v>21</v>
      </c>
      <c r="D1817" s="4" t="s">
        <v>5587</v>
      </c>
      <c r="E1817" s="1" t="s">
        <v>71</v>
      </c>
      <c r="F1817" s="1" t="s">
        <v>5441</v>
      </c>
      <c r="G1817" s="1" t="s">
        <v>752</v>
      </c>
      <c r="H1817" s="7" t="s">
        <v>5588</v>
      </c>
      <c r="I1817" s="1" t="str">
        <f t="shared" si="1"/>
        <v>9</v>
      </c>
      <c r="J1817" s="5"/>
      <c r="K1817" s="1" t="str">
        <f t="shared" si="2"/>
        <v>9</v>
      </c>
      <c r="L1817" s="5"/>
      <c r="M1817" s="2" t="str">
        <f t="shared" si="3"/>
        <v>1392</v>
      </c>
      <c r="N1817" s="1"/>
      <c r="O1817" s="13">
        <v>575.0</v>
      </c>
      <c r="P1817" s="5"/>
      <c r="Q1817" s="5"/>
      <c r="R1817" s="8" t="s">
        <v>5588</v>
      </c>
      <c r="S1817" s="5"/>
      <c r="T1817" s="1" t="str">
        <f>IFERROR(__xludf.DUMMYFUNCTION("INDEX(SPLIT(A1817, ""/""), 2)"),"کانون‌های فرهنگی هنری")</f>
        <v>کانون‌های فرهنگی هنری</v>
      </c>
      <c r="U1817" s="1" t="str">
        <f>IFERROR(__xludf.DUMMYFUNCTION("INDEX(SPLIT(A1817, ""/""), 3)"),"روزنامه شریف")</f>
        <v>روزنامه شریف</v>
      </c>
      <c r="V1817" s="1" t="str">
        <f>IFERROR(__xludf.DUMMYFUNCTION("INDEX(SPLIT(A1817, ""/""), 4)"),"#REF!")</f>
        <v>#REF!</v>
      </c>
    </row>
    <row r="1818">
      <c r="A1818" s="1" t="s">
        <v>4070</v>
      </c>
      <c r="B1818" s="1" t="s">
        <v>5589</v>
      </c>
      <c r="C1818" s="1" t="s">
        <v>21</v>
      </c>
      <c r="D1818" s="4" t="s">
        <v>5590</v>
      </c>
      <c r="E1818" s="1" t="s">
        <v>71</v>
      </c>
      <c r="F1818" s="1" t="s">
        <v>5441</v>
      </c>
      <c r="G1818" s="1" t="s">
        <v>752</v>
      </c>
      <c r="H1818" s="7" t="s">
        <v>5591</v>
      </c>
      <c r="I1818" s="1" t="str">
        <f t="shared" si="1"/>
        <v>12</v>
      </c>
      <c r="J1818" s="5"/>
      <c r="K1818" s="1" t="str">
        <f t="shared" si="2"/>
        <v>9</v>
      </c>
      <c r="L1818" s="5"/>
      <c r="M1818" s="2" t="str">
        <f t="shared" si="3"/>
        <v>1392</v>
      </c>
      <c r="N1818" s="1"/>
      <c r="O1818" s="13">
        <v>576.0</v>
      </c>
      <c r="P1818" s="5"/>
      <c r="Q1818" s="5"/>
      <c r="R1818" s="8" t="s">
        <v>5591</v>
      </c>
      <c r="S1818" s="5"/>
      <c r="T1818" s="1" t="str">
        <f>IFERROR(__xludf.DUMMYFUNCTION("INDEX(SPLIT(A1818, ""/""), 2)"),"کانون‌های فرهنگی هنری")</f>
        <v>کانون‌های فرهنگی هنری</v>
      </c>
      <c r="U1818" s="1" t="str">
        <f>IFERROR(__xludf.DUMMYFUNCTION("INDEX(SPLIT(A1818, ""/""), 3)"),"روزنامه شریف")</f>
        <v>روزنامه شریف</v>
      </c>
      <c r="V1818" s="1" t="str">
        <f>IFERROR(__xludf.DUMMYFUNCTION("INDEX(SPLIT(A1818, ""/""), 4)"),"#REF!")</f>
        <v>#REF!</v>
      </c>
    </row>
    <row r="1819">
      <c r="A1819" s="1" t="s">
        <v>4070</v>
      </c>
      <c r="B1819" s="1" t="s">
        <v>5592</v>
      </c>
      <c r="C1819" s="1" t="s">
        <v>21</v>
      </c>
      <c r="D1819" s="4" t="s">
        <v>5593</v>
      </c>
      <c r="E1819" s="1" t="s">
        <v>71</v>
      </c>
      <c r="F1819" s="1" t="s">
        <v>5441</v>
      </c>
      <c r="G1819" s="1" t="s">
        <v>752</v>
      </c>
      <c r="H1819" s="1" t="s">
        <v>5594</v>
      </c>
      <c r="I1819" s="1" t="str">
        <f t="shared" si="1"/>
        <v>16</v>
      </c>
      <c r="J1819" s="5"/>
      <c r="K1819" s="1" t="str">
        <f t="shared" si="2"/>
        <v>9</v>
      </c>
      <c r="L1819" s="5"/>
      <c r="M1819" s="2" t="str">
        <f t="shared" si="3"/>
        <v>1392</v>
      </c>
      <c r="N1819" s="1"/>
      <c r="O1819" s="13">
        <v>577.0</v>
      </c>
      <c r="P1819" s="5"/>
      <c r="Q1819" s="5"/>
      <c r="R1819" s="6" t="s">
        <v>5594</v>
      </c>
      <c r="S1819" s="5"/>
      <c r="T1819" s="1" t="str">
        <f>IFERROR(__xludf.DUMMYFUNCTION("INDEX(SPLIT(A1819, ""/""), 2)"),"کانون‌های فرهنگی هنری")</f>
        <v>کانون‌های فرهنگی هنری</v>
      </c>
      <c r="U1819" s="1" t="str">
        <f>IFERROR(__xludf.DUMMYFUNCTION("INDEX(SPLIT(A1819, ""/""), 3)"),"روزنامه شریف")</f>
        <v>روزنامه شریف</v>
      </c>
      <c r="V1819" s="1" t="str">
        <f>IFERROR(__xludf.DUMMYFUNCTION("INDEX(SPLIT(A1819, ""/""), 4)"),"#REF!")</f>
        <v>#REF!</v>
      </c>
    </row>
    <row r="1820">
      <c r="A1820" s="1" t="s">
        <v>4070</v>
      </c>
      <c r="B1820" s="1" t="s">
        <v>5595</v>
      </c>
      <c r="C1820" s="1" t="s">
        <v>21</v>
      </c>
      <c r="D1820" s="4" t="s">
        <v>5596</v>
      </c>
      <c r="E1820" s="1" t="s">
        <v>71</v>
      </c>
      <c r="F1820" s="1" t="s">
        <v>5441</v>
      </c>
      <c r="G1820" s="1" t="s">
        <v>752</v>
      </c>
      <c r="H1820" s="1" t="s">
        <v>5597</v>
      </c>
      <c r="I1820" s="1" t="str">
        <f t="shared" si="1"/>
        <v>19</v>
      </c>
      <c r="J1820" s="5"/>
      <c r="K1820" s="1" t="str">
        <f t="shared" si="2"/>
        <v>9</v>
      </c>
      <c r="L1820" s="5"/>
      <c r="M1820" s="2" t="str">
        <f t="shared" si="3"/>
        <v>1392</v>
      </c>
      <c r="N1820" s="1"/>
      <c r="O1820" s="13">
        <v>578.0</v>
      </c>
      <c r="P1820" s="5"/>
      <c r="Q1820" s="5"/>
      <c r="R1820" s="6" t="s">
        <v>5597</v>
      </c>
      <c r="S1820" s="5"/>
      <c r="T1820" s="1" t="str">
        <f>IFERROR(__xludf.DUMMYFUNCTION("INDEX(SPLIT(A1820, ""/""), 2)"),"کانون‌های فرهنگی هنری")</f>
        <v>کانون‌های فرهنگی هنری</v>
      </c>
      <c r="U1820" s="1" t="str">
        <f>IFERROR(__xludf.DUMMYFUNCTION("INDEX(SPLIT(A1820, ""/""), 3)"),"روزنامه شریف")</f>
        <v>روزنامه شریف</v>
      </c>
      <c r="V1820" s="1" t="str">
        <f>IFERROR(__xludf.DUMMYFUNCTION("INDEX(SPLIT(A1820, ""/""), 4)"),"#REF!")</f>
        <v>#REF!</v>
      </c>
    </row>
    <row r="1821">
      <c r="A1821" s="1" t="s">
        <v>4070</v>
      </c>
      <c r="B1821" s="1" t="s">
        <v>5598</v>
      </c>
      <c r="C1821" s="1" t="s">
        <v>21</v>
      </c>
      <c r="D1821" s="4" t="s">
        <v>5599</v>
      </c>
      <c r="E1821" s="1" t="s">
        <v>71</v>
      </c>
      <c r="F1821" s="1" t="s">
        <v>5441</v>
      </c>
      <c r="G1821" s="1" t="s">
        <v>752</v>
      </c>
      <c r="H1821" s="1" t="s">
        <v>5600</v>
      </c>
      <c r="I1821" s="1" t="str">
        <f t="shared" si="1"/>
        <v>22</v>
      </c>
      <c r="J1821" s="5"/>
      <c r="K1821" s="1" t="str">
        <f t="shared" si="2"/>
        <v>9</v>
      </c>
      <c r="L1821" s="5"/>
      <c r="M1821" s="2" t="str">
        <f t="shared" si="3"/>
        <v>1392</v>
      </c>
      <c r="N1821" s="1"/>
      <c r="O1821" s="13">
        <v>579.0</v>
      </c>
      <c r="P1821" s="5"/>
      <c r="Q1821" s="5"/>
      <c r="R1821" s="6" t="s">
        <v>5600</v>
      </c>
      <c r="S1821" s="5"/>
      <c r="T1821" s="1" t="str">
        <f>IFERROR(__xludf.DUMMYFUNCTION("INDEX(SPLIT(A1821, ""/""), 2)"),"کانون‌های فرهنگی هنری")</f>
        <v>کانون‌های فرهنگی هنری</v>
      </c>
      <c r="U1821" s="1" t="str">
        <f>IFERROR(__xludf.DUMMYFUNCTION("INDEX(SPLIT(A1821, ""/""), 3)"),"روزنامه شریف")</f>
        <v>روزنامه شریف</v>
      </c>
      <c r="V1821" s="1" t="str">
        <f>IFERROR(__xludf.DUMMYFUNCTION("INDEX(SPLIT(A1821, ""/""), 4)"),"#REF!")</f>
        <v>#REF!</v>
      </c>
    </row>
    <row r="1822">
      <c r="A1822" s="1" t="s">
        <v>4070</v>
      </c>
      <c r="B1822" s="1" t="s">
        <v>5601</v>
      </c>
      <c r="C1822" s="1" t="s">
        <v>21</v>
      </c>
      <c r="D1822" s="4" t="s">
        <v>5602</v>
      </c>
      <c r="E1822" s="1" t="s">
        <v>71</v>
      </c>
      <c r="F1822" s="1" t="s">
        <v>5441</v>
      </c>
      <c r="G1822" s="1" t="s">
        <v>752</v>
      </c>
      <c r="H1822" s="1" t="s">
        <v>3845</v>
      </c>
      <c r="I1822" s="1" t="str">
        <f t="shared" si="1"/>
        <v>26</v>
      </c>
      <c r="J1822" s="5"/>
      <c r="K1822" s="1" t="str">
        <f t="shared" si="2"/>
        <v>9</v>
      </c>
      <c r="L1822" s="5"/>
      <c r="M1822" s="2" t="str">
        <f t="shared" si="3"/>
        <v>1392</v>
      </c>
      <c r="N1822" s="1"/>
      <c r="O1822" s="13">
        <v>580.0</v>
      </c>
      <c r="P1822" s="5"/>
      <c r="Q1822" s="5"/>
      <c r="R1822" s="6" t="s">
        <v>3845</v>
      </c>
      <c r="S1822" s="5"/>
      <c r="T1822" s="1" t="str">
        <f>IFERROR(__xludf.DUMMYFUNCTION("INDEX(SPLIT(A1822, ""/""), 2)"),"کانون‌های فرهنگی هنری")</f>
        <v>کانون‌های فرهنگی هنری</v>
      </c>
      <c r="U1822" s="1" t="str">
        <f>IFERROR(__xludf.DUMMYFUNCTION("INDEX(SPLIT(A1822, ""/""), 3)"),"روزنامه شریف")</f>
        <v>روزنامه شریف</v>
      </c>
      <c r="V1822" s="1" t="str">
        <f>IFERROR(__xludf.DUMMYFUNCTION("INDEX(SPLIT(A1822, ""/""), 4)"),"#REF!")</f>
        <v>#REF!</v>
      </c>
    </row>
    <row r="1823">
      <c r="A1823" s="1" t="s">
        <v>4070</v>
      </c>
      <c r="B1823" s="1" t="s">
        <v>5603</v>
      </c>
      <c r="C1823" s="1" t="s">
        <v>21</v>
      </c>
      <c r="D1823" s="4" t="s">
        <v>5604</v>
      </c>
      <c r="E1823" s="1" t="s">
        <v>71</v>
      </c>
      <c r="F1823" s="1" t="s">
        <v>5441</v>
      </c>
      <c r="G1823" s="1" t="s">
        <v>752</v>
      </c>
      <c r="H1823" s="1" t="s">
        <v>5605</v>
      </c>
      <c r="I1823" s="1" t="str">
        <f t="shared" si="1"/>
        <v>30</v>
      </c>
      <c r="J1823" s="5"/>
      <c r="K1823" s="1" t="str">
        <f t="shared" si="2"/>
        <v>9</v>
      </c>
      <c r="L1823" s="5"/>
      <c r="M1823" s="2" t="str">
        <f t="shared" si="3"/>
        <v>1392</v>
      </c>
      <c r="N1823" s="1"/>
      <c r="O1823" s="13">
        <v>581.0</v>
      </c>
      <c r="P1823" s="5"/>
      <c r="Q1823" s="5"/>
      <c r="R1823" s="6" t="s">
        <v>5605</v>
      </c>
      <c r="S1823" s="5"/>
      <c r="T1823" s="1" t="str">
        <f>IFERROR(__xludf.DUMMYFUNCTION("INDEX(SPLIT(A1823, ""/""), 2)"),"کانون‌های فرهنگی هنری")</f>
        <v>کانون‌های فرهنگی هنری</v>
      </c>
      <c r="U1823" s="1" t="str">
        <f>IFERROR(__xludf.DUMMYFUNCTION("INDEX(SPLIT(A1823, ""/""), 3)"),"روزنامه شریف")</f>
        <v>روزنامه شریف</v>
      </c>
      <c r="V1823" s="1" t="str">
        <f>IFERROR(__xludf.DUMMYFUNCTION("INDEX(SPLIT(A1823, ""/""), 4)"),"#REF!")</f>
        <v>#REF!</v>
      </c>
    </row>
    <row r="1824">
      <c r="A1824" s="1" t="s">
        <v>4070</v>
      </c>
      <c r="B1824" s="1" t="s">
        <v>5606</v>
      </c>
      <c r="C1824" s="1" t="s">
        <v>21</v>
      </c>
      <c r="D1824" s="4" t="s">
        <v>5607</v>
      </c>
      <c r="E1824" s="1" t="s">
        <v>71</v>
      </c>
      <c r="F1824" s="1" t="s">
        <v>5441</v>
      </c>
      <c r="G1824" s="1" t="s">
        <v>752</v>
      </c>
      <c r="H1824" s="1" t="s">
        <v>5608</v>
      </c>
      <c r="I1824" s="1" t="str">
        <f t="shared" si="1"/>
        <v>19</v>
      </c>
      <c r="J1824" s="5"/>
      <c r="K1824" s="1" t="str">
        <f t="shared" si="2"/>
        <v>11</v>
      </c>
      <c r="L1824" s="5"/>
      <c r="M1824" s="2" t="str">
        <f t="shared" si="3"/>
        <v>1392</v>
      </c>
      <c r="N1824" s="1"/>
      <c r="O1824" s="13">
        <v>583.0</v>
      </c>
      <c r="P1824" s="5"/>
      <c r="Q1824" s="5"/>
      <c r="R1824" s="6" t="s">
        <v>5608</v>
      </c>
      <c r="S1824" s="5"/>
      <c r="T1824" s="1" t="str">
        <f>IFERROR(__xludf.DUMMYFUNCTION("INDEX(SPLIT(A1824, ""/""), 2)"),"کانون‌های فرهنگی هنری")</f>
        <v>کانون‌های فرهنگی هنری</v>
      </c>
      <c r="U1824" s="1" t="str">
        <f>IFERROR(__xludf.DUMMYFUNCTION("INDEX(SPLIT(A1824, ""/""), 3)"),"روزنامه شریف")</f>
        <v>روزنامه شریف</v>
      </c>
      <c r="V1824" s="1" t="str">
        <f>IFERROR(__xludf.DUMMYFUNCTION("INDEX(SPLIT(A1824, ""/""), 4)"),"#REF!")</f>
        <v>#REF!</v>
      </c>
    </row>
    <row r="1825">
      <c r="A1825" s="1" t="s">
        <v>4070</v>
      </c>
      <c r="B1825" s="1" t="s">
        <v>5609</v>
      </c>
      <c r="C1825" s="1" t="s">
        <v>21</v>
      </c>
      <c r="D1825" s="4" t="s">
        <v>5610</v>
      </c>
      <c r="E1825" s="1" t="s">
        <v>71</v>
      </c>
      <c r="F1825" s="1" t="s">
        <v>5441</v>
      </c>
      <c r="G1825" s="1" t="s">
        <v>752</v>
      </c>
      <c r="H1825" s="1" t="s">
        <v>5611</v>
      </c>
      <c r="I1825" s="1" t="str">
        <f t="shared" si="1"/>
        <v>26</v>
      </c>
      <c r="J1825" s="5"/>
      <c r="K1825" s="1" t="str">
        <f t="shared" si="2"/>
        <v>11</v>
      </c>
      <c r="L1825" s="5"/>
      <c r="M1825" s="2" t="str">
        <f t="shared" si="3"/>
        <v>1392</v>
      </c>
      <c r="N1825" s="1"/>
      <c r="O1825" s="13">
        <v>584.0</v>
      </c>
      <c r="P1825" s="5"/>
      <c r="Q1825" s="5"/>
      <c r="R1825" s="6" t="s">
        <v>5611</v>
      </c>
      <c r="S1825" s="5"/>
      <c r="T1825" s="1" t="str">
        <f>IFERROR(__xludf.DUMMYFUNCTION("INDEX(SPLIT(A1825, ""/""), 2)"),"کانون‌های فرهنگی هنری")</f>
        <v>کانون‌های فرهنگی هنری</v>
      </c>
      <c r="U1825" s="1" t="str">
        <f>IFERROR(__xludf.DUMMYFUNCTION("INDEX(SPLIT(A1825, ""/""), 3)"),"روزنامه شریف")</f>
        <v>روزنامه شریف</v>
      </c>
      <c r="V1825" s="1" t="str">
        <f>IFERROR(__xludf.DUMMYFUNCTION("INDEX(SPLIT(A1825, ""/""), 4)"),"#REF!")</f>
        <v>#REF!</v>
      </c>
    </row>
    <row r="1826">
      <c r="A1826" s="1" t="s">
        <v>4070</v>
      </c>
      <c r="B1826" s="1" t="s">
        <v>5612</v>
      </c>
      <c r="C1826" s="1" t="s">
        <v>21</v>
      </c>
      <c r="D1826" s="4" t="s">
        <v>5613</v>
      </c>
      <c r="E1826" s="1" t="s">
        <v>71</v>
      </c>
      <c r="F1826" s="1" t="s">
        <v>5441</v>
      </c>
      <c r="G1826" s="1" t="s">
        <v>752</v>
      </c>
      <c r="H1826" s="1" t="s">
        <v>5614</v>
      </c>
      <c r="I1826" s="1" t="str">
        <f t="shared" si="1"/>
        <v>29</v>
      </c>
      <c r="J1826" s="5"/>
      <c r="K1826" s="1" t="str">
        <f t="shared" si="2"/>
        <v>11</v>
      </c>
      <c r="L1826" s="5"/>
      <c r="M1826" s="2" t="str">
        <f t="shared" si="3"/>
        <v>1392</v>
      </c>
      <c r="N1826" s="1"/>
      <c r="O1826" s="13">
        <v>585.0</v>
      </c>
      <c r="P1826" s="5"/>
      <c r="Q1826" s="5"/>
      <c r="R1826" s="6" t="s">
        <v>5614</v>
      </c>
      <c r="S1826" s="5"/>
      <c r="T1826" s="1" t="str">
        <f>IFERROR(__xludf.DUMMYFUNCTION("INDEX(SPLIT(A1826, ""/""), 2)"),"کانون‌های فرهنگی هنری")</f>
        <v>کانون‌های فرهنگی هنری</v>
      </c>
      <c r="U1826" s="1" t="str">
        <f>IFERROR(__xludf.DUMMYFUNCTION("INDEX(SPLIT(A1826, ""/""), 3)"),"روزنامه شریف")</f>
        <v>روزنامه شریف</v>
      </c>
      <c r="V1826" s="1" t="str">
        <f>IFERROR(__xludf.DUMMYFUNCTION("INDEX(SPLIT(A1826, ""/""), 4)"),"#REF!")</f>
        <v>#REF!</v>
      </c>
    </row>
    <row r="1827">
      <c r="A1827" s="1" t="s">
        <v>4070</v>
      </c>
      <c r="B1827" s="1" t="s">
        <v>5615</v>
      </c>
      <c r="C1827" s="1" t="s">
        <v>21</v>
      </c>
      <c r="D1827" s="4" t="s">
        <v>5616</v>
      </c>
      <c r="E1827" s="1" t="s">
        <v>71</v>
      </c>
      <c r="F1827" s="1" t="s">
        <v>5441</v>
      </c>
      <c r="G1827" s="1" t="s">
        <v>752</v>
      </c>
      <c r="H1827" s="7" t="s">
        <v>5617</v>
      </c>
      <c r="I1827" s="1" t="str">
        <f t="shared" si="1"/>
        <v>3</v>
      </c>
      <c r="J1827" s="5"/>
      <c r="K1827" s="1" t="str">
        <f t="shared" si="2"/>
        <v>12</v>
      </c>
      <c r="L1827" s="5"/>
      <c r="M1827" s="2" t="str">
        <f t="shared" si="3"/>
        <v>1392</v>
      </c>
      <c r="N1827" s="1"/>
      <c r="O1827" s="13">
        <v>586.0</v>
      </c>
      <c r="P1827" s="5"/>
      <c r="Q1827" s="5"/>
      <c r="R1827" s="8" t="s">
        <v>5617</v>
      </c>
      <c r="S1827" s="5"/>
      <c r="T1827" s="1" t="str">
        <f>IFERROR(__xludf.DUMMYFUNCTION("INDEX(SPLIT(A1827, ""/""), 2)"),"کانون‌های فرهنگی هنری")</f>
        <v>کانون‌های فرهنگی هنری</v>
      </c>
      <c r="U1827" s="1" t="str">
        <f>IFERROR(__xludf.DUMMYFUNCTION("INDEX(SPLIT(A1827, ""/""), 3)"),"روزنامه شریف")</f>
        <v>روزنامه شریف</v>
      </c>
      <c r="V1827" s="1" t="str">
        <f>IFERROR(__xludf.DUMMYFUNCTION("INDEX(SPLIT(A1827, ""/""), 4)"),"#REF!")</f>
        <v>#REF!</v>
      </c>
    </row>
    <row r="1828">
      <c r="A1828" s="1" t="s">
        <v>4070</v>
      </c>
      <c r="B1828" s="1" t="s">
        <v>5618</v>
      </c>
      <c r="C1828" s="1" t="s">
        <v>21</v>
      </c>
      <c r="D1828" s="4" t="s">
        <v>5619</v>
      </c>
      <c r="E1828" s="1" t="s">
        <v>71</v>
      </c>
      <c r="F1828" s="1" t="s">
        <v>5441</v>
      </c>
      <c r="G1828" s="1" t="s">
        <v>752</v>
      </c>
      <c r="H1828" s="7" t="s">
        <v>5620</v>
      </c>
      <c r="I1828" s="1" t="str">
        <f t="shared" si="1"/>
        <v>6</v>
      </c>
      <c r="J1828" s="5"/>
      <c r="K1828" s="1" t="str">
        <f t="shared" si="2"/>
        <v>12</v>
      </c>
      <c r="L1828" s="5"/>
      <c r="M1828" s="2" t="str">
        <f t="shared" si="3"/>
        <v>1392</v>
      </c>
      <c r="N1828" s="1"/>
      <c r="O1828" s="13">
        <v>587.0</v>
      </c>
      <c r="P1828" s="5"/>
      <c r="Q1828" s="5"/>
      <c r="R1828" s="8" t="s">
        <v>5620</v>
      </c>
      <c r="S1828" s="5"/>
      <c r="T1828" s="1" t="str">
        <f>IFERROR(__xludf.DUMMYFUNCTION("INDEX(SPLIT(A1828, ""/""), 2)"),"کانون‌های فرهنگی هنری")</f>
        <v>کانون‌های فرهنگی هنری</v>
      </c>
      <c r="U1828" s="1" t="str">
        <f>IFERROR(__xludf.DUMMYFUNCTION("INDEX(SPLIT(A1828, ""/""), 3)"),"روزنامه شریف")</f>
        <v>روزنامه شریف</v>
      </c>
      <c r="V1828" s="1" t="str">
        <f>IFERROR(__xludf.DUMMYFUNCTION("INDEX(SPLIT(A1828, ""/""), 4)"),"#REF!")</f>
        <v>#REF!</v>
      </c>
    </row>
    <row r="1829">
      <c r="A1829" s="1" t="s">
        <v>4070</v>
      </c>
      <c r="B1829" s="1" t="s">
        <v>5621</v>
      </c>
      <c r="C1829" s="1" t="s">
        <v>21</v>
      </c>
      <c r="D1829" s="4" t="s">
        <v>5622</v>
      </c>
      <c r="E1829" s="1" t="s">
        <v>71</v>
      </c>
      <c r="F1829" s="1" t="s">
        <v>5441</v>
      </c>
      <c r="G1829" s="1" t="s">
        <v>752</v>
      </c>
      <c r="H1829" s="7" t="s">
        <v>5623</v>
      </c>
      <c r="I1829" s="1" t="str">
        <f t="shared" si="1"/>
        <v>10</v>
      </c>
      <c r="J1829" s="5"/>
      <c r="K1829" s="1" t="str">
        <f t="shared" si="2"/>
        <v>12</v>
      </c>
      <c r="L1829" s="5"/>
      <c r="M1829" s="2" t="str">
        <f t="shared" si="3"/>
        <v>1392</v>
      </c>
      <c r="N1829" s="1"/>
      <c r="O1829" s="13">
        <v>588.0</v>
      </c>
      <c r="P1829" s="5"/>
      <c r="Q1829" s="5"/>
      <c r="R1829" s="8" t="s">
        <v>5623</v>
      </c>
      <c r="S1829" s="5"/>
      <c r="T1829" s="1" t="str">
        <f>IFERROR(__xludf.DUMMYFUNCTION("INDEX(SPLIT(A1829, ""/""), 2)"),"کانون‌های فرهنگی هنری")</f>
        <v>کانون‌های فرهنگی هنری</v>
      </c>
      <c r="U1829" s="1" t="str">
        <f>IFERROR(__xludf.DUMMYFUNCTION("INDEX(SPLIT(A1829, ""/""), 3)"),"روزنامه شریف")</f>
        <v>روزنامه شریف</v>
      </c>
      <c r="V1829" s="1" t="str">
        <f>IFERROR(__xludf.DUMMYFUNCTION("INDEX(SPLIT(A1829, ""/""), 4)"),"#REF!")</f>
        <v>#REF!</v>
      </c>
    </row>
    <row r="1830">
      <c r="A1830" s="1" t="s">
        <v>4070</v>
      </c>
      <c r="B1830" s="1" t="s">
        <v>5624</v>
      </c>
      <c r="C1830" s="1" t="s">
        <v>21</v>
      </c>
      <c r="D1830" s="4" t="s">
        <v>5625</v>
      </c>
      <c r="E1830" s="1" t="s">
        <v>71</v>
      </c>
      <c r="F1830" s="1" t="s">
        <v>5441</v>
      </c>
      <c r="G1830" s="1" t="s">
        <v>752</v>
      </c>
      <c r="H1830" s="1" t="s">
        <v>5626</v>
      </c>
      <c r="I1830" s="1" t="str">
        <f t="shared" si="1"/>
        <v>13</v>
      </c>
      <c r="J1830" s="5"/>
      <c r="K1830" s="1" t="str">
        <f t="shared" si="2"/>
        <v>12</v>
      </c>
      <c r="L1830" s="5"/>
      <c r="M1830" s="2" t="str">
        <f t="shared" si="3"/>
        <v>1392</v>
      </c>
      <c r="N1830" s="5"/>
      <c r="O1830" s="13">
        <v>589.0</v>
      </c>
      <c r="P1830" s="5"/>
      <c r="Q1830" s="5"/>
      <c r="R1830" s="6" t="s">
        <v>5626</v>
      </c>
      <c r="S1830" s="5"/>
      <c r="T1830" s="1" t="str">
        <f>IFERROR(__xludf.DUMMYFUNCTION("INDEX(SPLIT(A1830, ""/""), 2)"),"کانون‌های فرهنگی هنری")</f>
        <v>کانون‌های فرهنگی هنری</v>
      </c>
      <c r="U1830" s="1" t="str">
        <f>IFERROR(__xludf.DUMMYFUNCTION("INDEX(SPLIT(A1830, ""/""), 3)"),"روزنامه شریف")</f>
        <v>روزنامه شریف</v>
      </c>
      <c r="V1830" s="1" t="str">
        <f>IFERROR(__xludf.DUMMYFUNCTION("INDEX(SPLIT(A1830, ""/""), 4)"),"#REF!")</f>
        <v>#REF!</v>
      </c>
    </row>
    <row r="1831">
      <c r="A1831" s="1" t="s">
        <v>4070</v>
      </c>
      <c r="B1831" s="1" t="s">
        <v>5627</v>
      </c>
      <c r="C1831" s="1" t="s">
        <v>21</v>
      </c>
      <c r="D1831" s="4" t="s">
        <v>5628</v>
      </c>
      <c r="E1831" s="1" t="s">
        <v>71</v>
      </c>
      <c r="F1831" s="1" t="s">
        <v>5441</v>
      </c>
      <c r="G1831" s="1" t="s">
        <v>752</v>
      </c>
      <c r="H1831" s="1" t="s">
        <v>5629</v>
      </c>
      <c r="I1831" s="1" t="str">
        <f t="shared" si="1"/>
        <v>17</v>
      </c>
      <c r="J1831" s="5"/>
      <c r="K1831" s="1" t="str">
        <f t="shared" si="2"/>
        <v>12</v>
      </c>
      <c r="L1831" s="5"/>
      <c r="M1831" s="2" t="str">
        <f t="shared" si="3"/>
        <v>1392</v>
      </c>
      <c r="N1831" s="5"/>
      <c r="O1831" s="13">
        <v>590.0</v>
      </c>
      <c r="P1831" s="5"/>
      <c r="Q1831" s="5"/>
      <c r="R1831" s="6" t="s">
        <v>5629</v>
      </c>
      <c r="S1831" s="5"/>
      <c r="T1831" s="1" t="str">
        <f>IFERROR(__xludf.DUMMYFUNCTION("INDEX(SPLIT(A1831, ""/""), 2)"),"کانون‌های فرهنگی هنری")</f>
        <v>کانون‌های فرهنگی هنری</v>
      </c>
      <c r="U1831" s="1" t="str">
        <f>IFERROR(__xludf.DUMMYFUNCTION("INDEX(SPLIT(A1831, ""/""), 3)"),"روزنامه شریف")</f>
        <v>روزنامه شریف</v>
      </c>
      <c r="V1831" s="1" t="str">
        <f>IFERROR(__xludf.DUMMYFUNCTION("INDEX(SPLIT(A1831, ""/""), 4)"),"#REF!")</f>
        <v>#REF!</v>
      </c>
    </row>
    <row r="1832">
      <c r="A1832" s="1" t="s">
        <v>4070</v>
      </c>
      <c r="B1832" s="1" t="s">
        <v>5630</v>
      </c>
      <c r="C1832" s="1" t="s">
        <v>21</v>
      </c>
      <c r="D1832" s="4" t="s">
        <v>5631</v>
      </c>
      <c r="E1832" s="1" t="s">
        <v>71</v>
      </c>
      <c r="F1832" s="1" t="s">
        <v>5441</v>
      </c>
      <c r="G1832" s="1" t="s">
        <v>752</v>
      </c>
      <c r="H1832" s="1" t="s">
        <v>5632</v>
      </c>
      <c r="I1832" s="1" t="str">
        <f t="shared" si="1"/>
        <v>20</v>
      </c>
      <c r="J1832" s="5"/>
      <c r="K1832" s="1" t="str">
        <f t="shared" si="2"/>
        <v>12</v>
      </c>
      <c r="L1832" s="5"/>
      <c r="M1832" s="2" t="str">
        <f t="shared" si="3"/>
        <v>1392</v>
      </c>
      <c r="N1832" s="5"/>
      <c r="O1832" s="13">
        <v>591.0</v>
      </c>
      <c r="P1832" s="5"/>
      <c r="Q1832" s="5"/>
      <c r="R1832" s="6" t="s">
        <v>5632</v>
      </c>
      <c r="S1832" s="5"/>
      <c r="T1832" s="1" t="str">
        <f>IFERROR(__xludf.DUMMYFUNCTION("INDEX(SPLIT(A1832, ""/""), 2)"),"کانون‌های فرهنگی هنری")</f>
        <v>کانون‌های فرهنگی هنری</v>
      </c>
      <c r="U1832" s="1" t="str">
        <f>IFERROR(__xludf.DUMMYFUNCTION("INDEX(SPLIT(A1832, ""/""), 3)"),"روزنامه شریف")</f>
        <v>روزنامه شریف</v>
      </c>
      <c r="V1832" s="1" t="str">
        <f>IFERROR(__xludf.DUMMYFUNCTION("INDEX(SPLIT(A1832, ""/""), 4)"),"#REF!")</f>
        <v>#REF!</v>
      </c>
    </row>
    <row r="1833">
      <c r="A1833" s="1" t="s">
        <v>4070</v>
      </c>
      <c r="B1833" s="1" t="s">
        <v>5633</v>
      </c>
      <c r="C1833" s="1" t="s">
        <v>21</v>
      </c>
      <c r="D1833" s="4" t="s">
        <v>5634</v>
      </c>
      <c r="E1833" s="1" t="s">
        <v>71</v>
      </c>
      <c r="F1833" s="1" t="s">
        <v>5441</v>
      </c>
      <c r="G1833" s="1" t="s">
        <v>752</v>
      </c>
      <c r="H1833" s="1" t="s">
        <v>5635</v>
      </c>
      <c r="I1833" s="1" t="str">
        <f t="shared" si="1"/>
        <v>16</v>
      </c>
      <c r="J1833" s="5"/>
      <c r="K1833" s="1" t="str">
        <f t="shared" si="2"/>
        <v>1</v>
      </c>
      <c r="L1833" s="5"/>
      <c r="M1833" s="2" t="str">
        <f t="shared" si="3"/>
        <v>1393</v>
      </c>
      <c r="N1833" s="5"/>
      <c r="O1833" s="13">
        <v>592.0</v>
      </c>
      <c r="P1833" s="5"/>
      <c r="Q1833" s="5"/>
      <c r="R1833" s="6" t="s">
        <v>5635</v>
      </c>
      <c r="S1833" s="5"/>
      <c r="T1833" s="1" t="str">
        <f>IFERROR(__xludf.DUMMYFUNCTION("INDEX(SPLIT(A1833, ""/""), 2)"),"کانون‌های فرهنگی هنری")</f>
        <v>کانون‌های فرهنگی هنری</v>
      </c>
      <c r="U1833" s="1" t="str">
        <f>IFERROR(__xludf.DUMMYFUNCTION("INDEX(SPLIT(A1833, ""/""), 3)"),"روزنامه شریف")</f>
        <v>روزنامه شریف</v>
      </c>
      <c r="V1833" s="1" t="str">
        <f>IFERROR(__xludf.DUMMYFUNCTION("INDEX(SPLIT(A1833, ""/""), 4)"),"#REF!")</f>
        <v>#REF!</v>
      </c>
    </row>
    <row r="1834">
      <c r="A1834" s="1" t="s">
        <v>4070</v>
      </c>
      <c r="B1834" s="1" t="s">
        <v>5636</v>
      </c>
      <c r="C1834" s="1" t="s">
        <v>21</v>
      </c>
      <c r="D1834" s="4" t="s">
        <v>5637</v>
      </c>
      <c r="E1834" s="1" t="s">
        <v>71</v>
      </c>
      <c r="F1834" s="1" t="s">
        <v>5441</v>
      </c>
      <c r="G1834" s="1" t="s">
        <v>752</v>
      </c>
      <c r="H1834" s="1" t="s">
        <v>5638</v>
      </c>
      <c r="I1834" s="1" t="str">
        <f t="shared" si="1"/>
        <v>19</v>
      </c>
      <c r="J1834" s="5"/>
      <c r="K1834" s="1" t="str">
        <f t="shared" si="2"/>
        <v>1</v>
      </c>
      <c r="L1834" s="5"/>
      <c r="M1834" s="2" t="str">
        <f t="shared" si="3"/>
        <v>1393</v>
      </c>
      <c r="N1834" s="1"/>
      <c r="O1834" s="13">
        <v>593.0</v>
      </c>
      <c r="P1834" s="5"/>
      <c r="Q1834" s="5"/>
      <c r="R1834" s="6" t="s">
        <v>5638</v>
      </c>
      <c r="S1834" s="5"/>
      <c r="T1834" s="1" t="str">
        <f>IFERROR(__xludf.DUMMYFUNCTION("INDEX(SPLIT(A1834, ""/""), 2)"),"کانون‌های فرهنگی هنری")</f>
        <v>کانون‌های فرهنگی هنری</v>
      </c>
      <c r="U1834" s="1" t="str">
        <f>IFERROR(__xludf.DUMMYFUNCTION("INDEX(SPLIT(A1834, ""/""), 3)"),"روزنامه شریف")</f>
        <v>روزنامه شریف</v>
      </c>
      <c r="V1834" s="1" t="str">
        <f>IFERROR(__xludf.DUMMYFUNCTION("INDEX(SPLIT(A1834, ""/""), 4)"),"#REF!")</f>
        <v>#REF!</v>
      </c>
    </row>
    <row r="1835">
      <c r="A1835" s="1" t="s">
        <v>4070</v>
      </c>
      <c r="B1835" s="1" t="s">
        <v>5639</v>
      </c>
      <c r="C1835" s="1" t="s">
        <v>21</v>
      </c>
      <c r="D1835" s="4" t="s">
        <v>5640</v>
      </c>
      <c r="E1835" s="1" t="s">
        <v>71</v>
      </c>
      <c r="F1835" s="1" t="s">
        <v>5441</v>
      </c>
      <c r="G1835" s="1" t="s">
        <v>752</v>
      </c>
      <c r="H1835" s="1" t="s">
        <v>5641</v>
      </c>
      <c r="I1835" s="1" t="str">
        <f t="shared" si="1"/>
        <v>23</v>
      </c>
      <c r="J1835" s="5"/>
      <c r="K1835" s="1" t="str">
        <f t="shared" si="2"/>
        <v>1</v>
      </c>
      <c r="L1835" s="5"/>
      <c r="M1835" s="2" t="str">
        <f t="shared" si="3"/>
        <v>1393</v>
      </c>
      <c r="N1835" s="5"/>
      <c r="O1835" s="13">
        <v>594.0</v>
      </c>
      <c r="P1835" s="5"/>
      <c r="Q1835" s="5"/>
      <c r="R1835" s="6" t="s">
        <v>5641</v>
      </c>
      <c r="S1835" s="5"/>
      <c r="T1835" s="1" t="str">
        <f>IFERROR(__xludf.DUMMYFUNCTION("INDEX(SPLIT(A1835, ""/""), 2)"),"کانون‌های فرهنگی هنری")</f>
        <v>کانون‌های فرهنگی هنری</v>
      </c>
      <c r="U1835" s="1" t="str">
        <f>IFERROR(__xludf.DUMMYFUNCTION("INDEX(SPLIT(A1835, ""/""), 3)"),"روزنامه شریف")</f>
        <v>روزنامه شریف</v>
      </c>
      <c r="V1835" s="1" t="str">
        <f>IFERROR(__xludf.DUMMYFUNCTION("INDEX(SPLIT(A1835, ""/""), 4)"),"#REF!")</f>
        <v>#REF!</v>
      </c>
    </row>
    <row r="1836">
      <c r="A1836" s="1" t="s">
        <v>4070</v>
      </c>
      <c r="B1836" s="1" t="s">
        <v>5642</v>
      </c>
      <c r="C1836" s="1" t="s">
        <v>21</v>
      </c>
      <c r="D1836" s="4" t="s">
        <v>5643</v>
      </c>
      <c r="E1836" s="1" t="s">
        <v>71</v>
      </c>
      <c r="F1836" s="1" t="s">
        <v>5441</v>
      </c>
      <c r="G1836" s="1" t="s">
        <v>752</v>
      </c>
      <c r="H1836" s="1" t="s">
        <v>3091</v>
      </c>
      <c r="I1836" s="1" t="str">
        <f t="shared" si="1"/>
        <v>26</v>
      </c>
      <c r="J1836" s="5"/>
      <c r="K1836" s="1" t="str">
        <f t="shared" si="2"/>
        <v>1</v>
      </c>
      <c r="L1836" s="5"/>
      <c r="M1836" s="2" t="str">
        <f t="shared" si="3"/>
        <v>1393</v>
      </c>
      <c r="N1836" s="1"/>
      <c r="O1836" s="13">
        <v>595.0</v>
      </c>
      <c r="P1836" s="5"/>
      <c r="Q1836" s="5"/>
      <c r="R1836" s="6" t="s">
        <v>3091</v>
      </c>
      <c r="S1836" s="5"/>
      <c r="T1836" s="1" t="str">
        <f>IFERROR(__xludf.DUMMYFUNCTION("INDEX(SPLIT(A1836, ""/""), 2)"),"کانون‌های فرهنگی هنری")</f>
        <v>کانون‌های فرهنگی هنری</v>
      </c>
      <c r="U1836" s="1" t="str">
        <f>IFERROR(__xludf.DUMMYFUNCTION("INDEX(SPLIT(A1836, ""/""), 3)"),"روزنامه شریف")</f>
        <v>روزنامه شریف</v>
      </c>
      <c r="V1836" s="1" t="str">
        <f>IFERROR(__xludf.DUMMYFUNCTION("INDEX(SPLIT(A1836, ""/""), 4)"),"#REF!")</f>
        <v>#REF!</v>
      </c>
    </row>
    <row r="1837">
      <c r="A1837" s="1" t="s">
        <v>4070</v>
      </c>
      <c r="B1837" s="1" t="s">
        <v>5644</v>
      </c>
      <c r="C1837" s="1" t="s">
        <v>21</v>
      </c>
      <c r="D1837" s="4" t="s">
        <v>5645</v>
      </c>
      <c r="E1837" s="1" t="s">
        <v>71</v>
      </c>
      <c r="F1837" s="1" t="s">
        <v>5441</v>
      </c>
      <c r="G1837" s="1" t="s">
        <v>752</v>
      </c>
      <c r="H1837" s="1" t="s">
        <v>5646</v>
      </c>
      <c r="I1837" s="1" t="str">
        <f t="shared" si="1"/>
        <v>30</v>
      </c>
      <c r="J1837" s="5"/>
      <c r="K1837" s="1" t="str">
        <f t="shared" si="2"/>
        <v>1</v>
      </c>
      <c r="L1837" s="5"/>
      <c r="M1837" s="2" t="str">
        <f t="shared" si="3"/>
        <v>1393</v>
      </c>
      <c r="N1837" s="5"/>
      <c r="O1837" s="13">
        <v>596.0</v>
      </c>
      <c r="P1837" s="5"/>
      <c r="Q1837" s="5"/>
      <c r="R1837" s="6" t="s">
        <v>5646</v>
      </c>
      <c r="S1837" s="5"/>
      <c r="T1837" s="1" t="str">
        <f>IFERROR(__xludf.DUMMYFUNCTION("INDEX(SPLIT(A1837, ""/""), 2)"),"کانون‌های فرهنگی هنری")</f>
        <v>کانون‌های فرهنگی هنری</v>
      </c>
      <c r="U1837" s="1" t="str">
        <f>IFERROR(__xludf.DUMMYFUNCTION("INDEX(SPLIT(A1837, ""/""), 3)"),"روزنامه شریف")</f>
        <v>روزنامه شریف</v>
      </c>
      <c r="V1837" s="1" t="str">
        <f>IFERROR(__xludf.DUMMYFUNCTION("INDEX(SPLIT(A1837, ""/""), 4)"),"#REF!")</f>
        <v>#REF!</v>
      </c>
    </row>
    <row r="1838">
      <c r="A1838" s="1" t="s">
        <v>4070</v>
      </c>
      <c r="B1838" s="1" t="s">
        <v>5647</v>
      </c>
      <c r="C1838" s="1" t="s">
        <v>21</v>
      </c>
      <c r="D1838" s="4" t="s">
        <v>5648</v>
      </c>
      <c r="E1838" s="1" t="s">
        <v>71</v>
      </c>
      <c r="F1838" s="1" t="s">
        <v>5441</v>
      </c>
      <c r="G1838" s="1" t="s">
        <v>752</v>
      </c>
      <c r="H1838" s="7" t="s">
        <v>5649</v>
      </c>
      <c r="I1838" s="1" t="str">
        <f t="shared" si="1"/>
        <v>2</v>
      </c>
      <c r="J1838" s="5"/>
      <c r="K1838" s="1" t="str">
        <f t="shared" si="2"/>
        <v>2</v>
      </c>
      <c r="L1838" s="5"/>
      <c r="M1838" s="2" t="str">
        <f t="shared" si="3"/>
        <v>1393</v>
      </c>
      <c r="N1838" s="1"/>
      <c r="O1838" s="13">
        <v>597.0</v>
      </c>
      <c r="P1838" s="5"/>
      <c r="Q1838" s="5"/>
      <c r="R1838" s="8" t="s">
        <v>5649</v>
      </c>
      <c r="S1838" s="5"/>
      <c r="T1838" s="1" t="str">
        <f>IFERROR(__xludf.DUMMYFUNCTION("INDEX(SPLIT(A1838, ""/""), 2)"),"کانون‌های فرهنگی هنری")</f>
        <v>کانون‌های فرهنگی هنری</v>
      </c>
      <c r="U1838" s="1" t="str">
        <f>IFERROR(__xludf.DUMMYFUNCTION("INDEX(SPLIT(A1838, ""/""), 3)"),"روزنامه شریف")</f>
        <v>روزنامه شریف</v>
      </c>
      <c r="V1838" s="1" t="str">
        <f>IFERROR(__xludf.DUMMYFUNCTION("INDEX(SPLIT(A1838, ""/""), 4)"),"#REF!")</f>
        <v>#REF!</v>
      </c>
    </row>
    <row r="1839">
      <c r="A1839" s="1" t="s">
        <v>4070</v>
      </c>
      <c r="B1839" s="1" t="s">
        <v>5650</v>
      </c>
      <c r="C1839" s="1" t="s">
        <v>21</v>
      </c>
      <c r="D1839" s="4" t="s">
        <v>5651</v>
      </c>
      <c r="E1839" s="1" t="s">
        <v>71</v>
      </c>
      <c r="F1839" s="1" t="s">
        <v>5441</v>
      </c>
      <c r="G1839" s="1" t="s">
        <v>752</v>
      </c>
      <c r="H1839" s="7" t="s">
        <v>5652</v>
      </c>
      <c r="I1839" s="1" t="str">
        <f t="shared" si="1"/>
        <v>6</v>
      </c>
      <c r="J1839" s="5"/>
      <c r="K1839" s="1" t="str">
        <f t="shared" si="2"/>
        <v>2</v>
      </c>
      <c r="L1839" s="5"/>
      <c r="M1839" s="2" t="str">
        <f t="shared" si="3"/>
        <v>1393</v>
      </c>
      <c r="N1839" s="1"/>
      <c r="O1839" s="13">
        <v>598.0</v>
      </c>
      <c r="P1839" s="5"/>
      <c r="Q1839" s="5"/>
      <c r="R1839" s="8" t="s">
        <v>5652</v>
      </c>
      <c r="S1839" s="5"/>
      <c r="T1839" s="1" t="str">
        <f>IFERROR(__xludf.DUMMYFUNCTION("INDEX(SPLIT(A1839, ""/""), 2)"),"کانون‌های فرهنگی هنری")</f>
        <v>کانون‌های فرهنگی هنری</v>
      </c>
      <c r="U1839" s="1" t="str">
        <f>IFERROR(__xludf.DUMMYFUNCTION("INDEX(SPLIT(A1839, ""/""), 3)"),"روزنامه شریف")</f>
        <v>روزنامه شریف</v>
      </c>
      <c r="V1839" s="1" t="str">
        <f>IFERROR(__xludf.DUMMYFUNCTION("INDEX(SPLIT(A1839, ""/""), 4)"),"#REF!")</f>
        <v>#REF!</v>
      </c>
    </row>
    <row r="1840">
      <c r="A1840" s="1" t="s">
        <v>4070</v>
      </c>
      <c r="B1840" s="1" t="s">
        <v>5653</v>
      </c>
      <c r="C1840" s="1" t="s">
        <v>21</v>
      </c>
      <c r="D1840" s="4" t="s">
        <v>5654</v>
      </c>
      <c r="E1840" s="1" t="s">
        <v>71</v>
      </c>
      <c r="F1840" s="1" t="s">
        <v>5441</v>
      </c>
      <c r="G1840" s="1" t="s">
        <v>752</v>
      </c>
      <c r="H1840" s="7" t="s">
        <v>5655</v>
      </c>
      <c r="I1840" s="1" t="str">
        <f t="shared" si="1"/>
        <v>9</v>
      </c>
      <c r="J1840" s="5"/>
      <c r="K1840" s="1" t="str">
        <f t="shared" si="2"/>
        <v>2</v>
      </c>
      <c r="L1840" s="5"/>
      <c r="M1840" s="2" t="str">
        <f t="shared" si="3"/>
        <v>1393</v>
      </c>
      <c r="N1840" s="1"/>
      <c r="O1840" s="13">
        <v>599.0</v>
      </c>
      <c r="P1840" s="5"/>
      <c r="Q1840" s="5"/>
      <c r="R1840" s="8" t="s">
        <v>5655</v>
      </c>
      <c r="S1840" s="5"/>
      <c r="T1840" s="1" t="str">
        <f>IFERROR(__xludf.DUMMYFUNCTION("INDEX(SPLIT(A1840, ""/""), 2)"),"کانون‌های فرهنگی هنری")</f>
        <v>کانون‌های فرهنگی هنری</v>
      </c>
      <c r="U1840" s="1" t="str">
        <f>IFERROR(__xludf.DUMMYFUNCTION("INDEX(SPLIT(A1840, ""/""), 3)"),"روزنامه شریف")</f>
        <v>روزنامه شریف</v>
      </c>
      <c r="V1840" s="1" t="str">
        <f>IFERROR(__xludf.DUMMYFUNCTION("INDEX(SPLIT(A1840, ""/""), 4)"),"#REF!")</f>
        <v>#REF!</v>
      </c>
    </row>
    <row r="1841">
      <c r="A1841" s="1" t="s">
        <v>4070</v>
      </c>
      <c r="B1841" s="1" t="s">
        <v>5656</v>
      </c>
      <c r="C1841" s="1" t="s">
        <v>21</v>
      </c>
      <c r="D1841" s="4" t="s">
        <v>5657</v>
      </c>
      <c r="E1841" s="1" t="s">
        <v>71</v>
      </c>
      <c r="F1841" s="1" t="s">
        <v>5441</v>
      </c>
      <c r="G1841" s="1" t="s">
        <v>752</v>
      </c>
      <c r="H1841" s="1" t="s">
        <v>5658</v>
      </c>
      <c r="I1841" s="1" t="str">
        <f t="shared" si="1"/>
        <v>13</v>
      </c>
      <c r="J1841" s="5"/>
      <c r="K1841" s="1" t="str">
        <f t="shared" si="2"/>
        <v>2</v>
      </c>
      <c r="L1841" s="5"/>
      <c r="M1841" s="2" t="str">
        <f t="shared" si="3"/>
        <v>1393</v>
      </c>
      <c r="N1841" s="1"/>
      <c r="O1841" s="13">
        <v>600.0</v>
      </c>
      <c r="P1841" s="5"/>
      <c r="Q1841" s="5"/>
      <c r="R1841" s="6" t="s">
        <v>5658</v>
      </c>
      <c r="S1841" s="5"/>
      <c r="T1841" s="1" t="str">
        <f>IFERROR(__xludf.DUMMYFUNCTION("INDEX(SPLIT(A1841, ""/""), 2)"),"کانون‌های فرهنگی هنری")</f>
        <v>کانون‌های فرهنگی هنری</v>
      </c>
      <c r="U1841" s="1" t="str">
        <f>IFERROR(__xludf.DUMMYFUNCTION("INDEX(SPLIT(A1841, ""/""), 3)"),"روزنامه شریف")</f>
        <v>روزنامه شریف</v>
      </c>
      <c r="V1841" s="1" t="str">
        <f>IFERROR(__xludf.DUMMYFUNCTION("INDEX(SPLIT(A1841, ""/""), 4)"),"#REF!")</f>
        <v>#REF!</v>
      </c>
    </row>
    <row r="1842">
      <c r="A1842" s="1" t="s">
        <v>4070</v>
      </c>
      <c r="B1842" s="1" t="s">
        <v>5659</v>
      </c>
      <c r="C1842" s="1" t="s">
        <v>21</v>
      </c>
      <c r="D1842" s="4" t="s">
        <v>5660</v>
      </c>
      <c r="E1842" s="1" t="s">
        <v>71</v>
      </c>
      <c r="F1842" s="1" t="s">
        <v>5441</v>
      </c>
      <c r="G1842" s="1" t="s">
        <v>752</v>
      </c>
      <c r="H1842" s="1" t="s">
        <v>5661</v>
      </c>
      <c r="I1842" s="1" t="str">
        <f t="shared" si="1"/>
        <v>16</v>
      </c>
      <c r="J1842" s="5"/>
      <c r="K1842" s="1" t="str">
        <f t="shared" si="2"/>
        <v>2</v>
      </c>
      <c r="L1842" s="5"/>
      <c r="M1842" s="2" t="str">
        <f t="shared" si="3"/>
        <v>1393</v>
      </c>
      <c r="N1842" s="1"/>
      <c r="O1842" s="13">
        <v>601.0</v>
      </c>
      <c r="P1842" s="5"/>
      <c r="Q1842" s="5"/>
      <c r="R1842" s="6" t="s">
        <v>5661</v>
      </c>
      <c r="S1842" s="5"/>
      <c r="T1842" s="1" t="str">
        <f>IFERROR(__xludf.DUMMYFUNCTION("INDEX(SPLIT(A1842, ""/""), 2)"),"کانون‌های فرهنگی هنری")</f>
        <v>کانون‌های فرهنگی هنری</v>
      </c>
      <c r="U1842" s="1" t="str">
        <f>IFERROR(__xludf.DUMMYFUNCTION("INDEX(SPLIT(A1842, ""/""), 3)"),"روزنامه شریف")</f>
        <v>روزنامه شریف</v>
      </c>
      <c r="V1842" s="1" t="str">
        <f>IFERROR(__xludf.DUMMYFUNCTION("INDEX(SPLIT(A1842, ""/""), 4)"),"#REF!")</f>
        <v>#REF!</v>
      </c>
    </row>
    <row r="1843">
      <c r="A1843" s="1" t="s">
        <v>4070</v>
      </c>
      <c r="B1843" s="1" t="s">
        <v>5662</v>
      </c>
      <c r="C1843" s="1" t="s">
        <v>21</v>
      </c>
      <c r="D1843" s="4" t="s">
        <v>5663</v>
      </c>
      <c r="E1843" s="1" t="s">
        <v>71</v>
      </c>
      <c r="F1843" s="1" t="s">
        <v>5441</v>
      </c>
      <c r="G1843" s="1" t="s">
        <v>752</v>
      </c>
      <c r="H1843" s="1" t="s">
        <v>5664</v>
      </c>
      <c r="I1843" s="1" t="str">
        <f t="shared" si="1"/>
        <v>20</v>
      </c>
      <c r="J1843" s="5"/>
      <c r="K1843" s="1" t="str">
        <f t="shared" si="2"/>
        <v>2</v>
      </c>
      <c r="L1843" s="5"/>
      <c r="M1843" s="2" t="str">
        <f t="shared" si="3"/>
        <v>1393</v>
      </c>
      <c r="N1843" s="5"/>
      <c r="O1843" s="13">
        <v>602.0</v>
      </c>
      <c r="P1843" s="5"/>
      <c r="Q1843" s="5"/>
      <c r="R1843" s="6" t="s">
        <v>5664</v>
      </c>
      <c r="S1843" s="5"/>
      <c r="T1843" s="1" t="str">
        <f>IFERROR(__xludf.DUMMYFUNCTION("INDEX(SPLIT(A1843, ""/""), 2)"),"کانون‌های فرهنگی هنری")</f>
        <v>کانون‌های فرهنگی هنری</v>
      </c>
      <c r="U1843" s="1" t="str">
        <f>IFERROR(__xludf.DUMMYFUNCTION("INDEX(SPLIT(A1843, ""/""), 3)"),"روزنامه شریف")</f>
        <v>روزنامه شریف</v>
      </c>
      <c r="V1843" s="1" t="str">
        <f>IFERROR(__xludf.DUMMYFUNCTION("INDEX(SPLIT(A1843, ""/""), 4)"),"#REF!")</f>
        <v>#REF!</v>
      </c>
    </row>
    <row r="1844">
      <c r="A1844" s="1" t="s">
        <v>4070</v>
      </c>
      <c r="B1844" s="1" t="s">
        <v>5665</v>
      </c>
      <c r="C1844" s="1" t="s">
        <v>21</v>
      </c>
      <c r="D1844" s="4" t="s">
        <v>5666</v>
      </c>
      <c r="E1844" s="1" t="s">
        <v>71</v>
      </c>
      <c r="F1844" s="1" t="s">
        <v>5441</v>
      </c>
      <c r="G1844" s="1" t="s">
        <v>752</v>
      </c>
      <c r="H1844" s="1" t="s">
        <v>5667</v>
      </c>
      <c r="I1844" s="1" t="str">
        <f t="shared" si="1"/>
        <v>27</v>
      </c>
      <c r="J1844" s="5"/>
      <c r="K1844" s="1" t="str">
        <f t="shared" si="2"/>
        <v>2</v>
      </c>
      <c r="L1844" s="5"/>
      <c r="M1844" s="2" t="str">
        <f t="shared" si="3"/>
        <v>1393</v>
      </c>
      <c r="N1844" s="5"/>
      <c r="O1844" s="13">
        <v>603.0</v>
      </c>
      <c r="P1844" s="5"/>
      <c r="Q1844" s="5"/>
      <c r="R1844" s="6" t="s">
        <v>5667</v>
      </c>
      <c r="S1844" s="5"/>
      <c r="T1844" s="1" t="str">
        <f>IFERROR(__xludf.DUMMYFUNCTION("INDEX(SPLIT(A1844, ""/""), 2)"),"کانون‌های فرهنگی هنری")</f>
        <v>کانون‌های فرهنگی هنری</v>
      </c>
      <c r="U1844" s="1" t="str">
        <f>IFERROR(__xludf.DUMMYFUNCTION("INDEX(SPLIT(A1844, ""/""), 3)"),"روزنامه شریف")</f>
        <v>روزنامه شریف</v>
      </c>
      <c r="V1844" s="1" t="str">
        <f>IFERROR(__xludf.DUMMYFUNCTION("INDEX(SPLIT(A1844, ""/""), 4)"),"#REF!")</f>
        <v>#REF!</v>
      </c>
    </row>
    <row r="1845">
      <c r="A1845" s="1" t="s">
        <v>4070</v>
      </c>
      <c r="B1845" s="1" t="s">
        <v>5668</v>
      </c>
      <c r="C1845" s="1" t="s">
        <v>21</v>
      </c>
      <c r="D1845" s="4" t="s">
        <v>5669</v>
      </c>
      <c r="E1845" s="1" t="s">
        <v>71</v>
      </c>
      <c r="F1845" s="1" t="s">
        <v>5441</v>
      </c>
      <c r="G1845" s="1" t="s">
        <v>752</v>
      </c>
      <c r="H1845" s="1" t="s">
        <v>5670</v>
      </c>
      <c r="I1845" s="1" t="str">
        <f t="shared" si="1"/>
        <v>30</v>
      </c>
      <c r="J1845" s="5"/>
      <c r="K1845" s="1" t="str">
        <f t="shared" si="2"/>
        <v>2</v>
      </c>
      <c r="L1845" s="5"/>
      <c r="M1845" s="2" t="str">
        <f t="shared" si="3"/>
        <v>1393</v>
      </c>
      <c r="N1845" s="1"/>
      <c r="O1845" s="13">
        <v>604.0</v>
      </c>
      <c r="P1845" s="5"/>
      <c r="Q1845" s="5"/>
      <c r="R1845" s="6" t="s">
        <v>5670</v>
      </c>
      <c r="S1845" s="5"/>
      <c r="T1845" s="1" t="str">
        <f>IFERROR(__xludf.DUMMYFUNCTION("INDEX(SPLIT(A1845, ""/""), 2)"),"کانون‌های فرهنگی هنری")</f>
        <v>کانون‌های فرهنگی هنری</v>
      </c>
      <c r="U1845" s="1" t="str">
        <f>IFERROR(__xludf.DUMMYFUNCTION("INDEX(SPLIT(A1845, ""/""), 3)"),"روزنامه شریف")</f>
        <v>روزنامه شریف</v>
      </c>
      <c r="V1845" s="1" t="str">
        <f>IFERROR(__xludf.DUMMYFUNCTION("INDEX(SPLIT(A1845, ""/""), 4)"),"#REF!")</f>
        <v>#REF!</v>
      </c>
    </row>
    <row r="1846">
      <c r="A1846" s="1" t="s">
        <v>4070</v>
      </c>
      <c r="B1846" s="1" t="s">
        <v>5671</v>
      </c>
      <c r="C1846" s="1" t="s">
        <v>21</v>
      </c>
      <c r="D1846" s="4" t="s">
        <v>5672</v>
      </c>
      <c r="E1846" s="1" t="s">
        <v>71</v>
      </c>
      <c r="F1846" s="1" t="s">
        <v>5441</v>
      </c>
      <c r="G1846" s="1" t="s">
        <v>752</v>
      </c>
      <c r="H1846" s="7" t="s">
        <v>5673</v>
      </c>
      <c r="I1846" s="1" t="str">
        <f t="shared" si="1"/>
        <v>3</v>
      </c>
      <c r="J1846" s="5"/>
      <c r="K1846" s="1" t="str">
        <f t="shared" si="2"/>
        <v>3</v>
      </c>
      <c r="L1846" s="5"/>
      <c r="M1846" s="2" t="str">
        <f t="shared" si="3"/>
        <v>1393</v>
      </c>
      <c r="N1846" s="5"/>
      <c r="O1846" s="13">
        <v>605.0</v>
      </c>
      <c r="P1846" s="5"/>
      <c r="Q1846" s="5"/>
      <c r="R1846" s="8" t="s">
        <v>5673</v>
      </c>
      <c r="S1846" s="5"/>
      <c r="T1846" s="1" t="str">
        <f>IFERROR(__xludf.DUMMYFUNCTION("INDEX(SPLIT(A1846, ""/""), 2)"),"کانون‌های فرهنگی هنری")</f>
        <v>کانون‌های فرهنگی هنری</v>
      </c>
      <c r="U1846" s="1" t="str">
        <f>IFERROR(__xludf.DUMMYFUNCTION("INDEX(SPLIT(A1846, ""/""), 3)"),"روزنامه شریف")</f>
        <v>روزنامه شریف</v>
      </c>
      <c r="V1846" s="1" t="str">
        <f>IFERROR(__xludf.DUMMYFUNCTION("INDEX(SPLIT(A1846, ""/""), 4)"),"#REF!")</f>
        <v>#REF!</v>
      </c>
    </row>
    <row r="1847">
      <c r="A1847" s="1" t="s">
        <v>4070</v>
      </c>
      <c r="B1847" s="1" t="s">
        <v>5674</v>
      </c>
      <c r="C1847" s="1" t="s">
        <v>21</v>
      </c>
      <c r="D1847" s="4" t="s">
        <v>5675</v>
      </c>
      <c r="E1847" s="1" t="s">
        <v>71</v>
      </c>
      <c r="F1847" s="1" t="s">
        <v>5441</v>
      </c>
      <c r="G1847" s="1" t="s">
        <v>752</v>
      </c>
      <c r="H1847" s="7" t="s">
        <v>5676</v>
      </c>
      <c r="I1847" s="1" t="str">
        <f t="shared" si="1"/>
        <v>10</v>
      </c>
      <c r="J1847" s="5"/>
      <c r="K1847" s="1" t="str">
        <f t="shared" si="2"/>
        <v>2</v>
      </c>
      <c r="L1847" s="5"/>
      <c r="M1847" s="2" t="str">
        <f t="shared" si="3"/>
        <v>1393</v>
      </c>
      <c r="N1847" s="5"/>
      <c r="O1847" s="13">
        <v>606.0</v>
      </c>
      <c r="P1847" s="5"/>
      <c r="Q1847" s="5"/>
      <c r="R1847" s="8" t="s">
        <v>5676</v>
      </c>
      <c r="S1847" s="5"/>
      <c r="T1847" s="1" t="str">
        <f>IFERROR(__xludf.DUMMYFUNCTION("INDEX(SPLIT(A1847, ""/""), 2)"),"کانون‌های فرهنگی هنری")</f>
        <v>کانون‌های فرهنگی هنری</v>
      </c>
      <c r="U1847" s="1" t="str">
        <f>IFERROR(__xludf.DUMMYFUNCTION("INDEX(SPLIT(A1847, ""/""), 3)"),"روزنامه شریف")</f>
        <v>روزنامه شریف</v>
      </c>
      <c r="V1847" s="1" t="str">
        <f>IFERROR(__xludf.DUMMYFUNCTION("INDEX(SPLIT(A1847, ""/""), 4)"),"#REF!")</f>
        <v>#REF!</v>
      </c>
    </row>
    <row r="1848">
      <c r="A1848" s="1" t="s">
        <v>4070</v>
      </c>
      <c r="B1848" s="1" t="s">
        <v>5677</v>
      </c>
      <c r="C1848" s="1" t="s">
        <v>21</v>
      </c>
      <c r="D1848" s="4" t="s">
        <v>5678</v>
      </c>
      <c r="E1848" s="1" t="s">
        <v>71</v>
      </c>
      <c r="F1848" s="1" t="s">
        <v>5441</v>
      </c>
      <c r="G1848" s="1" t="s">
        <v>752</v>
      </c>
      <c r="H1848" s="1" t="s">
        <v>5679</v>
      </c>
      <c r="I1848" s="1" t="str">
        <f t="shared" si="1"/>
        <v>25</v>
      </c>
      <c r="J1848" s="5"/>
      <c r="K1848" s="1" t="str">
        <f t="shared" si="2"/>
        <v>3</v>
      </c>
      <c r="L1848" s="5"/>
      <c r="M1848" s="2" t="str">
        <f t="shared" si="3"/>
        <v>1393</v>
      </c>
      <c r="N1848" s="5"/>
      <c r="O1848" s="13">
        <v>607.0</v>
      </c>
      <c r="P1848" s="5"/>
      <c r="Q1848" s="5"/>
      <c r="R1848" s="6" t="s">
        <v>5679</v>
      </c>
      <c r="S1848" s="5"/>
      <c r="T1848" s="1" t="str">
        <f>IFERROR(__xludf.DUMMYFUNCTION("INDEX(SPLIT(A1848, ""/""), 2)"),"کانون‌های فرهنگی هنری")</f>
        <v>کانون‌های فرهنگی هنری</v>
      </c>
      <c r="U1848" s="1" t="str">
        <f>IFERROR(__xludf.DUMMYFUNCTION("INDEX(SPLIT(A1848, ""/""), 3)"),"روزنامه شریف")</f>
        <v>روزنامه شریف</v>
      </c>
      <c r="V1848" s="1" t="str">
        <f>IFERROR(__xludf.DUMMYFUNCTION("INDEX(SPLIT(A1848, ""/""), 4)"),"#REF!")</f>
        <v>#REF!</v>
      </c>
    </row>
    <row r="1849">
      <c r="A1849" s="1" t="s">
        <v>4070</v>
      </c>
      <c r="B1849" s="1" t="s">
        <v>5680</v>
      </c>
      <c r="C1849" s="1" t="s">
        <v>21</v>
      </c>
      <c r="D1849" s="4" t="s">
        <v>5681</v>
      </c>
      <c r="E1849" s="1" t="s">
        <v>71</v>
      </c>
      <c r="F1849" s="1" t="s">
        <v>5441</v>
      </c>
      <c r="G1849" s="1" t="s">
        <v>752</v>
      </c>
      <c r="H1849" s="1" t="s">
        <v>5682</v>
      </c>
      <c r="I1849" s="1" t="str">
        <f t="shared" si="1"/>
        <v>29</v>
      </c>
      <c r="J1849" s="5"/>
      <c r="K1849" s="1" t="str">
        <f t="shared" si="2"/>
        <v>6</v>
      </c>
      <c r="L1849" s="5"/>
      <c r="M1849" s="2" t="str">
        <f t="shared" si="3"/>
        <v>1393</v>
      </c>
      <c r="N1849" s="5"/>
      <c r="O1849" s="13">
        <v>609.0</v>
      </c>
      <c r="P1849" s="5"/>
      <c r="Q1849" s="5"/>
      <c r="R1849" s="6" t="s">
        <v>5682</v>
      </c>
      <c r="S1849" s="5"/>
      <c r="T1849" s="1" t="str">
        <f>IFERROR(__xludf.DUMMYFUNCTION("INDEX(SPLIT(A1849, ""/""), 2)"),"کانون‌های فرهنگی هنری")</f>
        <v>کانون‌های فرهنگی هنری</v>
      </c>
      <c r="U1849" s="1" t="str">
        <f>IFERROR(__xludf.DUMMYFUNCTION("INDEX(SPLIT(A1849, ""/""), 3)"),"روزنامه شریف")</f>
        <v>روزنامه شریف</v>
      </c>
      <c r="V1849" s="1" t="str">
        <f>IFERROR(__xludf.DUMMYFUNCTION("INDEX(SPLIT(A1849, ""/""), 4)"),"#REF!")</f>
        <v>#REF!</v>
      </c>
    </row>
    <row r="1850">
      <c r="A1850" s="1" t="s">
        <v>4070</v>
      </c>
      <c r="B1850" s="1" t="s">
        <v>5683</v>
      </c>
      <c r="C1850" s="1" t="s">
        <v>21</v>
      </c>
      <c r="D1850" s="4" t="s">
        <v>5684</v>
      </c>
      <c r="E1850" s="1" t="s">
        <v>71</v>
      </c>
      <c r="F1850" s="1" t="s">
        <v>5441</v>
      </c>
      <c r="G1850" s="1" t="s">
        <v>752</v>
      </c>
      <c r="H1850" s="7" t="s">
        <v>1725</v>
      </c>
      <c r="I1850" s="1" t="str">
        <f t="shared" si="1"/>
        <v>1</v>
      </c>
      <c r="J1850" s="5"/>
      <c r="K1850" s="1" t="str">
        <f t="shared" si="2"/>
        <v>7</v>
      </c>
      <c r="L1850" s="5"/>
      <c r="M1850" s="2" t="str">
        <f t="shared" si="3"/>
        <v>1393</v>
      </c>
      <c r="N1850" s="1"/>
      <c r="O1850" s="13">
        <v>610.0</v>
      </c>
      <c r="P1850" s="5"/>
      <c r="Q1850" s="5"/>
      <c r="R1850" s="8" t="s">
        <v>1725</v>
      </c>
      <c r="S1850" s="5"/>
      <c r="T1850" s="1" t="str">
        <f>IFERROR(__xludf.DUMMYFUNCTION("INDEX(SPLIT(A1850, ""/""), 2)"),"کانون‌های فرهنگی هنری")</f>
        <v>کانون‌های فرهنگی هنری</v>
      </c>
      <c r="U1850" s="1" t="str">
        <f>IFERROR(__xludf.DUMMYFUNCTION("INDEX(SPLIT(A1850, ""/""), 3)"),"روزنامه شریف")</f>
        <v>روزنامه شریف</v>
      </c>
      <c r="V1850" s="1" t="str">
        <f>IFERROR(__xludf.DUMMYFUNCTION("INDEX(SPLIT(A1850, ""/""), 4)"),"#REF!")</f>
        <v>#REF!</v>
      </c>
    </row>
    <row r="1851">
      <c r="A1851" s="1" t="s">
        <v>4070</v>
      </c>
      <c r="B1851" s="1" t="s">
        <v>5685</v>
      </c>
      <c r="C1851" s="1" t="s">
        <v>21</v>
      </c>
      <c r="D1851" s="4" t="s">
        <v>5686</v>
      </c>
      <c r="E1851" s="1" t="s">
        <v>71</v>
      </c>
      <c r="F1851" s="1" t="s">
        <v>5441</v>
      </c>
      <c r="G1851" s="1" t="s">
        <v>752</v>
      </c>
      <c r="H1851" s="7" t="s">
        <v>5687</v>
      </c>
      <c r="I1851" s="1" t="str">
        <f t="shared" si="1"/>
        <v>5</v>
      </c>
      <c r="J1851" s="5"/>
      <c r="K1851" s="1" t="str">
        <f t="shared" si="2"/>
        <v>7</v>
      </c>
      <c r="L1851" s="5"/>
      <c r="M1851" s="2" t="str">
        <f t="shared" si="3"/>
        <v>1393</v>
      </c>
      <c r="N1851" s="1"/>
      <c r="O1851" s="13">
        <v>611.0</v>
      </c>
      <c r="P1851" s="5"/>
      <c r="Q1851" s="5"/>
      <c r="R1851" s="8" t="s">
        <v>5687</v>
      </c>
      <c r="S1851" s="5"/>
      <c r="T1851" s="1" t="str">
        <f>IFERROR(__xludf.DUMMYFUNCTION("INDEX(SPLIT(A1851, ""/""), 2)"),"کانون‌های فرهنگی هنری")</f>
        <v>کانون‌های فرهنگی هنری</v>
      </c>
      <c r="U1851" s="1" t="str">
        <f>IFERROR(__xludf.DUMMYFUNCTION("INDEX(SPLIT(A1851, ""/""), 3)"),"روزنامه شریف")</f>
        <v>روزنامه شریف</v>
      </c>
      <c r="V1851" s="1" t="str">
        <f>IFERROR(__xludf.DUMMYFUNCTION("INDEX(SPLIT(A1851, ""/""), 4)"),"#REF!")</f>
        <v>#REF!</v>
      </c>
    </row>
    <row r="1852">
      <c r="A1852" s="1" t="s">
        <v>4070</v>
      </c>
      <c r="B1852" s="1" t="s">
        <v>5688</v>
      </c>
      <c r="C1852" s="1" t="s">
        <v>21</v>
      </c>
      <c r="D1852" s="4" t="s">
        <v>5689</v>
      </c>
      <c r="E1852" s="1" t="s">
        <v>71</v>
      </c>
      <c r="F1852" s="1" t="s">
        <v>5441</v>
      </c>
      <c r="G1852" s="1" t="s">
        <v>752</v>
      </c>
      <c r="H1852" s="7" t="s">
        <v>5690</v>
      </c>
      <c r="I1852" s="1" t="str">
        <f t="shared" si="1"/>
        <v>8</v>
      </c>
      <c r="J1852" s="5"/>
      <c r="K1852" s="1" t="str">
        <f t="shared" si="2"/>
        <v>7</v>
      </c>
      <c r="L1852" s="5"/>
      <c r="M1852" s="2" t="str">
        <f t="shared" si="3"/>
        <v>1393</v>
      </c>
      <c r="N1852" s="1"/>
      <c r="O1852" s="13">
        <v>612.0</v>
      </c>
      <c r="P1852" s="5"/>
      <c r="Q1852" s="5"/>
      <c r="R1852" s="8" t="s">
        <v>5690</v>
      </c>
      <c r="S1852" s="5"/>
      <c r="T1852" s="1" t="str">
        <f>IFERROR(__xludf.DUMMYFUNCTION("INDEX(SPLIT(A1852, ""/""), 2)"),"کانون‌های فرهنگی هنری")</f>
        <v>کانون‌های فرهنگی هنری</v>
      </c>
      <c r="U1852" s="1" t="str">
        <f>IFERROR(__xludf.DUMMYFUNCTION("INDEX(SPLIT(A1852, ""/""), 3)"),"روزنامه شریف")</f>
        <v>روزنامه شریف</v>
      </c>
      <c r="V1852" s="1" t="str">
        <f>IFERROR(__xludf.DUMMYFUNCTION("INDEX(SPLIT(A1852, ""/""), 4)"),"#REF!")</f>
        <v>#REF!</v>
      </c>
    </row>
    <row r="1853">
      <c r="A1853" s="1" t="s">
        <v>4070</v>
      </c>
      <c r="B1853" s="1" t="s">
        <v>5691</v>
      </c>
      <c r="C1853" s="1" t="s">
        <v>21</v>
      </c>
      <c r="D1853" s="4" t="s">
        <v>5692</v>
      </c>
      <c r="E1853" s="1" t="s">
        <v>71</v>
      </c>
      <c r="F1853" s="1" t="s">
        <v>5441</v>
      </c>
      <c r="G1853" s="1" t="s">
        <v>752</v>
      </c>
      <c r="H1853" s="1" t="s">
        <v>3386</v>
      </c>
      <c r="I1853" s="1" t="str">
        <f t="shared" si="1"/>
        <v>15</v>
      </c>
      <c r="J1853" s="5"/>
      <c r="K1853" s="1" t="str">
        <f t="shared" si="2"/>
        <v>7</v>
      </c>
      <c r="L1853" s="5"/>
      <c r="M1853" s="2" t="str">
        <f t="shared" si="3"/>
        <v>1393</v>
      </c>
      <c r="N1853" s="1"/>
      <c r="O1853" s="13">
        <v>613.0</v>
      </c>
      <c r="P1853" s="5"/>
      <c r="Q1853" s="5"/>
      <c r="R1853" s="6" t="s">
        <v>3386</v>
      </c>
      <c r="S1853" s="5"/>
      <c r="T1853" s="1" t="str">
        <f>IFERROR(__xludf.DUMMYFUNCTION("INDEX(SPLIT(A1853, ""/""), 2)"),"کانون‌های فرهنگی هنری")</f>
        <v>کانون‌های فرهنگی هنری</v>
      </c>
      <c r="U1853" s="1" t="str">
        <f>IFERROR(__xludf.DUMMYFUNCTION("INDEX(SPLIT(A1853, ""/""), 3)"),"روزنامه شریف")</f>
        <v>روزنامه شریف</v>
      </c>
      <c r="V1853" s="1" t="str">
        <f>IFERROR(__xludf.DUMMYFUNCTION("INDEX(SPLIT(A1853, ""/""), 4)"),"#REF!")</f>
        <v>#REF!</v>
      </c>
    </row>
    <row r="1854">
      <c r="A1854" s="1" t="s">
        <v>4070</v>
      </c>
      <c r="B1854" s="1" t="s">
        <v>5693</v>
      </c>
      <c r="C1854" s="1" t="s">
        <v>21</v>
      </c>
      <c r="D1854" s="4" t="s">
        <v>5694</v>
      </c>
      <c r="E1854" s="1" t="s">
        <v>71</v>
      </c>
      <c r="F1854" s="1" t="s">
        <v>5441</v>
      </c>
      <c r="G1854" s="1" t="s">
        <v>752</v>
      </c>
      <c r="H1854" s="1" t="s">
        <v>5695</v>
      </c>
      <c r="I1854" s="1" t="str">
        <f t="shared" si="1"/>
        <v>19</v>
      </c>
      <c r="J1854" s="5"/>
      <c r="K1854" s="1" t="str">
        <f t="shared" si="2"/>
        <v>7</v>
      </c>
      <c r="L1854" s="5"/>
      <c r="M1854" s="2" t="str">
        <f t="shared" si="3"/>
        <v>1393</v>
      </c>
      <c r="N1854" s="1"/>
      <c r="O1854" s="13">
        <v>614.0</v>
      </c>
      <c r="P1854" s="5"/>
      <c r="Q1854" s="5"/>
      <c r="R1854" s="6" t="s">
        <v>5695</v>
      </c>
      <c r="S1854" s="5"/>
      <c r="T1854" s="1" t="str">
        <f>IFERROR(__xludf.DUMMYFUNCTION("INDEX(SPLIT(A1854, ""/""), 2)"),"کانون‌های فرهنگی هنری")</f>
        <v>کانون‌های فرهنگی هنری</v>
      </c>
      <c r="U1854" s="1" t="str">
        <f>IFERROR(__xludf.DUMMYFUNCTION("INDEX(SPLIT(A1854, ""/""), 3)"),"روزنامه شریف")</f>
        <v>روزنامه شریف</v>
      </c>
      <c r="V1854" s="1" t="str">
        <f>IFERROR(__xludf.DUMMYFUNCTION("INDEX(SPLIT(A1854, ""/""), 4)"),"#REF!")</f>
        <v>#REF!</v>
      </c>
    </row>
    <row r="1855">
      <c r="A1855" s="1" t="s">
        <v>4070</v>
      </c>
      <c r="B1855" s="1" t="s">
        <v>5696</v>
      </c>
      <c r="C1855" s="1" t="s">
        <v>21</v>
      </c>
      <c r="D1855" s="4" t="s">
        <v>5697</v>
      </c>
      <c r="E1855" s="1" t="s">
        <v>71</v>
      </c>
      <c r="F1855" s="1" t="s">
        <v>5441</v>
      </c>
      <c r="G1855" s="1" t="s">
        <v>752</v>
      </c>
      <c r="H1855" s="1" t="s">
        <v>5698</v>
      </c>
      <c r="I1855" s="1" t="str">
        <f t="shared" si="1"/>
        <v>22</v>
      </c>
      <c r="J1855" s="5"/>
      <c r="K1855" s="1" t="str">
        <f t="shared" si="2"/>
        <v>7</v>
      </c>
      <c r="L1855" s="5"/>
      <c r="M1855" s="2" t="str">
        <f t="shared" si="3"/>
        <v>1393</v>
      </c>
      <c r="N1855" s="1"/>
      <c r="O1855" s="13">
        <v>615.0</v>
      </c>
      <c r="P1855" s="5"/>
      <c r="Q1855" s="5"/>
      <c r="R1855" s="6" t="s">
        <v>5698</v>
      </c>
      <c r="S1855" s="5"/>
      <c r="T1855" s="1" t="str">
        <f>IFERROR(__xludf.DUMMYFUNCTION("INDEX(SPLIT(A1855, ""/""), 2)"),"کانون‌های فرهنگی هنری")</f>
        <v>کانون‌های فرهنگی هنری</v>
      </c>
      <c r="U1855" s="1" t="str">
        <f>IFERROR(__xludf.DUMMYFUNCTION("INDEX(SPLIT(A1855, ""/""), 3)"),"روزنامه شریف")</f>
        <v>روزنامه شریف</v>
      </c>
      <c r="V1855" s="1" t="str">
        <f>IFERROR(__xludf.DUMMYFUNCTION("INDEX(SPLIT(A1855, ""/""), 4)"),"#REF!")</f>
        <v>#REF!</v>
      </c>
    </row>
    <row r="1856">
      <c r="A1856" s="1" t="s">
        <v>4070</v>
      </c>
      <c r="B1856" s="1" t="s">
        <v>5699</v>
      </c>
      <c r="C1856" s="1" t="s">
        <v>21</v>
      </c>
      <c r="D1856" s="4" t="s">
        <v>5700</v>
      </c>
      <c r="E1856" s="1" t="s">
        <v>71</v>
      </c>
      <c r="F1856" s="1" t="s">
        <v>5441</v>
      </c>
      <c r="G1856" s="1" t="s">
        <v>752</v>
      </c>
      <c r="H1856" s="1" t="s">
        <v>5701</v>
      </c>
      <c r="I1856" s="1" t="str">
        <f t="shared" si="1"/>
        <v>26</v>
      </c>
      <c r="J1856" s="5"/>
      <c r="K1856" s="1" t="str">
        <f t="shared" si="2"/>
        <v>7</v>
      </c>
      <c r="L1856" s="5"/>
      <c r="M1856" s="2" t="str">
        <f t="shared" si="3"/>
        <v>1393</v>
      </c>
      <c r="N1856" s="1"/>
      <c r="O1856" s="13">
        <v>616.0</v>
      </c>
      <c r="P1856" s="5"/>
      <c r="Q1856" s="5"/>
      <c r="R1856" s="6" t="s">
        <v>5701</v>
      </c>
      <c r="S1856" s="5"/>
      <c r="T1856" s="1" t="str">
        <f>IFERROR(__xludf.DUMMYFUNCTION("INDEX(SPLIT(A1856, ""/""), 2)"),"کانون‌های فرهنگی هنری")</f>
        <v>کانون‌های فرهنگی هنری</v>
      </c>
      <c r="U1856" s="1" t="str">
        <f>IFERROR(__xludf.DUMMYFUNCTION("INDEX(SPLIT(A1856, ""/""), 3)"),"روزنامه شریف")</f>
        <v>روزنامه شریف</v>
      </c>
      <c r="V1856" s="1" t="str">
        <f>IFERROR(__xludf.DUMMYFUNCTION("INDEX(SPLIT(A1856, ""/""), 4)"),"#REF!")</f>
        <v>#REF!</v>
      </c>
    </row>
    <row r="1857">
      <c r="A1857" s="1" t="s">
        <v>4070</v>
      </c>
      <c r="B1857" s="1" t="s">
        <v>5702</v>
      </c>
      <c r="C1857" s="1" t="s">
        <v>21</v>
      </c>
      <c r="D1857" s="4" t="s">
        <v>5703</v>
      </c>
      <c r="E1857" s="1" t="s">
        <v>71</v>
      </c>
      <c r="F1857" s="1" t="s">
        <v>5441</v>
      </c>
      <c r="G1857" s="1" t="s">
        <v>752</v>
      </c>
      <c r="H1857" s="1" t="s">
        <v>3109</v>
      </c>
      <c r="I1857" s="1" t="str">
        <f t="shared" si="1"/>
        <v>29</v>
      </c>
      <c r="J1857" s="5"/>
      <c r="K1857" s="1" t="str">
        <f t="shared" si="2"/>
        <v>7</v>
      </c>
      <c r="L1857" s="5"/>
      <c r="M1857" s="2" t="str">
        <f t="shared" si="3"/>
        <v>1393</v>
      </c>
      <c r="N1857" s="1"/>
      <c r="O1857" s="13">
        <v>617.0</v>
      </c>
      <c r="P1857" s="5"/>
      <c r="Q1857" s="5"/>
      <c r="R1857" s="6" t="s">
        <v>3109</v>
      </c>
      <c r="S1857" s="5"/>
      <c r="T1857" s="1" t="str">
        <f>IFERROR(__xludf.DUMMYFUNCTION("INDEX(SPLIT(A1857, ""/""), 2)"),"کانون‌های فرهنگی هنری")</f>
        <v>کانون‌های فرهنگی هنری</v>
      </c>
      <c r="U1857" s="1" t="str">
        <f>IFERROR(__xludf.DUMMYFUNCTION("INDEX(SPLIT(A1857, ""/""), 3)"),"روزنامه شریف")</f>
        <v>روزنامه شریف</v>
      </c>
      <c r="V1857" s="1" t="str">
        <f>IFERROR(__xludf.DUMMYFUNCTION("INDEX(SPLIT(A1857, ""/""), 4)"),"#REF!")</f>
        <v>#REF!</v>
      </c>
    </row>
    <row r="1858">
      <c r="A1858" s="1" t="s">
        <v>4070</v>
      </c>
      <c r="B1858" s="1" t="s">
        <v>5704</v>
      </c>
      <c r="C1858" s="1" t="s">
        <v>21</v>
      </c>
      <c r="D1858" s="4" t="s">
        <v>5705</v>
      </c>
      <c r="E1858" s="1" t="s">
        <v>71</v>
      </c>
      <c r="F1858" s="1" t="s">
        <v>5441</v>
      </c>
      <c r="G1858" s="1" t="s">
        <v>752</v>
      </c>
      <c r="H1858" s="7" t="s">
        <v>5706</v>
      </c>
      <c r="I1858" s="1" t="str">
        <f t="shared" si="1"/>
        <v>3</v>
      </c>
      <c r="J1858" s="5"/>
      <c r="K1858" s="1" t="str">
        <f t="shared" si="2"/>
        <v>8</v>
      </c>
      <c r="L1858" s="5"/>
      <c r="M1858" s="2" t="str">
        <f t="shared" si="3"/>
        <v>1393</v>
      </c>
      <c r="N1858" s="1"/>
      <c r="O1858" s="13">
        <v>618.0</v>
      </c>
      <c r="P1858" s="5"/>
      <c r="Q1858" s="5"/>
      <c r="R1858" s="8" t="s">
        <v>5706</v>
      </c>
      <c r="S1858" s="5"/>
      <c r="T1858" s="1" t="str">
        <f>IFERROR(__xludf.DUMMYFUNCTION("INDEX(SPLIT(A1858, ""/""), 2)"),"کانون‌های فرهنگی هنری")</f>
        <v>کانون‌های فرهنگی هنری</v>
      </c>
      <c r="U1858" s="1" t="str">
        <f>IFERROR(__xludf.DUMMYFUNCTION("INDEX(SPLIT(A1858, ""/""), 3)"),"روزنامه شریف")</f>
        <v>روزنامه شریف</v>
      </c>
      <c r="V1858" s="1" t="str">
        <f>IFERROR(__xludf.DUMMYFUNCTION("INDEX(SPLIT(A1858, ""/""), 4)"),"#REF!")</f>
        <v>#REF!</v>
      </c>
    </row>
    <row r="1859">
      <c r="A1859" s="1" t="s">
        <v>4070</v>
      </c>
      <c r="B1859" s="1" t="s">
        <v>5707</v>
      </c>
      <c r="C1859" s="1" t="s">
        <v>21</v>
      </c>
      <c r="D1859" s="4" t="s">
        <v>5708</v>
      </c>
      <c r="E1859" s="1" t="s">
        <v>71</v>
      </c>
      <c r="F1859" s="1" t="s">
        <v>5441</v>
      </c>
      <c r="G1859" s="1" t="s">
        <v>752</v>
      </c>
      <c r="H1859" s="7" t="s">
        <v>5709</v>
      </c>
      <c r="I1859" s="1" t="str">
        <f t="shared" si="1"/>
        <v>6</v>
      </c>
      <c r="J1859" s="5"/>
      <c r="K1859" s="1" t="str">
        <f t="shared" si="2"/>
        <v>8</v>
      </c>
      <c r="L1859" s="5"/>
      <c r="M1859" s="2" t="str">
        <f t="shared" si="3"/>
        <v>1393</v>
      </c>
      <c r="N1859" s="1"/>
      <c r="O1859" s="13">
        <v>619.0</v>
      </c>
      <c r="P1859" s="5"/>
      <c r="Q1859" s="5"/>
      <c r="R1859" s="8" t="s">
        <v>5709</v>
      </c>
      <c r="S1859" s="5"/>
      <c r="T1859" s="1" t="str">
        <f>IFERROR(__xludf.DUMMYFUNCTION("INDEX(SPLIT(A1859, ""/""), 2)"),"کانون‌های فرهنگی هنری")</f>
        <v>کانون‌های فرهنگی هنری</v>
      </c>
      <c r="U1859" s="1" t="str">
        <f>IFERROR(__xludf.DUMMYFUNCTION("INDEX(SPLIT(A1859, ""/""), 3)"),"روزنامه شریف")</f>
        <v>روزنامه شریف</v>
      </c>
      <c r="V1859" s="1" t="str">
        <f>IFERROR(__xludf.DUMMYFUNCTION("INDEX(SPLIT(A1859, ""/""), 4)"),"#REF!")</f>
        <v>#REF!</v>
      </c>
    </row>
    <row r="1860">
      <c r="A1860" s="1" t="s">
        <v>4070</v>
      </c>
      <c r="B1860" s="1" t="s">
        <v>5710</v>
      </c>
      <c r="C1860" s="1" t="s">
        <v>21</v>
      </c>
      <c r="D1860" s="4" t="s">
        <v>5711</v>
      </c>
      <c r="E1860" s="1" t="s">
        <v>71</v>
      </c>
      <c r="F1860" s="1" t="s">
        <v>5441</v>
      </c>
      <c r="G1860" s="1" t="s">
        <v>752</v>
      </c>
      <c r="H1860" s="7" t="s">
        <v>5712</v>
      </c>
      <c r="I1860" s="1" t="str">
        <f t="shared" si="1"/>
        <v>10</v>
      </c>
      <c r="J1860" s="5"/>
      <c r="K1860" s="1" t="str">
        <f t="shared" si="2"/>
        <v>8</v>
      </c>
      <c r="L1860" s="5"/>
      <c r="M1860" s="2" t="str">
        <f t="shared" si="3"/>
        <v>1393</v>
      </c>
      <c r="N1860" s="5"/>
      <c r="O1860" s="13">
        <v>620.0</v>
      </c>
      <c r="P1860" s="5"/>
      <c r="Q1860" s="5"/>
      <c r="R1860" s="8" t="s">
        <v>5712</v>
      </c>
      <c r="S1860" s="5"/>
      <c r="T1860" s="1" t="str">
        <f>IFERROR(__xludf.DUMMYFUNCTION("INDEX(SPLIT(A1860, ""/""), 2)"),"کانون‌های فرهنگی هنری")</f>
        <v>کانون‌های فرهنگی هنری</v>
      </c>
      <c r="U1860" s="1" t="str">
        <f>IFERROR(__xludf.DUMMYFUNCTION("INDEX(SPLIT(A1860, ""/""), 3)"),"روزنامه شریف")</f>
        <v>روزنامه شریف</v>
      </c>
      <c r="V1860" s="1" t="str">
        <f>IFERROR(__xludf.DUMMYFUNCTION("INDEX(SPLIT(A1860, ""/""), 4)"),"#REF!")</f>
        <v>#REF!</v>
      </c>
    </row>
    <row r="1861">
      <c r="A1861" s="1" t="s">
        <v>4070</v>
      </c>
      <c r="B1861" s="1" t="s">
        <v>5713</v>
      </c>
      <c r="C1861" s="1" t="s">
        <v>21</v>
      </c>
      <c r="D1861" s="4" t="s">
        <v>5714</v>
      </c>
      <c r="E1861" s="1" t="s">
        <v>71</v>
      </c>
      <c r="F1861" s="1" t="s">
        <v>5441</v>
      </c>
      <c r="G1861" s="1" t="s">
        <v>752</v>
      </c>
      <c r="H1861" s="7" t="s">
        <v>3112</v>
      </c>
      <c r="I1861" s="1" t="str">
        <f t="shared" si="1"/>
        <v>11</v>
      </c>
      <c r="J1861" s="5"/>
      <c r="K1861" s="1" t="str">
        <f t="shared" si="2"/>
        <v>8</v>
      </c>
      <c r="L1861" s="5"/>
      <c r="M1861" s="2" t="str">
        <f t="shared" si="3"/>
        <v>1393</v>
      </c>
      <c r="N1861" s="1"/>
      <c r="O1861" s="13">
        <v>621.0</v>
      </c>
      <c r="P1861" s="5"/>
      <c r="Q1861" s="5"/>
      <c r="R1861" s="8" t="s">
        <v>3112</v>
      </c>
      <c r="S1861" s="5"/>
      <c r="T1861" s="1" t="str">
        <f>IFERROR(__xludf.DUMMYFUNCTION("INDEX(SPLIT(A1861, ""/""), 2)"),"کانون‌های فرهنگی هنری")</f>
        <v>کانون‌های فرهنگی هنری</v>
      </c>
      <c r="U1861" s="1" t="str">
        <f>IFERROR(__xludf.DUMMYFUNCTION("INDEX(SPLIT(A1861, ""/""), 3)"),"روزنامه شریف")</f>
        <v>روزنامه شریف</v>
      </c>
      <c r="V1861" s="1" t="str">
        <f>IFERROR(__xludf.DUMMYFUNCTION("INDEX(SPLIT(A1861, ""/""), 4)"),"#REF!")</f>
        <v>#REF!</v>
      </c>
    </row>
    <row r="1862">
      <c r="A1862" s="1" t="s">
        <v>4070</v>
      </c>
      <c r="B1862" s="1" t="s">
        <v>5715</v>
      </c>
      <c r="C1862" s="1" t="s">
        <v>21</v>
      </c>
      <c r="D1862" s="4" t="s">
        <v>5716</v>
      </c>
      <c r="E1862" s="1" t="s">
        <v>71</v>
      </c>
      <c r="F1862" s="1" t="s">
        <v>5441</v>
      </c>
      <c r="G1862" s="1" t="s">
        <v>752</v>
      </c>
      <c r="H1862" s="1" t="s">
        <v>5717</v>
      </c>
      <c r="I1862" s="1" t="str">
        <f t="shared" si="1"/>
        <v>24</v>
      </c>
      <c r="J1862" s="5"/>
      <c r="K1862" s="1" t="str">
        <f t="shared" si="2"/>
        <v>8</v>
      </c>
      <c r="L1862" s="5"/>
      <c r="M1862" s="2" t="str">
        <f t="shared" si="3"/>
        <v>1393</v>
      </c>
      <c r="N1862" s="5"/>
      <c r="O1862" s="13">
        <v>622.0</v>
      </c>
      <c r="P1862" s="5"/>
      <c r="Q1862" s="5"/>
      <c r="R1862" s="6" t="s">
        <v>5717</v>
      </c>
      <c r="S1862" s="5"/>
      <c r="T1862" s="1" t="str">
        <f>IFERROR(__xludf.DUMMYFUNCTION("INDEX(SPLIT(A1862, ""/""), 2)"),"کانون‌های فرهنگی هنری")</f>
        <v>کانون‌های فرهنگی هنری</v>
      </c>
      <c r="U1862" s="1" t="str">
        <f>IFERROR(__xludf.DUMMYFUNCTION("INDEX(SPLIT(A1862, ""/""), 3)"),"روزنامه شریف")</f>
        <v>روزنامه شریف</v>
      </c>
      <c r="V1862" s="1" t="str">
        <f>IFERROR(__xludf.DUMMYFUNCTION("INDEX(SPLIT(A1862, ""/""), 4)"),"#REF!")</f>
        <v>#REF!</v>
      </c>
    </row>
    <row r="1863">
      <c r="A1863" s="1" t="s">
        <v>4070</v>
      </c>
      <c r="B1863" s="1" t="s">
        <v>5718</v>
      </c>
      <c r="C1863" s="1" t="s">
        <v>21</v>
      </c>
      <c r="D1863" s="4" t="s">
        <v>5719</v>
      </c>
      <c r="E1863" s="1" t="s">
        <v>71</v>
      </c>
      <c r="F1863" s="1" t="s">
        <v>5441</v>
      </c>
      <c r="G1863" s="1" t="s">
        <v>752</v>
      </c>
      <c r="H1863" s="1" t="s">
        <v>5720</v>
      </c>
      <c r="I1863" s="1" t="str">
        <f t="shared" si="1"/>
        <v>27</v>
      </c>
      <c r="J1863" s="5"/>
      <c r="K1863" s="1" t="str">
        <f t="shared" si="2"/>
        <v>8</v>
      </c>
      <c r="L1863" s="5"/>
      <c r="M1863" s="2" t="str">
        <f t="shared" si="3"/>
        <v>1393</v>
      </c>
      <c r="N1863" s="1"/>
      <c r="O1863" s="13">
        <v>623.0</v>
      </c>
      <c r="P1863" s="5"/>
      <c r="Q1863" s="5"/>
      <c r="R1863" s="6" t="s">
        <v>5720</v>
      </c>
      <c r="S1863" s="5"/>
      <c r="T1863" s="1" t="str">
        <f>IFERROR(__xludf.DUMMYFUNCTION("INDEX(SPLIT(A1863, ""/""), 2)"),"کانون‌های فرهنگی هنری")</f>
        <v>کانون‌های فرهنگی هنری</v>
      </c>
      <c r="U1863" s="1" t="str">
        <f>IFERROR(__xludf.DUMMYFUNCTION("INDEX(SPLIT(A1863, ""/""), 3)"),"روزنامه شریف")</f>
        <v>روزنامه شریف</v>
      </c>
      <c r="V1863" s="1" t="str">
        <f>IFERROR(__xludf.DUMMYFUNCTION("INDEX(SPLIT(A1863, ""/""), 4)"),"#REF!")</f>
        <v>#REF!</v>
      </c>
    </row>
    <row r="1864">
      <c r="A1864" s="1" t="s">
        <v>4070</v>
      </c>
      <c r="B1864" s="1" t="s">
        <v>5721</v>
      </c>
      <c r="C1864" s="1" t="s">
        <v>21</v>
      </c>
      <c r="D1864" s="4" t="s">
        <v>5722</v>
      </c>
      <c r="E1864" s="1" t="s">
        <v>71</v>
      </c>
      <c r="F1864" s="1" t="s">
        <v>5441</v>
      </c>
      <c r="G1864" s="1" t="s">
        <v>752</v>
      </c>
      <c r="H1864" s="7" t="s">
        <v>5723</v>
      </c>
      <c r="I1864" s="1" t="str">
        <f t="shared" si="1"/>
        <v>1</v>
      </c>
      <c r="J1864" s="5"/>
      <c r="K1864" s="1" t="str">
        <f t="shared" si="2"/>
        <v>9</v>
      </c>
      <c r="L1864" s="5"/>
      <c r="M1864" s="2" t="str">
        <f t="shared" si="3"/>
        <v>1393</v>
      </c>
      <c r="N1864" s="5"/>
      <c r="O1864" s="13">
        <v>624.0</v>
      </c>
      <c r="P1864" s="5"/>
      <c r="Q1864" s="5"/>
      <c r="R1864" s="8" t="s">
        <v>5723</v>
      </c>
      <c r="S1864" s="5"/>
      <c r="T1864" s="1" t="str">
        <f>IFERROR(__xludf.DUMMYFUNCTION("INDEX(SPLIT(A1864, ""/""), 2)"),"کانون‌های فرهنگی هنری")</f>
        <v>کانون‌های فرهنگی هنری</v>
      </c>
      <c r="U1864" s="1" t="str">
        <f>IFERROR(__xludf.DUMMYFUNCTION("INDEX(SPLIT(A1864, ""/""), 3)"),"روزنامه شریف")</f>
        <v>روزنامه شریف</v>
      </c>
      <c r="V1864" s="1" t="str">
        <f>IFERROR(__xludf.DUMMYFUNCTION("INDEX(SPLIT(A1864, ""/""), 4)"),"#REF!")</f>
        <v>#REF!</v>
      </c>
    </row>
    <row r="1865">
      <c r="A1865" s="1" t="s">
        <v>4070</v>
      </c>
      <c r="B1865" s="1" t="s">
        <v>5724</v>
      </c>
      <c r="C1865" s="1" t="s">
        <v>21</v>
      </c>
      <c r="D1865" s="4" t="s">
        <v>5725</v>
      </c>
      <c r="E1865" s="1" t="s">
        <v>71</v>
      </c>
      <c r="F1865" s="1" t="s">
        <v>5441</v>
      </c>
      <c r="G1865" s="1" t="s">
        <v>752</v>
      </c>
      <c r="H1865" s="7" t="s">
        <v>5726</v>
      </c>
      <c r="I1865" s="1" t="str">
        <f t="shared" si="1"/>
        <v>4</v>
      </c>
      <c r="J1865" s="5"/>
      <c r="K1865" s="1" t="str">
        <f t="shared" si="2"/>
        <v>9</v>
      </c>
      <c r="L1865" s="5"/>
      <c r="M1865" s="2" t="str">
        <f t="shared" si="3"/>
        <v>1393</v>
      </c>
      <c r="N1865" s="1"/>
      <c r="O1865" s="13">
        <v>625.0</v>
      </c>
      <c r="P1865" s="5"/>
      <c r="Q1865" s="5"/>
      <c r="R1865" s="8" t="s">
        <v>5726</v>
      </c>
      <c r="S1865" s="5"/>
      <c r="T1865" s="1" t="str">
        <f>IFERROR(__xludf.DUMMYFUNCTION("INDEX(SPLIT(A1865, ""/""), 2)"),"کانون‌های فرهنگی هنری")</f>
        <v>کانون‌های فرهنگی هنری</v>
      </c>
      <c r="U1865" s="1" t="str">
        <f>IFERROR(__xludf.DUMMYFUNCTION("INDEX(SPLIT(A1865, ""/""), 3)"),"روزنامه شریف")</f>
        <v>روزنامه شریف</v>
      </c>
      <c r="V1865" s="1" t="str">
        <f>IFERROR(__xludf.DUMMYFUNCTION("INDEX(SPLIT(A1865, ""/""), 4)"),"#REF!")</f>
        <v>#REF!</v>
      </c>
    </row>
    <row r="1866">
      <c r="A1866" s="1" t="s">
        <v>4070</v>
      </c>
      <c r="B1866" s="1" t="s">
        <v>5727</v>
      </c>
      <c r="C1866" s="1" t="s">
        <v>21</v>
      </c>
      <c r="D1866" s="4" t="s">
        <v>5728</v>
      </c>
      <c r="E1866" s="1" t="s">
        <v>71</v>
      </c>
      <c r="F1866" s="1" t="s">
        <v>5441</v>
      </c>
      <c r="G1866" s="1" t="s">
        <v>752</v>
      </c>
      <c r="H1866" s="7" t="s">
        <v>5729</v>
      </c>
      <c r="I1866" s="1" t="str">
        <f t="shared" si="1"/>
        <v>8</v>
      </c>
      <c r="J1866" s="5"/>
      <c r="K1866" s="1" t="str">
        <f t="shared" si="2"/>
        <v>9</v>
      </c>
      <c r="L1866" s="5"/>
      <c r="M1866" s="2" t="str">
        <f t="shared" si="3"/>
        <v>1393</v>
      </c>
      <c r="N1866" s="1"/>
      <c r="O1866" s="13">
        <v>626.0</v>
      </c>
      <c r="P1866" s="5"/>
      <c r="Q1866" s="5"/>
      <c r="R1866" s="8" t="s">
        <v>5729</v>
      </c>
      <c r="S1866" s="5"/>
      <c r="T1866" s="1" t="str">
        <f>IFERROR(__xludf.DUMMYFUNCTION("INDEX(SPLIT(A1866, ""/""), 2)"),"کانون‌های فرهنگی هنری")</f>
        <v>کانون‌های فرهنگی هنری</v>
      </c>
      <c r="U1866" s="1" t="str">
        <f>IFERROR(__xludf.DUMMYFUNCTION("INDEX(SPLIT(A1866, ""/""), 3)"),"روزنامه شریف")</f>
        <v>روزنامه شریف</v>
      </c>
      <c r="V1866" s="1" t="str">
        <f>IFERROR(__xludf.DUMMYFUNCTION("INDEX(SPLIT(A1866, ""/""), 4)"),"#REF!")</f>
        <v>#REF!</v>
      </c>
    </row>
    <row r="1867">
      <c r="A1867" s="1" t="s">
        <v>4070</v>
      </c>
      <c r="B1867" s="1" t="s">
        <v>5730</v>
      </c>
      <c r="C1867" s="1" t="s">
        <v>21</v>
      </c>
      <c r="D1867" s="4" t="s">
        <v>5731</v>
      </c>
      <c r="E1867" s="1" t="s">
        <v>71</v>
      </c>
      <c r="F1867" s="1" t="s">
        <v>5441</v>
      </c>
      <c r="G1867" s="1" t="s">
        <v>752</v>
      </c>
      <c r="H1867" s="7" t="s">
        <v>5732</v>
      </c>
      <c r="I1867" s="1" t="str">
        <f t="shared" si="1"/>
        <v>11</v>
      </c>
      <c r="J1867" s="5"/>
      <c r="K1867" s="1" t="str">
        <f t="shared" si="2"/>
        <v>9</v>
      </c>
      <c r="L1867" s="5"/>
      <c r="M1867" s="2" t="str">
        <f t="shared" si="3"/>
        <v>1393</v>
      </c>
      <c r="N1867" s="1"/>
      <c r="O1867" s="13">
        <v>627.0</v>
      </c>
      <c r="P1867" s="5"/>
      <c r="Q1867" s="5"/>
      <c r="R1867" s="8" t="s">
        <v>5732</v>
      </c>
      <c r="S1867" s="5"/>
      <c r="T1867" s="1" t="str">
        <f>IFERROR(__xludf.DUMMYFUNCTION("INDEX(SPLIT(A1867, ""/""), 2)"),"کانون‌های فرهنگی هنری")</f>
        <v>کانون‌های فرهنگی هنری</v>
      </c>
      <c r="U1867" s="1" t="str">
        <f>IFERROR(__xludf.DUMMYFUNCTION("INDEX(SPLIT(A1867, ""/""), 3)"),"روزنامه شریف")</f>
        <v>روزنامه شریف</v>
      </c>
      <c r="V1867" s="1" t="str">
        <f>IFERROR(__xludf.DUMMYFUNCTION("INDEX(SPLIT(A1867, ""/""), 4)"),"#REF!")</f>
        <v>#REF!</v>
      </c>
    </row>
    <row r="1868">
      <c r="A1868" s="1" t="s">
        <v>4070</v>
      </c>
      <c r="B1868" s="1" t="s">
        <v>5733</v>
      </c>
      <c r="C1868" s="1" t="s">
        <v>21</v>
      </c>
      <c r="D1868" s="4" t="s">
        <v>5734</v>
      </c>
      <c r="E1868" s="1" t="s">
        <v>71</v>
      </c>
      <c r="F1868" s="1" t="s">
        <v>5441</v>
      </c>
      <c r="G1868" s="1" t="s">
        <v>752</v>
      </c>
      <c r="H1868" s="1" t="s">
        <v>3394</v>
      </c>
      <c r="I1868" s="1" t="str">
        <f t="shared" si="1"/>
        <v>15</v>
      </c>
      <c r="J1868" s="5"/>
      <c r="K1868" s="1" t="str">
        <f t="shared" si="2"/>
        <v>9</v>
      </c>
      <c r="L1868" s="5"/>
      <c r="M1868" s="2" t="str">
        <f t="shared" si="3"/>
        <v>1393</v>
      </c>
      <c r="N1868" s="1"/>
      <c r="O1868" s="13">
        <v>628.0</v>
      </c>
      <c r="P1868" s="5"/>
      <c r="Q1868" s="5"/>
      <c r="R1868" s="6" t="s">
        <v>3394</v>
      </c>
      <c r="S1868" s="5"/>
      <c r="T1868" s="1" t="str">
        <f>IFERROR(__xludf.DUMMYFUNCTION("INDEX(SPLIT(A1868, ""/""), 2)"),"کانون‌های فرهنگی هنری")</f>
        <v>کانون‌های فرهنگی هنری</v>
      </c>
      <c r="U1868" s="1" t="str">
        <f>IFERROR(__xludf.DUMMYFUNCTION("INDEX(SPLIT(A1868, ""/""), 3)"),"روزنامه شریف")</f>
        <v>روزنامه شریف</v>
      </c>
      <c r="V1868" s="1" t="str">
        <f>IFERROR(__xludf.DUMMYFUNCTION("INDEX(SPLIT(A1868, ""/""), 4)"),"#REF!")</f>
        <v>#REF!</v>
      </c>
    </row>
    <row r="1869">
      <c r="A1869" s="1" t="s">
        <v>4070</v>
      </c>
      <c r="B1869" s="1" t="s">
        <v>5735</v>
      </c>
      <c r="C1869" s="1" t="s">
        <v>21</v>
      </c>
      <c r="D1869" s="4" t="s">
        <v>5736</v>
      </c>
      <c r="E1869" s="1" t="s">
        <v>71</v>
      </c>
      <c r="F1869" s="1" t="s">
        <v>5441</v>
      </c>
      <c r="G1869" s="1" t="s">
        <v>752</v>
      </c>
      <c r="H1869" s="1" t="s">
        <v>5737</v>
      </c>
      <c r="I1869" s="1" t="str">
        <f t="shared" si="1"/>
        <v>18</v>
      </c>
      <c r="J1869" s="5"/>
      <c r="K1869" s="1" t="str">
        <f t="shared" si="2"/>
        <v>9</v>
      </c>
      <c r="L1869" s="5"/>
      <c r="M1869" s="2" t="str">
        <f t="shared" si="3"/>
        <v>1393</v>
      </c>
      <c r="N1869" s="1"/>
      <c r="O1869" s="13">
        <v>629.0</v>
      </c>
      <c r="P1869" s="5"/>
      <c r="Q1869" s="5"/>
      <c r="R1869" s="6" t="s">
        <v>5737</v>
      </c>
      <c r="S1869" s="5"/>
      <c r="T1869" s="1" t="str">
        <f>IFERROR(__xludf.DUMMYFUNCTION("INDEX(SPLIT(A1869, ""/""), 2)"),"کانون‌های فرهنگی هنری")</f>
        <v>کانون‌های فرهنگی هنری</v>
      </c>
      <c r="U1869" s="1" t="str">
        <f>IFERROR(__xludf.DUMMYFUNCTION("INDEX(SPLIT(A1869, ""/""), 3)"),"روزنامه شریف")</f>
        <v>روزنامه شریف</v>
      </c>
      <c r="V1869" s="1" t="str">
        <f>IFERROR(__xludf.DUMMYFUNCTION("INDEX(SPLIT(A1869, ""/""), 4)"),"#REF!")</f>
        <v>#REF!</v>
      </c>
    </row>
    <row r="1870">
      <c r="A1870" s="1" t="s">
        <v>4070</v>
      </c>
      <c r="B1870" s="1" t="s">
        <v>5738</v>
      </c>
      <c r="C1870" s="1" t="s">
        <v>21</v>
      </c>
      <c r="D1870" s="4" t="s">
        <v>5739</v>
      </c>
      <c r="E1870" s="1" t="s">
        <v>71</v>
      </c>
      <c r="F1870" s="1" t="s">
        <v>5441</v>
      </c>
      <c r="G1870" s="1" t="s">
        <v>752</v>
      </c>
      <c r="H1870" s="1" t="s">
        <v>5740</v>
      </c>
      <c r="I1870" s="1" t="str">
        <f t="shared" si="1"/>
        <v>25</v>
      </c>
      <c r="J1870" s="5"/>
      <c r="K1870" s="1" t="str">
        <f t="shared" si="2"/>
        <v>9</v>
      </c>
      <c r="L1870" s="5"/>
      <c r="M1870" s="2" t="str">
        <f t="shared" si="3"/>
        <v>1393</v>
      </c>
      <c r="N1870" s="1"/>
      <c r="O1870" s="13">
        <v>630.0</v>
      </c>
      <c r="P1870" s="5"/>
      <c r="Q1870" s="5"/>
      <c r="R1870" s="6" t="s">
        <v>5740</v>
      </c>
      <c r="S1870" s="5"/>
      <c r="T1870" s="1" t="str">
        <f>IFERROR(__xludf.DUMMYFUNCTION("INDEX(SPLIT(A1870, ""/""), 2)"),"کانون‌های فرهنگی هنری")</f>
        <v>کانون‌های فرهنگی هنری</v>
      </c>
      <c r="U1870" s="1" t="str">
        <f>IFERROR(__xludf.DUMMYFUNCTION("INDEX(SPLIT(A1870, ""/""), 3)"),"روزنامه شریف")</f>
        <v>روزنامه شریف</v>
      </c>
      <c r="V1870" s="1" t="str">
        <f>IFERROR(__xludf.DUMMYFUNCTION("INDEX(SPLIT(A1870, ""/""), 4)"),"#REF!")</f>
        <v>#REF!</v>
      </c>
    </row>
    <row r="1871">
      <c r="A1871" s="1" t="s">
        <v>4070</v>
      </c>
      <c r="B1871" s="1" t="s">
        <v>5741</v>
      </c>
      <c r="C1871" s="1" t="s">
        <v>21</v>
      </c>
      <c r="D1871" s="4" t="s">
        <v>5742</v>
      </c>
      <c r="E1871" s="1" t="s">
        <v>71</v>
      </c>
      <c r="F1871" s="1" t="s">
        <v>5441</v>
      </c>
      <c r="G1871" s="1" t="s">
        <v>752</v>
      </c>
      <c r="H1871" s="1" t="s">
        <v>5743</v>
      </c>
      <c r="I1871" s="1" t="str">
        <f t="shared" si="1"/>
        <v>29</v>
      </c>
      <c r="J1871" s="5"/>
      <c r="K1871" s="1" t="str">
        <f t="shared" si="2"/>
        <v>9</v>
      </c>
      <c r="L1871" s="5"/>
      <c r="M1871" s="2" t="str">
        <f t="shared" si="3"/>
        <v>1393</v>
      </c>
      <c r="N1871" s="5"/>
      <c r="O1871" s="13">
        <v>631.0</v>
      </c>
      <c r="P1871" s="5"/>
      <c r="Q1871" s="5"/>
      <c r="R1871" s="6" t="s">
        <v>5743</v>
      </c>
      <c r="S1871" s="5"/>
      <c r="T1871" s="1" t="str">
        <f>IFERROR(__xludf.DUMMYFUNCTION("INDEX(SPLIT(A1871, ""/""), 2)"),"کانون‌های فرهنگی هنری")</f>
        <v>کانون‌های فرهنگی هنری</v>
      </c>
      <c r="U1871" s="1" t="str">
        <f>IFERROR(__xludf.DUMMYFUNCTION("INDEX(SPLIT(A1871, ""/""), 3)"),"روزنامه شریف")</f>
        <v>روزنامه شریف</v>
      </c>
      <c r="V1871" s="1" t="str">
        <f>IFERROR(__xludf.DUMMYFUNCTION("INDEX(SPLIT(A1871, ""/""), 4)"),"#REF!")</f>
        <v>#REF!</v>
      </c>
    </row>
    <row r="1872">
      <c r="A1872" s="1" t="s">
        <v>4070</v>
      </c>
      <c r="B1872" s="1" t="s">
        <v>5744</v>
      </c>
      <c r="C1872" s="1" t="s">
        <v>21</v>
      </c>
      <c r="D1872" s="4" t="s">
        <v>5745</v>
      </c>
      <c r="E1872" s="1" t="s">
        <v>71</v>
      </c>
      <c r="F1872" s="1" t="s">
        <v>5441</v>
      </c>
      <c r="G1872" s="1" t="s">
        <v>752</v>
      </c>
      <c r="H1872" s="7" t="s">
        <v>5746</v>
      </c>
      <c r="I1872" s="1" t="str">
        <f t="shared" si="1"/>
        <v>6</v>
      </c>
      <c r="J1872" s="5"/>
      <c r="K1872" s="1" t="str">
        <f t="shared" si="2"/>
        <v>10</v>
      </c>
      <c r="L1872" s="5"/>
      <c r="M1872" s="2" t="str">
        <f t="shared" si="3"/>
        <v>1393</v>
      </c>
      <c r="N1872" s="1"/>
      <c r="O1872" s="13">
        <v>632.0</v>
      </c>
      <c r="P1872" s="5"/>
      <c r="Q1872" s="5"/>
      <c r="R1872" s="8" t="s">
        <v>5746</v>
      </c>
      <c r="S1872" s="5"/>
      <c r="T1872" s="1" t="str">
        <f>IFERROR(__xludf.DUMMYFUNCTION("INDEX(SPLIT(A1872, ""/""), 2)"),"کانون‌های فرهنگی هنری")</f>
        <v>کانون‌های فرهنگی هنری</v>
      </c>
      <c r="U1872" s="1" t="str">
        <f>IFERROR(__xludf.DUMMYFUNCTION("INDEX(SPLIT(A1872, ""/""), 3)"),"روزنامه شریف")</f>
        <v>روزنامه شریف</v>
      </c>
      <c r="V1872" s="1" t="str">
        <f>IFERROR(__xludf.DUMMYFUNCTION("INDEX(SPLIT(A1872, ""/""), 4)"),"#REF!")</f>
        <v>#REF!</v>
      </c>
    </row>
    <row r="1873">
      <c r="A1873" s="1" t="s">
        <v>4070</v>
      </c>
      <c r="B1873" s="1" t="s">
        <v>5747</v>
      </c>
      <c r="C1873" s="1" t="s">
        <v>21</v>
      </c>
      <c r="D1873" s="4" t="s">
        <v>5748</v>
      </c>
      <c r="E1873" s="1" t="s">
        <v>71</v>
      </c>
      <c r="F1873" s="1" t="s">
        <v>5441</v>
      </c>
      <c r="G1873" s="1" t="s">
        <v>752</v>
      </c>
      <c r="H1873" s="7" t="s">
        <v>5749</v>
      </c>
      <c r="I1873" s="1" t="str">
        <f t="shared" si="1"/>
        <v>9</v>
      </c>
      <c r="J1873" s="5"/>
      <c r="K1873" s="1" t="str">
        <f t="shared" si="2"/>
        <v>10</v>
      </c>
      <c r="L1873" s="5"/>
      <c r="M1873" s="2" t="str">
        <f t="shared" si="3"/>
        <v>1393</v>
      </c>
      <c r="N1873" s="1"/>
      <c r="O1873" s="13">
        <v>633.0</v>
      </c>
      <c r="P1873" s="5"/>
      <c r="Q1873" s="5"/>
      <c r="R1873" s="8" t="s">
        <v>5749</v>
      </c>
      <c r="S1873" s="5"/>
      <c r="T1873" s="1" t="str">
        <f>IFERROR(__xludf.DUMMYFUNCTION("INDEX(SPLIT(A1873, ""/""), 2)"),"کانون‌های فرهنگی هنری")</f>
        <v>کانون‌های فرهنگی هنری</v>
      </c>
      <c r="U1873" s="1" t="str">
        <f>IFERROR(__xludf.DUMMYFUNCTION("INDEX(SPLIT(A1873, ""/""), 3)"),"روزنامه شریف")</f>
        <v>روزنامه شریف</v>
      </c>
      <c r="V1873" s="1" t="str">
        <f>IFERROR(__xludf.DUMMYFUNCTION("INDEX(SPLIT(A1873, ""/""), 4)"),"#REF!")</f>
        <v>#REF!</v>
      </c>
    </row>
    <row r="1874">
      <c r="A1874" s="1" t="s">
        <v>4070</v>
      </c>
      <c r="B1874" s="1" t="s">
        <v>5750</v>
      </c>
      <c r="C1874" s="1" t="s">
        <v>21</v>
      </c>
      <c r="D1874" s="4" t="s">
        <v>5751</v>
      </c>
      <c r="E1874" s="1" t="s">
        <v>71</v>
      </c>
      <c r="F1874" s="1" t="s">
        <v>5441</v>
      </c>
      <c r="G1874" s="1" t="s">
        <v>752</v>
      </c>
      <c r="H1874" s="1" t="s">
        <v>5752</v>
      </c>
      <c r="I1874" s="1" t="str">
        <f t="shared" si="1"/>
        <v>14</v>
      </c>
      <c r="J1874" s="5"/>
      <c r="K1874" s="1" t="str">
        <f t="shared" si="2"/>
        <v>11</v>
      </c>
      <c r="L1874" s="5"/>
      <c r="M1874" s="2" t="str">
        <f t="shared" si="3"/>
        <v>1393</v>
      </c>
      <c r="N1874" s="1"/>
      <c r="O1874" s="13">
        <v>634.0</v>
      </c>
      <c r="P1874" s="5"/>
      <c r="Q1874" s="5"/>
      <c r="R1874" s="6" t="s">
        <v>5752</v>
      </c>
      <c r="S1874" s="5"/>
      <c r="T1874" s="1" t="str">
        <f>IFERROR(__xludf.DUMMYFUNCTION("INDEX(SPLIT(A1874, ""/""), 2)"),"کانون‌های فرهنگی هنری")</f>
        <v>کانون‌های فرهنگی هنری</v>
      </c>
      <c r="U1874" s="1" t="str">
        <f>IFERROR(__xludf.DUMMYFUNCTION("INDEX(SPLIT(A1874, ""/""), 3)"),"روزنامه شریف")</f>
        <v>روزنامه شریف</v>
      </c>
      <c r="V1874" s="1" t="str">
        <f>IFERROR(__xludf.DUMMYFUNCTION("INDEX(SPLIT(A1874, ""/""), 4)"),"#REF!")</f>
        <v>#REF!</v>
      </c>
    </row>
    <row r="1875">
      <c r="A1875" s="1" t="s">
        <v>4070</v>
      </c>
      <c r="B1875" s="1" t="s">
        <v>5753</v>
      </c>
      <c r="C1875" s="1" t="s">
        <v>21</v>
      </c>
      <c r="D1875" s="4" t="s">
        <v>5754</v>
      </c>
      <c r="E1875" s="1" t="s">
        <v>71</v>
      </c>
      <c r="F1875" s="1" t="s">
        <v>5441</v>
      </c>
      <c r="G1875" s="1" t="s">
        <v>752</v>
      </c>
      <c r="H1875" s="1" t="s">
        <v>1141</v>
      </c>
      <c r="I1875" s="1" t="str">
        <f t="shared" si="1"/>
        <v>19</v>
      </c>
      <c r="J1875" s="5"/>
      <c r="K1875" s="1" t="str">
        <f t="shared" si="2"/>
        <v>11</v>
      </c>
      <c r="L1875" s="5"/>
      <c r="M1875" s="2" t="str">
        <f t="shared" si="3"/>
        <v>1393</v>
      </c>
      <c r="N1875" s="5"/>
      <c r="O1875" s="13">
        <v>635.0</v>
      </c>
      <c r="P1875" s="5"/>
      <c r="Q1875" s="5"/>
      <c r="R1875" s="6" t="s">
        <v>1141</v>
      </c>
      <c r="S1875" s="5"/>
      <c r="T1875" s="1" t="str">
        <f>IFERROR(__xludf.DUMMYFUNCTION("INDEX(SPLIT(A1875, ""/""), 2)"),"کانون‌های فرهنگی هنری")</f>
        <v>کانون‌های فرهنگی هنری</v>
      </c>
      <c r="U1875" s="1" t="str">
        <f>IFERROR(__xludf.DUMMYFUNCTION("INDEX(SPLIT(A1875, ""/""), 3)"),"روزنامه شریف")</f>
        <v>روزنامه شریف</v>
      </c>
      <c r="V1875" s="1" t="str">
        <f>IFERROR(__xludf.DUMMYFUNCTION("INDEX(SPLIT(A1875, ""/""), 4)"),"#REF!")</f>
        <v>#REF!</v>
      </c>
    </row>
    <row r="1876">
      <c r="A1876" s="1" t="s">
        <v>4070</v>
      </c>
      <c r="B1876" s="1" t="s">
        <v>5755</v>
      </c>
      <c r="C1876" s="1" t="s">
        <v>21</v>
      </c>
      <c r="D1876" s="4" t="s">
        <v>5756</v>
      </c>
      <c r="E1876" s="1" t="s">
        <v>71</v>
      </c>
      <c r="F1876" s="1" t="s">
        <v>5441</v>
      </c>
      <c r="G1876" s="1" t="s">
        <v>752</v>
      </c>
      <c r="H1876" s="1" t="s">
        <v>5757</v>
      </c>
      <c r="I1876" s="1" t="str">
        <f t="shared" si="1"/>
        <v>21</v>
      </c>
      <c r="J1876" s="5"/>
      <c r="K1876" s="1" t="str">
        <f t="shared" si="2"/>
        <v>11</v>
      </c>
      <c r="L1876" s="5"/>
      <c r="M1876" s="2" t="str">
        <f t="shared" si="3"/>
        <v>1393</v>
      </c>
      <c r="N1876" s="5"/>
      <c r="O1876" s="13">
        <v>636.0</v>
      </c>
      <c r="P1876" s="5"/>
      <c r="Q1876" s="5"/>
      <c r="R1876" s="6" t="s">
        <v>5757</v>
      </c>
      <c r="S1876" s="5"/>
      <c r="T1876" s="1" t="str">
        <f>IFERROR(__xludf.DUMMYFUNCTION("INDEX(SPLIT(A1876, ""/""), 2)"),"کانون‌های فرهنگی هنری")</f>
        <v>کانون‌های فرهنگی هنری</v>
      </c>
      <c r="U1876" s="1" t="str">
        <f>IFERROR(__xludf.DUMMYFUNCTION("INDEX(SPLIT(A1876, ""/""), 3)"),"روزنامه شریف")</f>
        <v>روزنامه شریف</v>
      </c>
      <c r="V1876" s="1" t="str">
        <f>IFERROR(__xludf.DUMMYFUNCTION("INDEX(SPLIT(A1876, ""/""), 4)"),"#REF!")</f>
        <v>#REF!</v>
      </c>
    </row>
    <row r="1877">
      <c r="A1877" s="1" t="s">
        <v>4070</v>
      </c>
      <c r="B1877" s="1" t="s">
        <v>5758</v>
      </c>
      <c r="C1877" s="1" t="s">
        <v>21</v>
      </c>
      <c r="D1877" s="4" t="s">
        <v>5759</v>
      </c>
      <c r="E1877" s="1" t="s">
        <v>71</v>
      </c>
      <c r="F1877" s="1" t="s">
        <v>5441</v>
      </c>
      <c r="G1877" s="1" t="s">
        <v>752</v>
      </c>
      <c r="H1877" s="1" t="s">
        <v>5760</v>
      </c>
      <c r="I1877" s="1" t="str">
        <f t="shared" si="1"/>
        <v>25</v>
      </c>
      <c r="J1877" s="5"/>
      <c r="K1877" s="1" t="str">
        <f t="shared" si="2"/>
        <v>11</v>
      </c>
      <c r="L1877" s="5"/>
      <c r="M1877" s="2" t="str">
        <f t="shared" si="3"/>
        <v>1393</v>
      </c>
      <c r="N1877" s="1"/>
      <c r="O1877" s="13">
        <v>637.0</v>
      </c>
      <c r="P1877" s="5"/>
      <c r="Q1877" s="5"/>
      <c r="R1877" s="6" t="s">
        <v>5760</v>
      </c>
      <c r="S1877" s="5"/>
      <c r="T1877" s="1" t="str">
        <f>IFERROR(__xludf.DUMMYFUNCTION("INDEX(SPLIT(A1877, ""/""), 2)"),"کانون‌های فرهنگی هنری")</f>
        <v>کانون‌های فرهنگی هنری</v>
      </c>
      <c r="U1877" s="1" t="str">
        <f>IFERROR(__xludf.DUMMYFUNCTION("INDEX(SPLIT(A1877, ""/""), 3)"),"روزنامه شریف")</f>
        <v>روزنامه شریف</v>
      </c>
      <c r="V1877" s="1" t="str">
        <f>IFERROR(__xludf.DUMMYFUNCTION("INDEX(SPLIT(A1877, ""/""), 4)"),"#REF!")</f>
        <v>#REF!</v>
      </c>
    </row>
    <row r="1878">
      <c r="A1878" s="1" t="s">
        <v>4070</v>
      </c>
      <c r="B1878" s="1" t="s">
        <v>5761</v>
      </c>
      <c r="C1878" s="1" t="s">
        <v>21</v>
      </c>
      <c r="D1878" s="4" t="s">
        <v>5762</v>
      </c>
      <c r="E1878" s="1" t="s">
        <v>71</v>
      </c>
      <c r="F1878" s="1" t="s">
        <v>5441</v>
      </c>
      <c r="G1878" s="1" t="s">
        <v>752</v>
      </c>
      <c r="H1878" s="1" t="s">
        <v>5763</v>
      </c>
      <c r="I1878" s="1" t="str">
        <f t="shared" si="1"/>
        <v>28</v>
      </c>
      <c r="J1878" s="5"/>
      <c r="K1878" s="1" t="str">
        <f t="shared" si="2"/>
        <v>11</v>
      </c>
      <c r="L1878" s="5"/>
      <c r="M1878" s="2" t="str">
        <f t="shared" si="3"/>
        <v>1393</v>
      </c>
      <c r="N1878" s="1"/>
      <c r="O1878" s="13">
        <v>638.0</v>
      </c>
      <c r="P1878" s="5"/>
      <c r="Q1878" s="5"/>
      <c r="R1878" s="6" t="s">
        <v>5763</v>
      </c>
      <c r="S1878" s="5"/>
      <c r="T1878" s="1" t="str">
        <f>IFERROR(__xludf.DUMMYFUNCTION("INDEX(SPLIT(A1878, ""/""), 2)"),"کانون‌های فرهنگی هنری")</f>
        <v>کانون‌های فرهنگی هنری</v>
      </c>
      <c r="U1878" s="1" t="str">
        <f>IFERROR(__xludf.DUMMYFUNCTION("INDEX(SPLIT(A1878, ""/""), 3)"),"روزنامه شریف")</f>
        <v>روزنامه شریف</v>
      </c>
      <c r="V1878" s="1" t="str">
        <f>IFERROR(__xludf.DUMMYFUNCTION("INDEX(SPLIT(A1878, ""/""), 4)"),"#REF!")</f>
        <v>#REF!</v>
      </c>
    </row>
    <row r="1879">
      <c r="A1879" s="1" t="s">
        <v>4070</v>
      </c>
      <c r="B1879" s="1" t="s">
        <v>5764</v>
      </c>
      <c r="C1879" s="1" t="s">
        <v>21</v>
      </c>
      <c r="D1879" s="4" t="s">
        <v>5765</v>
      </c>
      <c r="E1879" s="1" t="s">
        <v>71</v>
      </c>
      <c r="F1879" s="1" t="s">
        <v>5441</v>
      </c>
      <c r="G1879" s="1" t="s">
        <v>752</v>
      </c>
      <c r="H1879" s="7" t="s">
        <v>5766</v>
      </c>
      <c r="I1879" s="1" t="str">
        <f t="shared" si="1"/>
        <v>2</v>
      </c>
      <c r="J1879" s="5"/>
      <c r="K1879" s="1" t="str">
        <f t="shared" si="2"/>
        <v>12</v>
      </c>
      <c r="L1879" s="5"/>
      <c r="M1879" s="2" t="str">
        <f t="shared" si="3"/>
        <v>1393</v>
      </c>
      <c r="N1879" s="1"/>
      <c r="O1879" s="13">
        <v>639.0</v>
      </c>
      <c r="P1879" s="5"/>
      <c r="Q1879" s="5"/>
      <c r="R1879" s="8" t="s">
        <v>5766</v>
      </c>
      <c r="S1879" s="5"/>
      <c r="T1879" s="1" t="str">
        <f>IFERROR(__xludf.DUMMYFUNCTION("INDEX(SPLIT(A1879, ""/""), 2)"),"کانون‌های فرهنگی هنری")</f>
        <v>کانون‌های فرهنگی هنری</v>
      </c>
      <c r="U1879" s="1" t="str">
        <f>IFERROR(__xludf.DUMMYFUNCTION("INDEX(SPLIT(A1879, ""/""), 3)"),"روزنامه شریف")</f>
        <v>روزنامه شریف</v>
      </c>
      <c r="V1879" s="1" t="str">
        <f>IFERROR(__xludf.DUMMYFUNCTION("INDEX(SPLIT(A1879, ""/""), 4)"),"#REF!")</f>
        <v>#REF!</v>
      </c>
    </row>
    <row r="1880">
      <c r="A1880" s="1" t="s">
        <v>4070</v>
      </c>
      <c r="B1880" s="1" t="s">
        <v>5767</v>
      </c>
      <c r="C1880" s="1" t="s">
        <v>21</v>
      </c>
      <c r="D1880" s="4" t="s">
        <v>5768</v>
      </c>
      <c r="E1880" s="1" t="s">
        <v>71</v>
      </c>
      <c r="F1880" s="1" t="s">
        <v>5441</v>
      </c>
      <c r="G1880" s="1" t="s">
        <v>752</v>
      </c>
      <c r="H1880" s="7" t="s">
        <v>5769</v>
      </c>
      <c r="I1880" s="1" t="str">
        <f t="shared" si="1"/>
        <v>5</v>
      </c>
      <c r="J1880" s="5"/>
      <c r="K1880" s="1" t="str">
        <f t="shared" si="2"/>
        <v>12</v>
      </c>
      <c r="L1880" s="5"/>
      <c r="M1880" s="2" t="str">
        <f t="shared" si="3"/>
        <v>1393</v>
      </c>
      <c r="N1880" s="1"/>
      <c r="O1880" s="13">
        <v>640.0</v>
      </c>
      <c r="P1880" s="5"/>
      <c r="Q1880" s="5"/>
      <c r="R1880" s="8" t="s">
        <v>5769</v>
      </c>
      <c r="S1880" s="5"/>
      <c r="T1880" s="1" t="str">
        <f>IFERROR(__xludf.DUMMYFUNCTION("INDEX(SPLIT(A1880, ""/""), 2)"),"کانون‌های فرهنگی هنری")</f>
        <v>کانون‌های فرهنگی هنری</v>
      </c>
      <c r="U1880" s="1" t="str">
        <f>IFERROR(__xludf.DUMMYFUNCTION("INDEX(SPLIT(A1880, ""/""), 3)"),"روزنامه شریف")</f>
        <v>روزنامه شریف</v>
      </c>
      <c r="V1880" s="1" t="str">
        <f>IFERROR(__xludf.DUMMYFUNCTION("INDEX(SPLIT(A1880, ""/""), 4)"),"#REF!")</f>
        <v>#REF!</v>
      </c>
    </row>
    <row r="1881">
      <c r="A1881" s="1" t="s">
        <v>4070</v>
      </c>
      <c r="B1881" s="1" t="s">
        <v>5770</v>
      </c>
      <c r="C1881" s="1" t="s">
        <v>21</v>
      </c>
      <c r="D1881" s="4" t="s">
        <v>5771</v>
      </c>
      <c r="E1881" s="1" t="s">
        <v>71</v>
      </c>
      <c r="F1881" s="1" t="s">
        <v>5441</v>
      </c>
      <c r="G1881" s="1" t="s">
        <v>752</v>
      </c>
      <c r="H1881" s="7" t="s">
        <v>5772</v>
      </c>
      <c r="I1881" s="1" t="str">
        <f t="shared" si="1"/>
        <v>9</v>
      </c>
      <c r="J1881" s="5"/>
      <c r="K1881" s="1" t="str">
        <f t="shared" si="2"/>
        <v>12</v>
      </c>
      <c r="L1881" s="5"/>
      <c r="M1881" s="2" t="str">
        <f t="shared" si="3"/>
        <v>1393</v>
      </c>
      <c r="N1881" s="5"/>
      <c r="O1881" s="13">
        <v>641.0</v>
      </c>
      <c r="P1881" s="5"/>
      <c r="Q1881" s="5"/>
      <c r="R1881" s="8" t="s">
        <v>5772</v>
      </c>
      <c r="S1881" s="5"/>
      <c r="T1881" s="1" t="str">
        <f>IFERROR(__xludf.DUMMYFUNCTION("INDEX(SPLIT(A1881, ""/""), 2)"),"کانون‌های فرهنگی هنری")</f>
        <v>کانون‌های فرهنگی هنری</v>
      </c>
      <c r="U1881" s="1" t="str">
        <f>IFERROR(__xludf.DUMMYFUNCTION("INDEX(SPLIT(A1881, ""/""), 3)"),"روزنامه شریف")</f>
        <v>روزنامه شریف</v>
      </c>
      <c r="V1881" s="1" t="str">
        <f>IFERROR(__xludf.DUMMYFUNCTION("INDEX(SPLIT(A1881, ""/""), 4)"),"#REF!")</f>
        <v>#REF!</v>
      </c>
    </row>
    <row r="1882">
      <c r="A1882" s="1" t="s">
        <v>4070</v>
      </c>
      <c r="B1882" s="1" t="s">
        <v>5773</v>
      </c>
      <c r="C1882" s="1" t="s">
        <v>21</v>
      </c>
      <c r="D1882" s="4" t="s">
        <v>5774</v>
      </c>
      <c r="E1882" s="1" t="s">
        <v>71</v>
      </c>
      <c r="F1882" s="1" t="s">
        <v>5441</v>
      </c>
      <c r="G1882" s="1" t="s">
        <v>752</v>
      </c>
      <c r="H1882" s="7" t="s">
        <v>5775</v>
      </c>
      <c r="I1882" s="1" t="str">
        <f t="shared" si="1"/>
        <v>12</v>
      </c>
      <c r="J1882" s="5"/>
      <c r="K1882" s="1" t="str">
        <f t="shared" si="2"/>
        <v>12</v>
      </c>
      <c r="L1882" s="5"/>
      <c r="M1882" s="2" t="str">
        <f t="shared" si="3"/>
        <v>1393</v>
      </c>
      <c r="N1882" s="1"/>
      <c r="O1882" s="13">
        <v>642.0</v>
      </c>
      <c r="P1882" s="5"/>
      <c r="Q1882" s="5"/>
      <c r="R1882" s="8" t="s">
        <v>5775</v>
      </c>
      <c r="S1882" s="5"/>
      <c r="T1882" s="1" t="str">
        <f>IFERROR(__xludf.DUMMYFUNCTION("INDEX(SPLIT(A1882, ""/""), 2)"),"کانون‌های فرهنگی هنری")</f>
        <v>کانون‌های فرهنگی هنری</v>
      </c>
      <c r="U1882" s="1" t="str">
        <f>IFERROR(__xludf.DUMMYFUNCTION("INDEX(SPLIT(A1882, ""/""), 3)"),"روزنامه شریف")</f>
        <v>روزنامه شریف</v>
      </c>
      <c r="V1882" s="1" t="str">
        <f>IFERROR(__xludf.DUMMYFUNCTION("INDEX(SPLIT(A1882, ""/""), 4)"),"#REF!")</f>
        <v>#REF!</v>
      </c>
    </row>
    <row r="1883">
      <c r="A1883" s="1" t="s">
        <v>4070</v>
      </c>
      <c r="B1883" s="1" t="s">
        <v>5776</v>
      </c>
      <c r="C1883" s="1" t="s">
        <v>21</v>
      </c>
      <c r="D1883" s="4" t="s">
        <v>5777</v>
      </c>
      <c r="E1883" s="1" t="s">
        <v>71</v>
      </c>
      <c r="F1883" s="1" t="s">
        <v>5441</v>
      </c>
      <c r="G1883" s="1" t="s">
        <v>752</v>
      </c>
      <c r="H1883" s="1" t="s">
        <v>5778</v>
      </c>
      <c r="I1883" s="1" t="str">
        <f t="shared" si="1"/>
        <v>16</v>
      </c>
      <c r="J1883" s="5"/>
      <c r="K1883" s="1" t="str">
        <f t="shared" si="2"/>
        <v>12</v>
      </c>
      <c r="L1883" s="5"/>
      <c r="M1883" s="2" t="str">
        <f t="shared" si="3"/>
        <v>1393</v>
      </c>
      <c r="N1883" s="1"/>
      <c r="O1883" s="13">
        <v>643.0</v>
      </c>
      <c r="P1883" s="5"/>
      <c r="Q1883" s="5"/>
      <c r="R1883" s="6" t="s">
        <v>5778</v>
      </c>
      <c r="S1883" s="5"/>
      <c r="T1883" s="1" t="str">
        <f>IFERROR(__xludf.DUMMYFUNCTION("INDEX(SPLIT(A1883, ""/""), 2)"),"کانون‌های فرهنگی هنری")</f>
        <v>کانون‌های فرهنگی هنری</v>
      </c>
      <c r="U1883" s="1" t="str">
        <f>IFERROR(__xludf.DUMMYFUNCTION("INDEX(SPLIT(A1883, ""/""), 3)"),"روزنامه شریف")</f>
        <v>روزنامه شریف</v>
      </c>
      <c r="V1883" s="1" t="str">
        <f>IFERROR(__xludf.DUMMYFUNCTION("INDEX(SPLIT(A1883, ""/""), 4)"),"#REF!")</f>
        <v>#REF!</v>
      </c>
    </row>
    <row r="1884">
      <c r="A1884" s="1" t="s">
        <v>4070</v>
      </c>
      <c r="B1884" s="1" t="s">
        <v>5779</v>
      </c>
      <c r="C1884" s="1" t="s">
        <v>21</v>
      </c>
      <c r="D1884" s="4" t="s">
        <v>5780</v>
      </c>
      <c r="E1884" s="1" t="s">
        <v>71</v>
      </c>
      <c r="F1884" s="1" t="s">
        <v>5441</v>
      </c>
      <c r="G1884" s="1" t="s">
        <v>752</v>
      </c>
      <c r="H1884" s="1" t="s">
        <v>5781</v>
      </c>
      <c r="I1884" s="1" t="str">
        <f t="shared" si="1"/>
        <v>19</v>
      </c>
      <c r="J1884" s="5"/>
      <c r="K1884" s="1" t="str">
        <f t="shared" si="2"/>
        <v>12</v>
      </c>
      <c r="L1884" s="5"/>
      <c r="M1884" s="2" t="str">
        <f t="shared" si="3"/>
        <v>1393</v>
      </c>
      <c r="N1884" s="1"/>
      <c r="O1884" s="13">
        <v>644.0</v>
      </c>
      <c r="P1884" s="5"/>
      <c r="Q1884" s="5"/>
      <c r="R1884" s="6" t="s">
        <v>5781</v>
      </c>
      <c r="S1884" s="5"/>
      <c r="T1884" s="1" t="str">
        <f>IFERROR(__xludf.DUMMYFUNCTION("INDEX(SPLIT(A1884, ""/""), 2)"),"کانون‌های فرهنگی هنری")</f>
        <v>کانون‌های فرهنگی هنری</v>
      </c>
      <c r="U1884" s="1" t="str">
        <f>IFERROR(__xludf.DUMMYFUNCTION("INDEX(SPLIT(A1884, ""/""), 3)"),"روزنامه شریف")</f>
        <v>روزنامه شریف</v>
      </c>
      <c r="V1884" s="1" t="str">
        <f>IFERROR(__xludf.DUMMYFUNCTION("INDEX(SPLIT(A1884, ""/""), 4)"),"#REF!")</f>
        <v>#REF!</v>
      </c>
    </row>
    <row r="1885">
      <c r="A1885" s="1" t="s">
        <v>4070</v>
      </c>
      <c r="B1885" s="1" t="s">
        <v>5782</v>
      </c>
      <c r="C1885" s="1" t="s">
        <v>21</v>
      </c>
      <c r="D1885" s="4" t="s">
        <v>5783</v>
      </c>
      <c r="E1885" s="1" t="s">
        <v>71</v>
      </c>
      <c r="F1885" s="1" t="s">
        <v>5441</v>
      </c>
      <c r="G1885" s="1" t="s">
        <v>752</v>
      </c>
      <c r="H1885" s="1" t="s">
        <v>5784</v>
      </c>
      <c r="I1885" s="1" t="str">
        <f t="shared" si="1"/>
        <v>18</v>
      </c>
      <c r="J1885" s="5"/>
      <c r="K1885" s="1" t="str">
        <f t="shared" si="2"/>
        <v>1</v>
      </c>
      <c r="L1885" s="5"/>
      <c r="M1885" s="2" t="str">
        <f t="shared" si="3"/>
        <v>1394</v>
      </c>
      <c r="N1885" s="1"/>
      <c r="O1885" s="13">
        <v>645.0</v>
      </c>
      <c r="P1885" s="5"/>
      <c r="Q1885" s="5"/>
      <c r="R1885" s="6" t="s">
        <v>5784</v>
      </c>
      <c r="S1885" s="5"/>
      <c r="T1885" s="1" t="str">
        <f>IFERROR(__xludf.DUMMYFUNCTION("INDEX(SPLIT(A1885, ""/""), 2)"),"کانون‌های فرهنگی هنری")</f>
        <v>کانون‌های فرهنگی هنری</v>
      </c>
      <c r="U1885" s="1" t="str">
        <f>IFERROR(__xludf.DUMMYFUNCTION("INDEX(SPLIT(A1885, ""/""), 3)"),"روزنامه شریف")</f>
        <v>روزنامه شریف</v>
      </c>
      <c r="V1885" s="1" t="str">
        <f>IFERROR(__xludf.DUMMYFUNCTION("INDEX(SPLIT(A1885, ""/""), 4)"),"#REF!")</f>
        <v>#REF!</v>
      </c>
    </row>
    <row r="1886">
      <c r="A1886" s="1" t="s">
        <v>4070</v>
      </c>
      <c r="B1886" s="1" t="s">
        <v>5785</v>
      </c>
      <c r="C1886" s="1" t="s">
        <v>21</v>
      </c>
      <c r="D1886" s="4" t="s">
        <v>5786</v>
      </c>
      <c r="E1886" s="1" t="s">
        <v>71</v>
      </c>
      <c r="F1886" s="1" t="s">
        <v>5441</v>
      </c>
      <c r="G1886" s="1" t="s">
        <v>752</v>
      </c>
      <c r="H1886" s="1" t="s">
        <v>5787</v>
      </c>
      <c r="I1886" s="1" t="str">
        <f t="shared" si="1"/>
        <v>22</v>
      </c>
      <c r="J1886" s="5"/>
      <c r="K1886" s="1" t="str">
        <f t="shared" si="2"/>
        <v>1</v>
      </c>
      <c r="L1886" s="5"/>
      <c r="M1886" s="2" t="str">
        <f t="shared" si="3"/>
        <v>1394</v>
      </c>
      <c r="N1886" s="5"/>
      <c r="O1886" s="13">
        <v>646.0</v>
      </c>
      <c r="P1886" s="5"/>
      <c r="Q1886" s="5"/>
      <c r="R1886" s="6" t="s">
        <v>5787</v>
      </c>
      <c r="S1886" s="5"/>
      <c r="T1886" s="1" t="str">
        <f>IFERROR(__xludf.DUMMYFUNCTION("INDEX(SPLIT(A1886, ""/""), 2)"),"کانون‌های فرهنگی هنری")</f>
        <v>کانون‌های فرهنگی هنری</v>
      </c>
      <c r="U1886" s="1" t="str">
        <f>IFERROR(__xludf.DUMMYFUNCTION("INDEX(SPLIT(A1886, ""/""), 3)"),"روزنامه شریف")</f>
        <v>روزنامه شریف</v>
      </c>
      <c r="V1886" s="1" t="str">
        <f>IFERROR(__xludf.DUMMYFUNCTION("INDEX(SPLIT(A1886, ""/""), 4)"),"#REF!")</f>
        <v>#REF!</v>
      </c>
    </row>
    <row r="1887">
      <c r="A1887" s="1" t="s">
        <v>4070</v>
      </c>
      <c r="B1887" s="1" t="s">
        <v>5788</v>
      </c>
      <c r="C1887" s="1" t="s">
        <v>21</v>
      </c>
      <c r="D1887" s="4" t="s">
        <v>5789</v>
      </c>
      <c r="E1887" s="1" t="s">
        <v>71</v>
      </c>
      <c r="F1887" s="1" t="s">
        <v>5441</v>
      </c>
      <c r="G1887" s="1" t="s">
        <v>752</v>
      </c>
      <c r="H1887" s="1" t="s">
        <v>5790</v>
      </c>
      <c r="I1887" s="1" t="str">
        <f t="shared" si="1"/>
        <v>25</v>
      </c>
      <c r="J1887" s="5"/>
      <c r="K1887" s="1" t="str">
        <f t="shared" si="2"/>
        <v>1</v>
      </c>
      <c r="L1887" s="5"/>
      <c r="M1887" s="2" t="str">
        <f t="shared" si="3"/>
        <v>1394</v>
      </c>
      <c r="N1887" s="5"/>
      <c r="O1887" s="13">
        <v>647.0</v>
      </c>
      <c r="P1887" s="5"/>
      <c r="Q1887" s="5"/>
      <c r="R1887" s="6" t="s">
        <v>5790</v>
      </c>
      <c r="S1887" s="5"/>
      <c r="T1887" s="1" t="str">
        <f>IFERROR(__xludf.DUMMYFUNCTION("INDEX(SPLIT(A1887, ""/""), 2)"),"کانون‌های فرهنگی هنری")</f>
        <v>کانون‌های فرهنگی هنری</v>
      </c>
      <c r="U1887" s="1" t="str">
        <f>IFERROR(__xludf.DUMMYFUNCTION("INDEX(SPLIT(A1887, ""/""), 3)"),"روزنامه شریف")</f>
        <v>روزنامه شریف</v>
      </c>
      <c r="V1887" s="1" t="str">
        <f>IFERROR(__xludf.DUMMYFUNCTION("INDEX(SPLIT(A1887, ""/""), 4)"),"#REF!")</f>
        <v>#REF!</v>
      </c>
    </row>
    <row r="1888">
      <c r="A1888" s="1" t="s">
        <v>4070</v>
      </c>
      <c r="B1888" s="1" t="s">
        <v>5791</v>
      </c>
      <c r="C1888" s="1" t="s">
        <v>21</v>
      </c>
      <c r="D1888" s="4" t="s">
        <v>5792</v>
      </c>
      <c r="E1888" s="1" t="s">
        <v>71</v>
      </c>
      <c r="F1888" s="1" t="s">
        <v>5441</v>
      </c>
      <c r="G1888" s="1" t="s">
        <v>752</v>
      </c>
      <c r="H1888" s="1" t="s">
        <v>5793</v>
      </c>
      <c r="I1888" s="1" t="str">
        <f t="shared" si="1"/>
        <v>29</v>
      </c>
      <c r="J1888" s="5"/>
      <c r="K1888" s="1" t="str">
        <f t="shared" si="2"/>
        <v>1</v>
      </c>
      <c r="L1888" s="5"/>
      <c r="M1888" s="2" t="str">
        <f t="shared" si="3"/>
        <v>1394</v>
      </c>
      <c r="N1888" s="5"/>
      <c r="O1888" s="13">
        <v>648.0</v>
      </c>
      <c r="P1888" s="5"/>
      <c r="Q1888" s="5"/>
      <c r="R1888" s="6" t="s">
        <v>5793</v>
      </c>
      <c r="S1888" s="5"/>
      <c r="T1888" s="1" t="str">
        <f>IFERROR(__xludf.DUMMYFUNCTION("INDEX(SPLIT(A1888, ""/""), 2)"),"کانون‌های فرهنگی هنری")</f>
        <v>کانون‌های فرهنگی هنری</v>
      </c>
      <c r="U1888" s="1" t="str">
        <f>IFERROR(__xludf.DUMMYFUNCTION("INDEX(SPLIT(A1888, ""/""), 3)"),"روزنامه شریف")</f>
        <v>روزنامه شریف</v>
      </c>
      <c r="V1888" s="1" t="str">
        <f>IFERROR(__xludf.DUMMYFUNCTION("INDEX(SPLIT(A1888, ""/""), 4)"),"#REF!")</f>
        <v>#REF!</v>
      </c>
    </row>
    <row r="1889">
      <c r="A1889" s="1" t="s">
        <v>4070</v>
      </c>
      <c r="B1889" s="1" t="s">
        <v>5794</v>
      </c>
      <c r="C1889" s="1" t="s">
        <v>21</v>
      </c>
      <c r="D1889" s="4" t="s">
        <v>5795</v>
      </c>
      <c r="E1889" s="1" t="s">
        <v>71</v>
      </c>
      <c r="F1889" s="1" t="s">
        <v>5441</v>
      </c>
      <c r="G1889" s="1" t="s">
        <v>752</v>
      </c>
      <c r="H1889" s="7" t="s">
        <v>597</v>
      </c>
      <c r="I1889" s="1" t="str">
        <f t="shared" si="1"/>
        <v>1</v>
      </c>
      <c r="J1889" s="5"/>
      <c r="K1889" s="1" t="str">
        <f t="shared" si="2"/>
        <v>2</v>
      </c>
      <c r="L1889" s="5"/>
      <c r="M1889" s="2" t="str">
        <f t="shared" si="3"/>
        <v>1394</v>
      </c>
      <c r="N1889" s="5"/>
      <c r="O1889" s="13">
        <v>649.0</v>
      </c>
      <c r="P1889" s="5"/>
      <c r="Q1889" s="5"/>
      <c r="R1889" s="8" t="s">
        <v>597</v>
      </c>
      <c r="S1889" s="5"/>
      <c r="T1889" s="1" t="str">
        <f>IFERROR(__xludf.DUMMYFUNCTION("INDEX(SPLIT(A1889, ""/""), 2)"),"کانون‌های فرهنگی هنری")</f>
        <v>کانون‌های فرهنگی هنری</v>
      </c>
      <c r="U1889" s="1" t="str">
        <f>IFERROR(__xludf.DUMMYFUNCTION("INDEX(SPLIT(A1889, ""/""), 3)"),"روزنامه شریف")</f>
        <v>روزنامه شریف</v>
      </c>
      <c r="V1889" s="1" t="str">
        <f>IFERROR(__xludf.DUMMYFUNCTION("INDEX(SPLIT(A1889, ""/""), 4)"),"#REF!")</f>
        <v>#REF!</v>
      </c>
    </row>
    <row r="1890">
      <c r="A1890" s="1" t="s">
        <v>4070</v>
      </c>
      <c r="B1890" s="1" t="s">
        <v>5796</v>
      </c>
      <c r="C1890" s="1" t="s">
        <v>21</v>
      </c>
      <c r="D1890" s="4" t="s">
        <v>5797</v>
      </c>
      <c r="E1890" s="1" t="s">
        <v>71</v>
      </c>
      <c r="F1890" s="1" t="s">
        <v>5441</v>
      </c>
      <c r="G1890" s="1" t="s">
        <v>752</v>
      </c>
      <c r="H1890" s="7" t="s">
        <v>5798</v>
      </c>
      <c r="I1890" s="1" t="str">
        <f t="shared" si="1"/>
        <v>5</v>
      </c>
      <c r="J1890" s="5"/>
      <c r="K1890" s="1" t="str">
        <f t="shared" si="2"/>
        <v>2</v>
      </c>
      <c r="L1890" s="5"/>
      <c r="M1890" s="2" t="str">
        <f t="shared" si="3"/>
        <v>1394</v>
      </c>
      <c r="N1890" s="1"/>
      <c r="O1890" s="13">
        <v>650.0</v>
      </c>
      <c r="P1890" s="5"/>
      <c r="Q1890" s="5"/>
      <c r="R1890" s="8" t="s">
        <v>5798</v>
      </c>
      <c r="S1890" s="5"/>
      <c r="T1890" s="1" t="str">
        <f>IFERROR(__xludf.DUMMYFUNCTION("INDEX(SPLIT(A1890, ""/""), 2)"),"کانون‌های فرهنگی هنری")</f>
        <v>کانون‌های فرهنگی هنری</v>
      </c>
      <c r="U1890" s="1" t="str">
        <f>IFERROR(__xludf.DUMMYFUNCTION("INDEX(SPLIT(A1890, ""/""), 3)"),"روزنامه شریف")</f>
        <v>روزنامه شریف</v>
      </c>
      <c r="V1890" s="1" t="str">
        <f>IFERROR(__xludf.DUMMYFUNCTION("INDEX(SPLIT(A1890, ""/""), 4)"),"#REF!")</f>
        <v>#REF!</v>
      </c>
    </row>
    <row r="1891">
      <c r="A1891" s="1" t="s">
        <v>4070</v>
      </c>
      <c r="B1891" s="1" t="s">
        <v>5799</v>
      </c>
      <c r="C1891" s="1" t="s">
        <v>21</v>
      </c>
      <c r="D1891" s="4" t="s">
        <v>5800</v>
      </c>
      <c r="E1891" s="1" t="s">
        <v>71</v>
      </c>
      <c r="F1891" s="1" t="s">
        <v>5441</v>
      </c>
      <c r="G1891" s="1" t="s">
        <v>752</v>
      </c>
      <c r="H1891" s="7" t="s">
        <v>5801</v>
      </c>
      <c r="I1891" s="1" t="str">
        <f t="shared" si="1"/>
        <v>8</v>
      </c>
      <c r="J1891" s="5"/>
      <c r="K1891" s="1" t="str">
        <f t="shared" si="2"/>
        <v>2</v>
      </c>
      <c r="L1891" s="5"/>
      <c r="M1891" s="2" t="str">
        <f t="shared" si="3"/>
        <v>1394</v>
      </c>
      <c r="N1891" s="5"/>
      <c r="O1891" s="13">
        <v>651.0</v>
      </c>
      <c r="P1891" s="5"/>
      <c r="Q1891" s="5"/>
      <c r="R1891" s="8" t="s">
        <v>5801</v>
      </c>
      <c r="S1891" s="5"/>
      <c r="T1891" s="1" t="str">
        <f>IFERROR(__xludf.DUMMYFUNCTION("INDEX(SPLIT(A1891, ""/""), 2)"),"کانون‌های فرهنگی هنری")</f>
        <v>کانون‌های فرهنگی هنری</v>
      </c>
      <c r="U1891" s="1" t="str">
        <f>IFERROR(__xludf.DUMMYFUNCTION("INDEX(SPLIT(A1891, ""/""), 3)"),"روزنامه شریف")</f>
        <v>روزنامه شریف</v>
      </c>
      <c r="V1891" s="1" t="str">
        <f>IFERROR(__xludf.DUMMYFUNCTION("INDEX(SPLIT(A1891, ""/""), 4)"),"#REF!")</f>
        <v>#REF!</v>
      </c>
    </row>
    <row r="1892">
      <c r="A1892" s="1" t="s">
        <v>4070</v>
      </c>
      <c r="B1892" s="1" t="s">
        <v>5802</v>
      </c>
      <c r="C1892" s="1" t="s">
        <v>21</v>
      </c>
      <c r="D1892" s="4" t="s">
        <v>5803</v>
      </c>
      <c r="E1892" s="1" t="s">
        <v>71</v>
      </c>
      <c r="F1892" s="1" t="s">
        <v>5441</v>
      </c>
      <c r="G1892" s="1" t="s">
        <v>752</v>
      </c>
      <c r="H1892" s="1" t="s">
        <v>592</v>
      </c>
      <c r="I1892" s="1" t="str">
        <f t="shared" si="1"/>
        <v>15</v>
      </c>
      <c r="J1892" s="5"/>
      <c r="K1892" s="1" t="str">
        <f t="shared" si="2"/>
        <v>2</v>
      </c>
      <c r="L1892" s="5"/>
      <c r="M1892" s="2" t="str">
        <f t="shared" si="3"/>
        <v>1394</v>
      </c>
      <c r="N1892" s="1"/>
      <c r="O1892" s="13">
        <v>652.0</v>
      </c>
      <c r="P1892" s="5"/>
      <c r="Q1892" s="5"/>
      <c r="R1892" s="6" t="s">
        <v>592</v>
      </c>
      <c r="S1892" s="5"/>
      <c r="T1892" s="1" t="str">
        <f>IFERROR(__xludf.DUMMYFUNCTION("INDEX(SPLIT(A1892, ""/""), 2)"),"کانون‌های فرهنگی هنری")</f>
        <v>کانون‌های فرهنگی هنری</v>
      </c>
      <c r="U1892" s="1" t="str">
        <f>IFERROR(__xludf.DUMMYFUNCTION("INDEX(SPLIT(A1892, ""/""), 3)"),"روزنامه شریف")</f>
        <v>روزنامه شریف</v>
      </c>
      <c r="V1892" s="1" t="str">
        <f>IFERROR(__xludf.DUMMYFUNCTION("INDEX(SPLIT(A1892, ""/""), 4)"),"#REF!")</f>
        <v>#REF!</v>
      </c>
    </row>
    <row r="1893">
      <c r="A1893" s="1" t="s">
        <v>4070</v>
      </c>
      <c r="B1893" s="1" t="s">
        <v>5804</v>
      </c>
      <c r="C1893" s="1" t="s">
        <v>21</v>
      </c>
      <c r="D1893" s="4" t="s">
        <v>5805</v>
      </c>
      <c r="E1893" s="1" t="s">
        <v>71</v>
      </c>
      <c r="F1893" s="1" t="s">
        <v>5441</v>
      </c>
      <c r="G1893" s="1" t="s">
        <v>752</v>
      </c>
      <c r="H1893" s="1" t="s">
        <v>5806</v>
      </c>
      <c r="I1893" s="1" t="str">
        <f t="shared" si="1"/>
        <v>19</v>
      </c>
      <c r="J1893" s="5"/>
      <c r="K1893" s="1" t="str">
        <f t="shared" si="2"/>
        <v>2</v>
      </c>
      <c r="L1893" s="5"/>
      <c r="M1893" s="2" t="str">
        <f t="shared" si="3"/>
        <v>1394</v>
      </c>
      <c r="N1893" s="5"/>
      <c r="O1893" s="13">
        <v>653.0</v>
      </c>
      <c r="P1893" s="5"/>
      <c r="Q1893" s="5"/>
      <c r="R1893" s="6" t="s">
        <v>5806</v>
      </c>
      <c r="S1893" s="5"/>
      <c r="T1893" s="1" t="str">
        <f>IFERROR(__xludf.DUMMYFUNCTION("INDEX(SPLIT(A1893, ""/""), 2)"),"کانون‌های فرهنگی هنری")</f>
        <v>کانون‌های فرهنگی هنری</v>
      </c>
      <c r="U1893" s="1" t="str">
        <f>IFERROR(__xludf.DUMMYFUNCTION("INDEX(SPLIT(A1893, ""/""), 3)"),"روزنامه شریف")</f>
        <v>روزنامه شریف</v>
      </c>
      <c r="V1893" s="1" t="str">
        <f>IFERROR(__xludf.DUMMYFUNCTION("INDEX(SPLIT(A1893, ""/""), 4)"),"#REF!")</f>
        <v>#REF!</v>
      </c>
    </row>
    <row r="1894">
      <c r="A1894" s="1" t="s">
        <v>4070</v>
      </c>
      <c r="B1894" s="1" t="s">
        <v>5807</v>
      </c>
      <c r="C1894" s="1" t="s">
        <v>21</v>
      </c>
      <c r="D1894" s="4" t="s">
        <v>5808</v>
      </c>
      <c r="E1894" s="1" t="s">
        <v>71</v>
      </c>
      <c r="F1894" s="1" t="s">
        <v>5441</v>
      </c>
      <c r="G1894" s="1" t="s">
        <v>752</v>
      </c>
      <c r="H1894" s="1" t="s">
        <v>5809</v>
      </c>
      <c r="I1894" s="1" t="str">
        <f t="shared" si="1"/>
        <v>22</v>
      </c>
      <c r="J1894" s="5"/>
      <c r="K1894" s="1" t="str">
        <f t="shared" si="2"/>
        <v>2</v>
      </c>
      <c r="L1894" s="5"/>
      <c r="M1894" s="2" t="str">
        <f t="shared" si="3"/>
        <v>1394</v>
      </c>
      <c r="N1894" s="5"/>
      <c r="O1894" s="13">
        <v>654.0</v>
      </c>
      <c r="P1894" s="5"/>
      <c r="Q1894" s="5"/>
      <c r="R1894" s="6" t="s">
        <v>5809</v>
      </c>
      <c r="S1894" s="5"/>
      <c r="T1894" s="1" t="str">
        <f>IFERROR(__xludf.DUMMYFUNCTION("INDEX(SPLIT(A1894, ""/""), 2)"),"کانون‌های فرهنگی هنری")</f>
        <v>کانون‌های فرهنگی هنری</v>
      </c>
      <c r="U1894" s="1" t="str">
        <f>IFERROR(__xludf.DUMMYFUNCTION("INDEX(SPLIT(A1894, ""/""), 3)"),"روزنامه شریف")</f>
        <v>روزنامه شریف</v>
      </c>
      <c r="V1894" s="1" t="str">
        <f>IFERROR(__xludf.DUMMYFUNCTION("INDEX(SPLIT(A1894, ""/""), 4)"),"#REF!")</f>
        <v>#REF!</v>
      </c>
    </row>
    <row r="1895">
      <c r="A1895" s="1" t="s">
        <v>4070</v>
      </c>
      <c r="B1895" s="1" t="s">
        <v>5810</v>
      </c>
      <c r="C1895" s="1" t="s">
        <v>21</v>
      </c>
      <c r="D1895" s="4" t="s">
        <v>5811</v>
      </c>
      <c r="E1895" s="1" t="s">
        <v>71</v>
      </c>
      <c r="F1895" s="1" t="s">
        <v>5441</v>
      </c>
      <c r="G1895" s="1" t="s">
        <v>752</v>
      </c>
      <c r="H1895" s="1" t="s">
        <v>5812</v>
      </c>
      <c r="I1895" s="1" t="str">
        <f t="shared" si="1"/>
        <v>29</v>
      </c>
      <c r="J1895" s="5"/>
      <c r="K1895" s="1" t="str">
        <f t="shared" si="2"/>
        <v>2</v>
      </c>
      <c r="L1895" s="5"/>
      <c r="M1895" s="2" t="str">
        <f t="shared" si="3"/>
        <v>1394</v>
      </c>
      <c r="N1895" s="5"/>
      <c r="O1895" s="13">
        <v>655.0</v>
      </c>
      <c r="P1895" s="5"/>
      <c r="Q1895" s="5"/>
      <c r="R1895" s="6" t="s">
        <v>5812</v>
      </c>
      <c r="S1895" s="5"/>
      <c r="T1895" s="1" t="str">
        <f>IFERROR(__xludf.DUMMYFUNCTION("INDEX(SPLIT(A1895, ""/""), 2)"),"کانون‌های فرهنگی هنری")</f>
        <v>کانون‌های فرهنگی هنری</v>
      </c>
      <c r="U1895" s="1" t="str">
        <f>IFERROR(__xludf.DUMMYFUNCTION("INDEX(SPLIT(A1895, ""/""), 3)"),"روزنامه شریف")</f>
        <v>روزنامه شریف</v>
      </c>
      <c r="V1895" s="1" t="str">
        <f>IFERROR(__xludf.DUMMYFUNCTION("INDEX(SPLIT(A1895, ""/""), 4)"),"#REF!")</f>
        <v>#REF!</v>
      </c>
    </row>
    <row r="1896">
      <c r="A1896" s="1" t="s">
        <v>4070</v>
      </c>
      <c r="B1896" s="1" t="s">
        <v>5813</v>
      </c>
      <c r="C1896" s="1" t="s">
        <v>21</v>
      </c>
      <c r="D1896" s="4" t="s">
        <v>5814</v>
      </c>
      <c r="E1896" s="1" t="s">
        <v>71</v>
      </c>
      <c r="F1896" s="1" t="s">
        <v>5441</v>
      </c>
      <c r="G1896" s="1" t="s">
        <v>752</v>
      </c>
      <c r="H1896" s="7" t="s">
        <v>5815</v>
      </c>
      <c r="I1896" s="1" t="str">
        <f t="shared" si="1"/>
        <v>2</v>
      </c>
      <c r="J1896" s="5"/>
      <c r="K1896" s="1" t="str">
        <f t="shared" si="2"/>
        <v>3</v>
      </c>
      <c r="L1896" s="5"/>
      <c r="M1896" s="2" t="str">
        <f t="shared" si="3"/>
        <v>1394</v>
      </c>
      <c r="N1896" s="5"/>
      <c r="O1896" s="13">
        <v>656.0</v>
      </c>
      <c r="P1896" s="5"/>
      <c r="Q1896" s="5"/>
      <c r="R1896" s="8" t="s">
        <v>5815</v>
      </c>
      <c r="S1896" s="5"/>
      <c r="T1896" s="1" t="str">
        <f>IFERROR(__xludf.DUMMYFUNCTION("INDEX(SPLIT(A1896, ""/""), 2)"),"کانون‌های فرهنگی هنری")</f>
        <v>کانون‌های فرهنگی هنری</v>
      </c>
      <c r="U1896" s="1" t="str">
        <f>IFERROR(__xludf.DUMMYFUNCTION("INDEX(SPLIT(A1896, ""/""), 3)"),"روزنامه شریف")</f>
        <v>روزنامه شریف</v>
      </c>
      <c r="V1896" s="1" t="str">
        <f>IFERROR(__xludf.DUMMYFUNCTION("INDEX(SPLIT(A1896, ""/""), 4)"),"#REF!")</f>
        <v>#REF!</v>
      </c>
    </row>
    <row r="1897">
      <c r="A1897" s="1" t="s">
        <v>4070</v>
      </c>
      <c r="B1897" s="1" t="s">
        <v>5816</v>
      </c>
      <c r="C1897" s="1" t="s">
        <v>21</v>
      </c>
      <c r="D1897" s="4" t="s">
        <v>5817</v>
      </c>
      <c r="E1897" s="1" t="s">
        <v>71</v>
      </c>
      <c r="F1897" s="1" t="s">
        <v>5441</v>
      </c>
      <c r="G1897" s="1" t="s">
        <v>752</v>
      </c>
      <c r="H1897" s="7" t="s">
        <v>5818</v>
      </c>
      <c r="I1897" s="1" t="str">
        <f t="shared" si="1"/>
        <v>5</v>
      </c>
      <c r="J1897" s="5"/>
      <c r="K1897" s="1" t="str">
        <f t="shared" si="2"/>
        <v>3</v>
      </c>
      <c r="L1897" s="5"/>
      <c r="M1897" s="2" t="str">
        <f t="shared" si="3"/>
        <v>1394</v>
      </c>
      <c r="N1897" s="5"/>
      <c r="O1897" s="13">
        <v>657.0</v>
      </c>
      <c r="P1897" s="5"/>
      <c r="Q1897" s="5"/>
      <c r="R1897" s="8" t="s">
        <v>5818</v>
      </c>
      <c r="S1897" s="5"/>
      <c r="T1897" s="1" t="str">
        <f>IFERROR(__xludf.DUMMYFUNCTION("INDEX(SPLIT(A1897, ""/""), 2)"),"کانون‌های فرهنگی هنری")</f>
        <v>کانون‌های فرهنگی هنری</v>
      </c>
      <c r="U1897" s="1" t="str">
        <f>IFERROR(__xludf.DUMMYFUNCTION("INDEX(SPLIT(A1897, ""/""), 3)"),"روزنامه شریف")</f>
        <v>روزنامه شریف</v>
      </c>
      <c r="V1897" s="1" t="str">
        <f>IFERROR(__xludf.DUMMYFUNCTION("INDEX(SPLIT(A1897, ""/""), 4)"),"#REF!")</f>
        <v>#REF!</v>
      </c>
    </row>
    <row r="1898">
      <c r="A1898" s="1" t="s">
        <v>4070</v>
      </c>
      <c r="B1898" s="1" t="s">
        <v>5819</v>
      </c>
      <c r="C1898" s="1" t="s">
        <v>21</v>
      </c>
      <c r="D1898" s="4" t="s">
        <v>5820</v>
      </c>
      <c r="E1898" s="1" t="s">
        <v>71</v>
      </c>
      <c r="F1898" s="1" t="s">
        <v>5441</v>
      </c>
      <c r="G1898" s="1" t="s">
        <v>752</v>
      </c>
      <c r="H1898" s="7" t="s">
        <v>5821</v>
      </c>
      <c r="I1898" s="1" t="str">
        <f t="shared" si="1"/>
        <v>9</v>
      </c>
      <c r="J1898" s="5"/>
      <c r="K1898" s="1" t="str">
        <f t="shared" si="2"/>
        <v>3</v>
      </c>
      <c r="L1898" s="5"/>
      <c r="M1898" s="2" t="str">
        <f t="shared" si="3"/>
        <v>1394</v>
      </c>
      <c r="N1898" s="5"/>
      <c r="O1898" s="13">
        <v>658.0</v>
      </c>
      <c r="P1898" s="5"/>
      <c r="Q1898" s="5"/>
      <c r="R1898" s="8" t="s">
        <v>5821</v>
      </c>
      <c r="S1898" s="5"/>
      <c r="T1898" s="1" t="str">
        <f>IFERROR(__xludf.DUMMYFUNCTION("INDEX(SPLIT(A1898, ""/""), 2)"),"کانون‌های فرهنگی هنری")</f>
        <v>کانون‌های فرهنگی هنری</v>
      </c>
      <c r="U1898" s="1" t="str">
        <f>IFERROR(__xludf.DUMMYFUNCTION("INDEX(SPLIT(A1898, ""/""), 3)"),"روزنامه شریف")</f>
        <v>روزنامه شریف</v>
      </c>
      <c r="V1898" s="1" t="str">
        <f>IFERROR(__xludf.DUMMYFUNCTION("INDEX(SPLIT(A1898, ""/""), 4)"),"#REF!")</f>
        <v>#REF!</v>
      </c>
    </row>
    <row r="1899">
      <c r="A1899" s="1" t="s">
        <v>4070</v>
      </c>
      <c r="B1899" s="1" t="s">
        <v>5822</v>
      </c>
      <c r="C1899" s="1" t="s">
        <v>21</v>
      </c>
      <c r="D1899" s="4" t="s">
        <v>5823</v>
      </c>
      <c r="E1899" s="1" t="s">
        <v>71</v>
      </c>
      <c r="F1899" s="1" t="s">
        <v>5441</v>
      </c>
      <c r="G1899" s="1" t="s">
        <v>752</v>
      </c>
      <c r="H1899" s="1" t="s">
        <v>5824</v>
      </c>
      <c r="I1899" s="1" t="str">
        <f t="shared" si="1"/>
        <v>21</v>
      </c>
      <c r="J1899" s="5"/>
      <c r="K1899" s="1" t="str">
        <f t="shared" si="2"/>
        <v>7</v>
      </c>
      <c r="L1899" s="5"/>
      <c r="M1899" s="2" t="str">
        <f t="shared" si="3"/>
        <v>1394</v>
      </c>
      <c r="N1899" s="5"/>
      <c r="O1899" s="13">
        <v>659.0</v>
      </c>
      <c r="P1899" s="5"/>
      <c r="Q1899" s="5"/>
      <c r="R1899" s="6" t="s">
        <v>5824</v>
      </c>
      <c r="S1899" s="5"/>
      <c r="T1899" s="1" t="str">
        <f>IFERROR(__xludf.DUMMYFUNCTION("INDEX(SPLIT(A1899, ""/""), 2)"),"کانون‌های فرهنگی هنری")</f>
        <v>کانون‌های فرهنگی هنری</v>
      </c>
      <c r="U1899" s="1" t="str">
        <f>IFERROR(__xludf.DUMMYFUNCTION("INDEX(SPLIT(A1899, ""/""), 3)"),"روزنامه شریف")</f>
        <v>روزنامه شریف</v>
      </c>
      <c r="V1899" s="1" t="str">
        <f>IFERROR(__xludf.DUMMYFUNCTION("INDEX(SPLIT(A1899, ""/""), 4)"),"#REF!")</f>
        <v>#REF!</v>
      </c>
    </row>
    <row r="1900">
      <c r="A1900" s="1" t="s">
        <v>4070</v>
      </c>
      <c r="B1900" s="1" t="s">
        <v>5825</v>
      </c>
      <c r="C1900" s="1" t="s">
        <v>21</v>
      </c>
      <c r="D1900" s="4" t="s">
        <v>5826</v>
      </c>
      <c r="E1900" s="1" t="s">
        <v>71</v>
      </c>
      <c r="F1900" s="1" t="s">
        <v>5441</v>
      </c>
      <c r="G1900" s="1" t="s">
        <v>752</v>
      </c>
      <c r="H1900" s="1" t="s">
        <v>5827</v>
      </c>
      <c r="I1900" s="1" t="str">
        <f t="shared" si="1"/>
        <v>25</v>
      </c>
      <c r="J1900" s="5"/>
      <c r="K1900" s="1" t="str">
        <f t="shared" si="2"/>
        <v>7</v>
      </c>
      <c r="L1900" s="5"/>
      <c r="M1900" s="2" t="str">
        <f t="shared" si="3"/>
        <v>1394</v>
      </c>
      <c r="N1900" s="5"/>
      <c r="O1900" s="13">
        <v>660.0</v>
      </c>
      <c r="P1900" s="5"/>
      <c r="Q1900" s="5"/>
      <c r="R1900" s="6" t="s">
        <v>5827</v>
      </c>
      <c r="S1900" s="5"/>
      <c r="T1900" s="1" t="str">
        <f>IFERROR(__xludf.DUMMYFUNCTION("INDEX(SPLIT(A1900, ""/""), 2)"),"کانون‌های فرهنگی هنری")</f>
        <v>کانون‌های فرهنگی هنری</v>
      </c>
      <c r="U1900" s="1" t="str">
        <f>IFERROR(__xludf.DUMMYFUNCTION("INDEX(SPLIT(A1900, ""/""), 3)"),"روزنامه شریف")</f>
        <v>روزنامه شریف</v>
      </c>
      <c r="V1900" s="1" t="str">
        <f>IFERROR(__xludf.DUMMYFUNCTION("INDEX(SPLIT(A1900, ""/""), 4)"),"#REF!")</f>
        <v>#REF!</v>
      </c>
    </row>
    <row r="1901">
      <c r="A1901" s="1" t="s">
        <v>4070</v>
      </c>
      <c r="B1901" s="1" t="s">
        <v>5828</v>
      </c>
      <c r="C1901" s="1" t="s">
        <v>21</v>
      </c>
      <c r="D1901" s="4" t="s">
        <v>5829</v>
      </c>
      <c r="E1901" s="1" t="s">
        <v>71</v>
      </c>
      <c r="F1901" s="1" t="s">
        <v>5441</v>
      </c>
      <c r="G1901" s="1" t="s">
        <v>752</v>
      </c>
      <c r="H1901" s="1" t="s">
        <v>3148</v>
      </c>
      <c r="I1901" s="1" t="str">
        <f t="shared" si="1"/>
        <v>28</v>
      </c>
      <c r="J1901" s="5"/>
      <c r="K1901" s="1" t="str">
        <f t="shared" si="2"/>
        <v>7</v>
      </c>
      <c r="L1901" s="5"/>
      <c r="M1901" s="2" t="str">
        <f t="shared" si="3"/>
        <v>1394</v>
      </c>
      <c r="N1901" s="5"/>
      <c r="O1901" s="13">
        <v>661.0</v>
      </c>
      <c r="P1901" s="5"/>
      <c r="Q1901" s="5"/>
      <c r="R1901" s="6" t="s">
        <v>3148</v>
      </c>
      <c r="S1901" s="5"/>
      <c r="T1901" s="1" t="str">
        <f>IFERROR(__xludf.DUMMYFUNCTION("INDEX(SPLIT(A1901, ""/""), 2)"),"کانون‌های فرهنگی هنری")</f>
        <v>کانون‌های فرهنگی هنری</v>
      </c>
      <c r="U1901" s="1" t="str">
        <f>IFERROR(__xludf.DUMMYFUNCTION("INDEX(SPLIT(A1901, ""/""), 3)"),"روزنامه شریف")</f>
        <v>روزنامه شریف</v>
      </c>
      <c r="V1901" s="1" t="str">
        <f>IFERROR(__xludf.DUMMYFUNCTION("INDEX(SPLIT(A1901, ""/""), 4)"),"#REF!")</f>
        <v>#REF!</v>
      </c>
    </row>
    <row r="1902">
      <c r="A1902" s="1" t="s">
        <v>4070</v>
      </c>
      <c r="B1902" s="1" t="s">
        <v>5830</v>
      </c>
      <c r="C1902" s="1" t="s">
        <v>21</v>
      </c>
      <c r="D1902" s="4" t="s">
        <v>5831</v>
      </c>
      <c r="E1902" s="1" t="s">
        <v>71</v>
      </c>
      <c r="F1902" s="1" t="s">
        <v>5441</v>
      </c>
      <c r="G1902" s="1" t="s">
        <v>752</v>
      </c>
      <c r="H1902" s="7" t="s">
        <v>5832</v>
      </c>
      <c r="I1902" s="1" t="str">
        <f t="shared" si="1"/>
        <v>5</v>
      </c>
      <c r="J1902" s="5"/>
      <c r="K1902" s="1" t="str">
        <f t="shared" si="2"/>
        <v>8</v>
      </c>
      <c r="L1902" s="5"/>
      <c r="M1902" s="2" t="str">
        <f t="shared" si="3"/>
        <v>1394</v>
      </c>
      <c r="N1902" s="5"/>
      <c r="O1902" s="13">
        <v>662.0</v>
      </c>
      <c r="P1902" s="5"/>
      <c r="Q1902" s="5"/>
      <c r="R1902" s="8" t="s">
        <v>5832</v>
      </c>
      <c r="S1902" s="5"/>
      <c r="T1902" s="1" t="str">
        <f>IFERROR(__xludf.DUMMYFUNCTION("INDEX(SPLIT(A1902, ""/""), 2)"),"کانون‌های فرهنگی هنری")</f>
        <v>کانون‌های فرهنگی هنری</v>
      </c>
      <c r="U1902" s="1" t="str">
        <f>IFERROR(__xludf.DUMMYFUNCTION("INDEX(SPLIT(A1902, ""/""), 3)"),"روزنامه شریف")</f>
        <v>روزنامه شریف</v>
      </c>
      <c r="V1902" s="1" t="str">
        <f>IFERROR(__xludf.DUMMYFUNCTION("INDEX(SPLIT(A1902, ""/""), 4)"),"#REF!")</f>
        <v>#REF!</v>
      </c>
    </row>
    <row r="1903">
      <c r="A1903" s="1" t="s">
        <v>4070</v>
      </c>
      <c r="B1903" s="1" t="s">
        <v>5833</v>
      </c>
      <c r="C1903" s="1" t="s">
        <v>21</v>
      </c>
      <c r="D1903" s="4" t="s">
        <v>5834</v>
      </c>
      <c r="E1903" s="1" t="s">
        <v>71</v>
      </c>
      <c r="F1903" s="1" t="s">
        <v>5441</v>
      </c>
      <c r="G1903" s="1" t="s">
        <v>752</v>
      </c>
      <c r="H1903" s="7" t="s">
        <v>5835</v>
      </c>
      <c r="I1903" s="1" t="str">
        <f t="shared" si="1"/>
        <v>9</v>
      </c>
      <c r="J1903" s="5"/>
      <c r="K1903" s="1" t="str">
        <f t="shared" si="2"/>
        <v>8</v>
      </c>
      <c r="L1903" s="5"/>
      <c r="M1903" s="2" t="str">
        <f t="shared" si="3"/>
        <v>1394</v>
      </c>
      <c r="N1903" s="5"/>
      <c r="O1903" s="13">
        <v>663.0</v>
      </c>
      <c r="P1903" s="5"/>
      <c r="Q1903" s="5"/>
      <c r="R1903" s="8" t="s">
        <v>5835</v>
      </c>
      <c r="S1903" s="5"/>
      <c r="T1903" s="1" t="str">
        <f>IFERROR(__xludf.DUMMYFUNCTION("INDEX(SPLIT(A1903, ""/""), 2)"),"کانون‌های فرهنگی هنری")</f>
        <v>کانون‌های فرهنگی هنری</v>
      </c>
      <c r="U1903" s="1" t="str">
        <f>IFERROR(__xludf.DUMMYFUNCTION("INDEX(SPLIT(A1903, ""/""), 3)"),"روزنامه شریف")</f>
        <v>روزنامه شریف</v>
      </c>
      <c r="V1903" s="1" t="str">
        <f>IFERROR(__xludf.DUMMYFUNCTION("INDEX(SPLIT(A1903, ""/""), 4)"),"#REF!")</f>
        <v>#REF!</v>
      </c>
    </row>
    <row r="1904">
      <c r="A1904" s="1" t="s">
        <v>4070</v>
      </c>
      <c r="B1904" s="1" t="s">
        <v>5836</v>
      </c>
      <c r="C1904" s="1" t="s">
        <v>21</v>
      </c>
      <c r="D1904" s="4" t="s">
        <v>5837</v>
      </c>
      <c r="E1904" s="1" t="s">
        <v>71</v>
      </c>
      <c r="F1904" s="1" t="s">
        <v>5441</v>
      </c>
      <c r="G1904" s="1" t="s">
        <v>752</v>
      </c>
      <c r="H1904" s="7" t="s">
        <v>3151</v>
      </c>
      <c r="I1904" s="1" t="str">
        <f t="shared" si="1"/>
        <v>12</v>
      </c>
      <c r="J1904" s="5"/>
      <c r="K1904" s="1" t="str">
        <f t="shared" si="2"/>
        <v>8</v>
      </c>
      <c r="L1904" s="5"/>
      <c r="M1904" s="2" t="str">
        <f t="shared" si="3"/>
        <v>1394</v>
      </c>
      <c r="N1904" s="5"/>
      <c r="O1904" s="13">
        <v>664.0</v>
      </c>
      <c r="P1904" s="5"/>
      <c r="Q1904" s="5"/>
      <c r="R1904" s="8" t="s">
        <v>3151</v>
      </c>
      <c r="S1904" s="5"/>
      <c r="T1904" s="1" t="str">
        <f>IFERROR(__xludf.DUMMYFUNCTION("INDEX(SPLIT(A1904, ""/""), 2)"),"کانون‌های فرهنگی هنری")</f>
        <v>کانون‌های فرهنگی هنری</v>
      </c>
      <c r="U1904" s="1" t="str">
        <f>IFERROR(__xludf.DUMMYFUNCTION("INDEX(SPLIT(A1904, ""/""), 3)"),"روزنامه شریف")</f>
        <v>روزنامه شریف</v>
      </c>
      <c r="V1904" s="1" t="str">
        <f>IFERROR(__xludf.DUMMYFUNCTION("INDEX(SPLIT(A1904, ""/""), 4)"),"#REF!")</f>
        <v>#REF!</v>
      </c>
    </row>
    <row r="1905">
      <c r="A1905" s="1" t="s">
        <v>4070</v>
      </c>
      <c r="B1905" s="1" t="s">
        <v>5838</v>
      </c>
      <c r="C1905" s="1" t="s">
        <v>21</v>
      </c>
      <c r="D1905" s="4" t="s">
        <v>5839</v>
      </c>
      <c r="E1905" s="1" t="s">
        <v>71</v>
      </c>
      <c r="F1905" s="1" t="s">
        <v>5441</v>
      </c>
      <c r="G1905" s="1" t="s">
        <v>752</v>
      </c>
      <c r="H1905" s="1" t="s">
        <v>5840</v>
      </c>
      <c r="I1905" s="1" t="str">
        <f t="shared" si="1"/>
        <v>16</v>
      </c>
      <c r="J1905" s="5"/>
      <c r="K1905" s="1" t="str">
        <f t="shared" si="2"/>
        <v>8</v>
      </c>
      <c r="L1905" s="5"/>
      <c r="M1905" s="2" t="str">
        <f t="shared" si="3"/>
        <v>1394</v>
      </c>
      <c r="N1905" s="5"/>
      <c r="O1905" s="13">
        <v>665.0</v>
      </c>
      <c r="P1905" s="5"/>
      <c r="Q1905" s="5"/>
      <c r="R1905" s="6" t="s">
        <v>5840</v>
      </c>
      <c r="S1905" s="5"/>
      <c r="T1905" s="1" t="str">
        <f>IFERROR(__xludf.DUMMYFUNCTION("INDEX(SPLIT(A1905, ""/""), 2)"),"کانون‌های فرهنگی هنری")</f>
        <v>کانون‌های فرهنگی هنری</v>
      </c>
      <c r="U1905" s="1" t="str">
        <f>IFERROR(__xludf.DUMMYFUNCTION("INDEX(SPLIT(A1905, ""/""), 3)"),"روزنامه شریف")</f>
        <v>روزنامه شریف</v>
      </c>
      <c r="V1905" s="1" t="str">
        <f>IFERROR(__xludf.DUMMYFUNCTION("INDEX(SPLIT(A1905, ""/""), 4)"),"#REF!")</f>
        <v>#REF!</v>
      </c>
    </row>
    <row r="1906">
      <c r="A1906" s="1" t="s">
        <v>4070</v>
      </c>
      <c r="B1906" s="1" t="s">
        <v>5841</v>
      </c>
      <c r="C1906" s="1" t="s">
        <v>21</v>
      </c>
      <c r="D1906" s="4" t="s">
        <v>5842</v>
      </c>
      <c r="E1906" s="1" t="s">
        <v>71</v>
      </c>
      <c r="F1906" s="1" t="s">
        <v>5441</v>
      </c>
      <c r="G1906" s="1" t="s">
        <v>752</v>
      </c>
      <c r="H1906" s="1" t="s">
        <v>5843</v>
      </c>
      <c r="I1906" s="1" t="str">
        <f t="shared" si="1"/>
        <v>19</v>
      </c>
      <c r="J1906" s="5"/>
      <c r="K1906" s="1" t="str">
        <f t="shared" si="2"/>
        <v>8</v>
      </c>
      <c r="L1906" s="5"/>
      <c r="M1906" s="2" t="str">
        <f t="shared" si="3"/>
        <v>1394</v>
      </c>
      <c r="N1906" s="5"/>
      <c r="O1906" s="13">
        <v>666.0</v>
      </c>
      <c r="P1906" s="5"/>
      <c r="Q1906" s="5"/>
      <c r="R1906" s="6" t="s">
        <v>5843</v>
      </c>
      <c r="S1906" s="5"/>
      <c r="T1906" s="1" t="str">
        <f>IFERROR(__xludf.DUMMYFUNCTION("INDEX(SPLIT(A1906, ""/""), 2)"),"کانون‌های فرهنگی هنری")</f>
        <v>کانون‌های فرهنگی هنری</v>
      </c>
      <c r="U1906" s="1" t="str">
        <f>IFERROR(__xludf.DUMMYFUNCTION("INDEX(SPLIT(A1906, ""/""), 3)"),"روزنامه شریف")</f>
        <v>روزنامه شریف</v>
      </c>
      <c r="V1906" s="1" t="str">
        <f>IFERROR(__xludf.DUMMYFUNCTION("INDEX(SPLIT(A1906, ""/""), 4)"),"#REF!")</f>
        <v>#REF!</v>
      </c>
    </row>
    <row r="1907">
      <c r="A1907" s="1" t="s">
        <v>4070</v>
      </c>
      <c r="B1907" s="1" t="s">
        <v>5844</v>
      </c>
      <c r="C1907" s="1" t="s">
        <v>21</v>
      </c>
      <c r="D1907" s="4" t="s">
        <v>5845</v>
      </c>
      <c r="E1907" s="1" t="s">
        <v>71</v>
      </c>
      <c r="F1907" s="1" t="s">
        <v>5441</v>
      </c>
      <c r="G1907" s="1" t="s">
        <v>752</v>
      </c>
      <c r="H1907" s="1" t="s">
        <v>5846</v>
      </c>
      <c r="I1907" s="1" t="str">
        <f t="shared" si="1"/>
        <v>23</v>
      </c>
      <c r="J1907" s="5"/>
      <c r="K1907" s="1" t="str">
        <f t="shared" si="2"/>
        <v>8</v>
      </c>
      <c r="L1907" s="5"/>
      <c r="M1907" s="2" t="str">
        <f t="shared" si="3"/>
        <v>1394</v>
      </c>
      <c r="N1907" s="5"/>
      <c r="O1907" s="13">
        <v>667.0</v>
      </c>
      <c r="P1907" s="5"/>
      <c r="Q1907" s="5"/>
      <c r="R1907" s="6" t="s">
        <v>5846</v>
      </c>
      <c r="S1907" s="5"/>
      <c r="T1907" s="1" t="str">
        <f>IFERROR(__xludf.DUMMYFUNCTION("INDEX(SPLIT(A1907, ""/""), 2)"),"کانون‌های فرهنگی هنری")</f>
        <v>کانون‌های فرهنگی هنری</v>
      </c>
      <c r="U1907" s="1" t="str">
        <f>IFERROR(__xludf.DUMMYFUNCTION("INDEX(SPLIT(A1907, ""/""), 3)"),"روزنامه شریف")</f>
        <v>روزنامه شریف</v>
      </c>
      <c r="V1907" s="1" t="str">
        <f>IFERROR(__xludf.DUMMYFUNCTION("INDEX(SPLIT(A1907, ""/""), 4)"),"#REF!")</f>
        <v>#REF!</v>
      </c>
    </row>
    <row r="1908">
      <c r="A1908" s="1" t="s">
        <v>4070</v>
      </c>
      <c r="B1908" s="1" t="s">
        <v>5847</v>
      </c>
      <c r="C1908" s="1" t="s">
        <v>21</v>
      </c>
      <c r="D1908" s="4" t="s">
        <v>5848</v>
      </c>
      <c r="E1908" s="1" t="s">
        <v>71</v>
      </c>
      <c r="F1908" s="1" t="s">
        <v>5441</v>
      </c>
      <c r="G1908" s="1" t="s">
        <v>752</v>
      </c>
      <c r="H1908" s="1" t="s">
        <v>5849</v>
      </c>
      <c r="I1908" s="1" t="str">
        <f t="shared" si="1"/>
        <v>26</v>
      </c>
      <c r="J1908" s="5"/>
      <c r="K1908" s="1" t="str">
        <f t="shared" si="2"/>
        <v>8</v>
      </c>
      <c r="L1908" s="5"/>
      <c r="M1908" s="2" t="str">
        <f t="shared" si="3"/>
        <v>1394</v>
      </c>
      <c r="N1908" s="5"/>
      <c r="O1908" s="13">
        <v>668.0</v>
      </c>
      <c r="P1908" s="5"/>
      <c r="Q1908" s="5"/>
      <c r="R1908" s="6" t="s">
        <v>5849</v>
      </c>
      <c r="S1908" s="5"/>
      <c r="T1908" s="1" t="str">
        <f>IFERROR(__xludf.DUMMYFUNCTION("INDEX(SPLIT(A1908, ""/""), 2)"),"کانون‌های فرهنگی هنری")</f>
        <v>کانون‌های فرهنگی هنری</v>
      </c>
      <c r="U1908" s="1" t="str">
        <f>IFERROR(__xludf.DUMMYFUNCTION("INDEX(SPLIT(A1908, ""/""), 3)"),"روزنامه شریف")</f>
        <v>روزنامه شریف</v>
      </c>
      <c r="V1908" s="1" t="str">
        <f>IFERROR(__xludf.DUMMYFUNCTION("INDEX(SPLIT(A1908, ""/""), 4)"),"#REF!")</f>
        <v>#REF!</v>
      </c>
    </row>
    <row r="1909">
      <c r="A1909" s="1" t="s">
        <v>4070</v>
      </c>
      <c r="B1909" s="1" t="s">
        <v>5850</v>
      </c>
      <c r="C1909" s="1" t="s">
        <v>21</v>
      </c>
      <c r="D1909" s="4" t="s">
        <v>5851</v>
      </c>
      <c r="E1909" s="1" t="s">
        <v>71</v>
      </c>
      <c r="F1909" s="1" t="s">
        <v>5441</v>
      </c>
      <c r="G1909" s="1" t="s">
        <v>752</v>
      </c>
      <c r="H1909" s="1" t="s">
        <v>5852</v>
      </c>
      <c r="I1909" s="1" t="str">
        <f t="shared" si="1"/>
        <v>30</v>
      </c>
      <c r="J1909" s="5"/>
      <c r="K1909" s="1" t="str">
        <f t="shared" si="2"/>
        <v>8</v>
      </c>
      <c r="L1909" s="5"/>
      <c r="M1909" s="2" t="str">
        <f t="shared" si="3"/>
        <v>1394</v>
      </c>
      <c r="N1909" s="5"/>
      <c r="O1909" s="13">
        <v>669.0</v>
      </c>
      <c r="P1909" s="5"/>
      <c r="Q1909" s="5"/>
      <c r="R1909" s="6" t="s">
        <v>5852</v>
      </c>
      <c r="S1909" s="5"/>
      <c r="T1909" s="1" t="str">
        <f>IFERROR(__xludf.DUMMYFUNCTION("INDEX(SPLIT(A1909, ""/""), 2)"),"کانون‌های فرهنگی هنری")</f>
        <v>کانون‌های فرهنگی هنری</v>
      </c>
      <c r="U1909" s="1" t="str">
        <f>IFERROR(__xludf.DUMMYFUNCTION("INDEX(SPLIT(A1909, ""/""), 3)"),"روزنامه شریف")</f>
        <v>روزنامه شریف</v>
      </c>
      <c r="V1909" s="1" t="str">
        <f>IFERROR(__xludf.DUMMYFUNCTION("INDEX(SPLIT(A1909, ""/""), 4)"),"#REF!")</f>
        <v>#REF!</v>
      </c>
    </row>
    <row r="1910">
      <c r="A1910" s="1" t="s">
        <v>4070</v>
      </c>
      <c r="B1910" s="1" t="s">
        <v>5853</v>
      </c>
      <c r="C1910" s="1" t="s">
        <v>21</v>
      </c>
      <c r="D1910" s="4" t="s">
        <v>5854</v>
      </c>
      <c r="E1910" s="1" t="s">
        <v>71</v>
      </c>
      <c r="F1910" s="1" t="s">
        <v>5441</v>
      </c>
      <c r="G1910" s="1" t="s">
        <v>752</v>
      </c>
      <c r="H1910" s="7" t="s">
        <v>5855</v>
      </c>
      <c r="I1910" s="1" t="str">
        <f t="shared" si="1"/>
        <v>3</v>
      </c>
      <c r="J1910" s="5"/>
      <c r="K1910" s="1" t="str">
        <f t="shared" si="2"/>
        <v>9</v>
      </c>
      <c r="L1910" s="5"/>
      <c r="M1910" s="2" t="str">
        <f t="shared" si="3"/>
        <v>1394</v>
      </c>
      <c r="N1910" s="5"/>
      <c r="O1910" s="13">
        <v>670.0</v>
      </c>
      <c r="P1910" s="5"/>
      <c r="Q1910" s="5"/>
      <c r="R1910" s="8" t="s">
        <v>5855</v>
      </c>
      <c r="S1910" s="5"/>
      <c r="T1910" s="1" t="str">
        <f>IFERROR(__xludf.DUMMYFUNCTION("INDEX(SPLIT(A1910, ""/""), 2)"),"کانون‌های فرهنگی هنری")</f>
        <v>کانون‌های فرهنگی هنری</v>
      </c>
      <c r="U1910" s="1" t="str">
        <f>IFERROR(__xludf.DUMMYFUNCTION("INDEX(SPLIT(A1910, ""/""), 3)"),"روزنامه شریف")</f>
        <v>روزنامه شریف</v>
      </c>
      <c r="V1910" s="1" t="str">
        <f>IFERROR(__xludf.DUMMYFUNCTION("INDEX(SPLIT(A1910, ""/""), 4)"),"#REF!")</f>
        <v>#REF!</v>
      </c>
    </row>
    <row r="1911">
      <c r="A1911" s="1" t="s">
        <v>4070</v>
      </c>
      <c r="B1911" s="1" t="s">
        <v>5856</v>
      </c>
      <c r="C1911" s="1" t="s">
        <v>21</v>
      </c>
      <c r="D1911" s="4" t="s">
        <v>5857</v>
      </c>
      <c r="E1911" s="1" t="s">
        <v>71</v>
      </c>
      <c r="F1911" s="1" t="s">
        <v>5441</v>
      </c>
      <c r="G1911" s="1" t="s">
        <v>752</v>
      </c>
      <c r="H1911" s="7" t="s">
        <v>5858</v>
      </c>
      <c r="I1911" s="1" t="str">
        <f t="shared" si="1"/>
        <v>7</v>
      </c>
      <c r="J1911" s="5"/>
      <c r="K1911" s="1" t="str">
        <f t="shared" si="2"/>
        <v>9</v>
      </c>
      <c r="L1911" s="5"/>
      <c r="M1911" s="2" t="str">
        <f t="shared" si="3"/>
        <v>1394</v>
      </c>
      <c r="N1911" s="5"/>
      <c r="O1911" s="13">
        <v>671.0</v>
      </c>
      <c r="P1911" s="5"/>
      <c r="Q1911" s="5"/>
      <c r="R1911" s="8" t="s">
        <v>5858</v>
      </c>
      <c r="S1911" s="5"/>
      <c r="T1911" s="1" t="str">
        <f>IFERROR(__xludf.DUMMYFUNCTION("INDEX(SPLIT(A1911, ""/""), 2)"),"کانون‌های فرهنگی هنری")</f>
        <v>کانون‌های فرهنگی هنری</v>
      </c>
      <c r="U1911" s="1" t="str">
        <f>IFERROR(__xludf.DUMMYFUNCTION("INDEX(SPLIT(A1911, ""/""), 3)"),"روزنامه شریف")</f>
        <v>روزنامه شریف</v>
      </c>
      <c r="V1911" s="1" t="str">
        <f>IFERROR(__xludf.DUMMYFUNCTION("INDEX(SPLIT(A1911, ""/""), 4)"),"#REF!")</f>
        <v>#REF!</v>
      </c>
    </row>
    <row r="1912">
      <c r="A1912" s="1" t="s">
        <v>4070</v>
      </c>
      <c r="B1912" s="1" t="s">
        <v>5859</v>
      </c>
      <c r="C1912" s="1" t="s">
        <v>21</v>
      </c>
      <c r="D1912" s="4" t="s">
        <v>5860</v>
      </c>
      <c r="E1912" s="1" t="s">
        <v>71</v>
      </c>
      <c r="F1912" s="1" t="s">
        <v>5441</v>
      </c>
      <c r="G1912" s="1" t="s">
        <v>752</v>
      </c>
      <c r="H1912" s="7" t="s">
        <v>3157</v>
      </c>
      <c r="I1912" s="1" t="str">
        <f t="shared" si="1"/>
        <v>10</v>
      </c>
      <c r="J1912" s="5"/>
      <c r="K1912" s="1" t="str">
        <f t="shared" si="2"/>
        <v>9</v>
      </c>
      <c r="L1912" s="5"/>
      <c r="M1912" s="2" t="str">
        <f t="shared" si="3"/>
        <v>1394</v>
      </c>
      <c r="N1912" s="5"/>
      <c r="O1912" s="13">
        <v>672.0</v>
      </c>
      <c r="P1912" s="5"/>
      <c r="Q1912" s="5"/>
      <c r="R1912" s="8" t="s">
        <v>3157</v>
      </c>
      <c r="S1912" s="5"/>
      <c r="T1912" s="1" t="str">
        <f>IFERROR(__xludf.DUMMYFUNCTION("INDEX(SPLIT(A1912, ""/""), 2)"),"کانون‌های فرهنگی هنری")</f>
        <v>کانون‌های فرهنگی هنری</v>
      </c>
      <c r="U1912" s="1" t="str">
        <f>IFERROR(__xludf.DUMMYFUNCTION("INDEX(SPLIT(A1912, ""/""), 3)"),"روزنامه شریف")</f>
        <v>روزنامه شریف</v>
      </c>
      <c r="V1912" s="1" t="str">
        <f>IFERROR(__xludf.DUMMYFUNCTION("INDEX(SPLIT(A1912, ""/""), 4)"),"#REF!")</f>
        <v>#REF!</v>
      </c>
    </row>
    <row r="1913">
      <c r="A1913" s="1" t="s">
        <v>4070</v>
      </c>
      <c r="B1913" s="1" t="s">
        <v>5861</v>
      </c>
      <c r="C1913" s="1" t="s">
        <v>21</v>
      </c>
      <c r="D1913" s="4" t="s">
        <v>5862</v>
      </c>
      <c r="E1913" s="1" t="s">
        <v>71</v>
      </c>
      <c r="F1913" s="1" t="s">
        <v>5441</v>
      </c>
      <c r="G1913" s="1" t="s">
        <v>752</v>
      </c>
      <c r="H1913" s="1" t="s">
        <v>5863</v>
      </c>
      <c r="I1913" s="1" t="str">
        <f t="shared" si="1"/>
        <v>14</v>
      </c>
      <c r="J1913" s="5"/>
      <c r="K1913" s="1" t="str">
        <f t="shared" si="2"/>
        <v>9</v>
      </c>
      <c r="L1913" s="5"/>
      <c r="M1913" s="2" t="str">
        <f t="shared" si="3"/>
        <v>1394</v>
      </c>
      <c r="N1913" s="5"/>
      <c r="O1913" s="13">
        <v>673.0</v>
      </c>
      <c r="P1913" s="5"/>
      <c r="Q1913" s="5"/>
      <c r="R1913" s="6" t="s">
        <v>5863</v>
      </c>
      <c r="S1913" s="5"/>
      <c r="T1913" s="1" t="str">
        <f>IFERROR(__xludf.DUMMYFUNCTION("INDEX(SPLIT(A1913, ""/""), 2)"),"کانون‌های فرهنگی هنری")</f>
        <v>کانون‌های فرهنگی هنری</v>
      </c>
      <c r="U1913" s="1" t="str">
        <f>IFERROR(__xludf.DUMMYFUNCTION("INDEX(SPLIT(A1913, ""/""), 3)"),"روزنامه شریف")</f>
        <v>روزنامه شریف</v>
      </c>
      <c r="V1913" s="1" t="str">
        <f>IFERROR(__xludf.DUMMYFUNCTION("INDEX(SPLIT(A1913, ""/""), 4)"),"#REF!")</f>
        <v>#REF!</v>
      </c>
    </row>
    <row r="1914">
      <c r="A1914" s="1" t="s">
        <v>4070</v>
      </c>
      <c r="B1914" s="1" t="s">
        <v>5864</v>
      </c>
      <c r="C1914" s="1" t="s">
        <v>21</v>
      </c>
      <c r="D1914" s="4" t="s">
        <v>5865</v>
      </c>
      <c r="E1914" s="1" t="s">
        <v>71</v>
      </c>
      <c r="F1914" s="1" t="s">
        <v>5441</v>
      </c>
      <c r="G1914" s="1" t="s">
        <v>752</v>
      </c>
      <c r="H1914" s="1" t="s">
        <v>5866</v>
      </c>
      <c r="I1914" s="1" t="str">
        <f t="shared" si="1"/>
        <v>17</v>
      </c>
      <c r="J1914" s="5"/>
      <c r="K1914" s="1" t="str">
        <f t="shared" si="2"/>
        <v>9</v>
      </c>
      <c r="L1914" s="5"/>
      <c r="M1914" s="2" t="str">
        <f t="shared" si="3"/>
        <v>1394</v>
      </c>
      <c r="N1914" s="5"/>
      <c r="O1914" s="13">
        <v>674.0</v>
      </c>
      <c r="P1914" s="5"/>
      <c r="Q1914" s="5"/>
      <c r="R1914" s="6" t="s">
        <v>5866</v>
      </c>
      <c r="S1914" s="5"/>
      <c r="T1914" s="1" t="str">
        <f>IFERROR(__xludf.DUMMYFUNCTION("INDEX(SPLIT(A1914, ""/""), 2)"),"کانون‌های فرهنگی هنری")</f>
        <v>کانون‌های فرهنگی هنری</v>
      </c>
      <c r="U1914" s="1" t="str">
        <f>IFERROR(__xludf.DUMMYFUNCTION("INDEX(SPLIT(A1914, ""/""), 3)"),"روزنامه شریف")</f>
        <v>روزنامه شریف</v>
      </c>
      <c r="V1914" s="1" t="str">
        <f>IFERROR(__xludf.DUMMYFUNCTION("INDEX(SPLIT(A1914, ""/""), 4)"),"#REF!")</f>
        <v>#REF!</v>
      </c>
    </row>
    <row r="1915">
      <c r="A1915" s="1" t="s">
        <v>4070</v>
      </c>
      <c r="B1915" s="1" t="s">
        <v>5867</v>
      </c>
      <c r="C1915" s="1" t="s">
        <v>21</v>
      </c>
      <c r="D1915" s="4" t="s">
        <v>5868</v>
      </c>
      <c r="E1915" s="1" t="s">
        <v>71</v>
      </c>
      <c r="F1915" s="1" t="s">
        <v>5441</v>
      </c>
      <c r="G1915" s="1" t="s">
        <v>752</v>
      </c>
      <c r="H1915" s="1" t="s">
        <v>3160</v>
      </c>
      <c r="I1915" s="1" t="str">
        <f t="shared" si="1"/>
        <v>24</v>
      </c>
      <c r="J1915" s="5"/>
      <c r="K1915" s="1" t="str">
        <f t="shared" si="2"/>
        <v>9</v>
      </c>
      <c r="L1915" s="5"/>
      <c r="M1915" s="2" t="str">
        <f t="shared" si="3"/>
        <v>1394</v>
      </c>
      <c r="N1915" s="5"/>
      <c r="O1915" s="13">
        <v>675.0</v>
      </c>
      <c r="P1915" s="5"/>
      <c r="Q1915" s="5"/>
      <c r="R1915" s="6" t="s">
        <v>3160</v>
      </c>
      <c r="S1915" s="5"/>
      <c r="T1915" s="1" t="str">
        <f>IFERROR(__xludf.DUMMYFUNCTION("INDEX(SPLIT(A1915, ""/""), 2)"),"کانون‌های فرهنگی هنری")</f>
        <v>کانون‌های فرهنگی هنری</v>
      </c>
      <c r="U1915" s="1" t="str">
        <f>IFERROR(__xludf.DUMMYFUNCTION("INDEX(SPLIT(A1915, ""/""), 3)"),"روزنامه شریف")</f>
        <v>روزنامه شریف</v>
      </c>
      <c r="V1915" s="1" t="str">
        <f>IFERROR(__xludf.DUMMYFUNCTION("INDEX(SPLIT(A1915, ""/""), 4)"),"#REF!")</f>
        <v>#REF!</v>
      </c>
    </row>
    <row r="1916">
      <c r="A1916" s="1" t="s">
        <v>4070</v>
      </c>
      <c r="B1916" s="1" t="s">
        <v>5869</v>
      </c>
      <c r="C1916" s="1" t="s">
        <v>21</v>
      </c>
      <c r="D1916" s="4" t="s">
        <v>5870</v>
      </c>
      <c r="E1916" s="1" t="s">
        <v>71</v>
      </c>
      <c r="F1916" s="1" t="s">
        <v>5441</v>
      </c>
      <c r="G1916" s="1" t="s">
        <v>752</v>
      </c>
      <c r="H1916" s="1" t="s">
        <v>5871</v>
      </c>
      <c r="I1916" s="1" t="str">
        <f t="shared" si="1"/>
        <v>28</v>
      </c>
      <c r="J1916" s="5"/>
      <c r="K1916" s="1" t="str">
        <f t="shared" si="2"/>
        <v>9</v>
      </c>
      <c r="L1916" s="5"/>
      <c r="M1916" s="2" t="str">
        <f t="shared" si="3"/>
        <v>1394</v>
      </c>
      <c r="N1916" s="5"/>
      <c r="O1916" s="13">
        <v>676.0</v>
      </c>
      <c r="P1916" s="5"/>
      <c r="Q1916" s="5"/>
      <c r="R1916" s="6" t="s">
        <v>5871</v>
      </c>
      <c r="S1916" s="5"/>
      <c r="T1916" s="1" t="str">
        <f>IFERROR(__xludf.DUMMYFUNCTION("INDEX(SPLIT(A1916, ""/""), 2)"),"کانون‌های فرهنگی هنری")</f>
        <v>کانون‌های فرهنگی هنری</v>
      </c>
      <c r="U1916" s="1" t="str">
        <f>IFERROR(__xludf.DUMMYFUNCTION("INDEX(SPLIT(A1916, ""/""), 3)"),"روزنامه شریف")</f>
        <v>روزنامه شریف</v>
      </c>
      <c r="V1916" s="1" t="str">
        <f>IFERROR(__xludf.DUMMYFUNCTION("INDEX(SPLIT(A1916, ""/""), 4)"),"#REF!")</f>
        <v>#REF!</v>
      </c>
    </row>
    <row r="1917">
      <c r="A1917" s="1" t="s">
        <v>4070</v>
      </c>
      <c r="B1917" s="1" t="s">
        <v>5872</v>
      </c>
      <c r="C1917" s="1" t="s">
        <v>21</v>
      </c>
      <c r="D1917" s="4" t="s">
        <v>5873</v>
      </c>
      <c r="E1917" s="1" t="s">
        <v>71</v>
      </c>
      <c r="F1917" s="1" t="s">
        <v>5441</v>
      </c>
      <c r="G1917" s="1" t="s">
        <v>752</v>
      </c>
      <c r="H1917" s="7" t="s">
        <v>5874</v>
      </c>
      <c r="I1917" s="1" t="str">
        <f t="shared" si="1"/>
        <v>1</v>
      </c>
      <c r="J1917" s="5"/>
      <c r="K1917" s="1" t="str">
        <f t="shared" si="2"/>
        <v>10</v>
      </c>
      <c r="L1917" s="5"/>
      <c r="M1917" s="2" t="str">
        <f t="shared" si="3"/>
        <v>1394</v>
      </c>
      <c r="N1917" s="5"/>
      <c r="O1917" s="13">
        <v>677.0</v>
      </c>
      <c r="P1917" s="5"/>
      <c r="Q1917" s="5"/>
      <c r="R1917" s="8" t="s">
        <v>5874</v>
      </c>
      <c r="S1917" s="5"/>
      <c r="T1917" s="1" t="str">
        <f>IFERROR(__xludf.DUMMYFUNCTION("INDEX(SPLIT(A1917, ""/""), 2)"),"کانون‌های فرهنگی هنری")</f>
        <v>کانون‌های فرهنگی هنری</v>
      </c>
      <c r="U1917" s="1" t="str">
        <f>IFERROR(__xludf.DUMMYFUNCTION("INDEX(SPLIT(A1917, ""/""), 3)"),"روزنامه شریف")</f>
        <v>روزنامه شریف</v>
      </c>
      <c r="V1917" s="1" t="str">
        <f>IFERROR(__xludf.DUMMYFUNCTION("INDEX(SPLIT(A1917, ""/""), 4)"),"#REF!")</f>
        <v>#REF!</v>
      </c>
    </row>
    <row r="1918">
      <c r="A1918" s="1" t="s">
        <v>4070</v>
      </c>
      <c r="B1918" s="1" t="s">
        <v>5875</v>
      </c>
      <c r="C1918" s="1" t="s">
        <v>21</v>
      </c>
      <c r="D1918" s="4" t="s">
        <v>5876</v>
      </c>
      <c r="E1918" s="1" t="s">
        <v>71</v>
      </c>
      <c r="F1918" s="1" t="s">
        <v>5441</v>
      </c>
      <c r="G1918" s="1" t="s">
        <v>752</v>
      </c>
      <c r="H1918" s="7" t="s">
        <v>5877</v>
      </c>
      <c r="I1918" s="1" t="str">
        <f t="shared" si="1"/>
        <v>1</v>
      </c>
      <c r="J1918" s="5"/>
      <c r="K1918" s="1" t="str">
        <f t="shared" si="2"/>
        <v>12</v>
      </c>
      <c r="L1918" s="5"/>
      <c r="M1918" s="2" t="str">
        <f t="shared" si="3"/>
        <v>1394</v>
      </c>
      <c r="N1918" s="5"/>
      <c r="O1918" s="13">
        <v>678.0</v>
      </c>
      <c r="P1918" s="5"/>
      <c r="Q1918" s="5"/>
      <c r="R1918" s="8" t="s">
        <v>5877</v>
      </c>
      <c r="S1918" s="5"/>
      <c r="T1918" s="1" t="str">
        <f>IFERROR(__xludf.DUMMYFUNCTION("INDEX(SPLIT(A1918, ""/""), 2)"),"کانون‌های فرهنگی هنری")</f>
        <v>کانون‌های فرهنگی هنری</v>
      </c>
      <c r="U1918" s="1" t="str">
        <f>IFERROR(__xludf.DUMMYFUNCTION("INDEX(SPLIT(A1918, ""/""), 3)"),"روزنامه شریف")</f>
        <v>روزنامه شریف</v>
      </c>
      <c r="V1918" s="1" t="str">
        <f>IFERROR(__xludf.DUMMYFUNCTION("INDEX(SPLIT(A1918, ""/""), 4)"),"#REF!")</f>
        <v>#REF!</v>
      </c>
    </row>
    <row r="1919">
      <c r="A1919" s="1" t="s">
        <v>4070</v>
      </c>
      <c r="B1919" s="1" t="s">
        <v>5878</v>
      </c>
      <c r="C1919" s="1" t="s">
        <v>21</v>
      </c>
      <c r="D1919" s="4" t="s">
        <v>5879</v>
      </c>
      <c r="E1919" s="1" t="s">
        <v>71</v>
      </c>
      <c r="F1919" s="1" t="s">
        <v>5441</v>
      </c>
      <c r="G1919" s="1" t="s">
        <v>752</v>
      </c>
      <c r="H1919" s="7" t="s">
        <v>5880</v>
      </c>
      <c r="I1919" s="1" t="str">
        <f t="shared" si="1"/>
        <v>4</v>
      </c>
      <c r="J1919" s="5"/>
      <c r="K1919" s="1" t="str">
        <f t="shared" si="2"/>
        <v>12</v>
      </c>
      <c r="L1919" s="5"/>
      <c r="M1919" s="2" t="str">
        <f t="shared" si="3"/>
        <v>1394</v>
      </c>
      <c r="N1919" s="5"/>
      <c r="O1919" s="13">
        <v>679.0</v>
      </c>
      <c r="P1919" s="5"/>
      <c r="Q1919" s="5"/>
      <c r="R1919" s="8" t="s">
        <v>5880</v>
      </c>
      <c r="S1919" s="5"/>
      <c r="T1919" s="1" t="str">
        <f>IFERROR(__xludf.DUMMYFUNCTION("INDEX(SPLIT(A1919, ""/""), 2)"),"کانون‌های فرهنگی هنری")</f>
        <v>کانون‌های فرهنگی هنری</v>
      </c>
      <c r="U1919" s="1" t="str">
        <f>IFERROR(__xludf.DUMMYFUNCTION("INDEX(SPLIT(A1919, ""/""), 3)"),"روزنامه شریف")</f>
        <v>روزنامه شریف</v>
      </c>
      <c r="V1919" s="1" t="str">
        <f>IFERROR(__xludf.DUMMYFUNCTION("INDEX(SPLIT(A1919, ""/""), 4)"),"#REF!")</f>
        <v>#REF!</v>
      </c>
    </row>
    <row r="1920">
      <c r="A1920" s="1" t="s">
        <v>4070</v>
      </c>
      <c r="B1920" s="1" t="s">
        <v>5881</v>
      </c>
      <c r="C1920" s="1" t="s">
        <v>21</v>
      </c>
      <c r="D1920" s="4" t="s">
        <v>5882</v>
      </c>
      <c r="E1920" s="1" t="s">
        <v>71</v>
      </c>
      <c r="F1920" s="1" t="s">
        <v>5441</v>
      </c>
      <c r="G1920" s="1" t="s">
        <v>752</v>
      </c>
      <c r="H1920" s="7" t="s">
        <v>5883</v>
      </c>
      <c r="I1920" s="1" t="str">
        <f t="shared" si="1"/>
        <v>8</v>
      </c>
      <c r="J1920" s="5"/>
      <c r="K1920" s="1" t="str">
        <f t="shared" si="2"/>
        <v>12</v>
      </c>
      <c r="L1920" s="5"/>
      <c r="M1920" s="2" t="str">
        <f t="shared" si="3"/>
        <v>1394</v>
      </c>
      <c r="N1920" s="5"/>
      <c r="O1920" s="13">
        <v>680.0</v>
      </c>
      <c r="P1920" s="5"/>
      <c r="Q1920" s="5"/>
      <c r="R1920" s="8" t="s">
        <v>5883</v>
      </c>
      <c r="S1920" s="5"/>
      <c r="T1920" s="1" t="str">
        <f>IFERROR(__xludf.DUMMYFUNCTION("INDEX(SPLIT(A1920, ""/""), 2)"),"کانون‌های فرهنگی هنری")</f>
        <v>کانون‌های فرهنگی هنری</v>
      </c>
      <c r="U1920" s="1" t="str">
        <f>IFERROR(__xludf.DUMMYFUNCTION("INDEX(SPLIT(A1920, ""/""), 3)"),"روزنامه شریف")</f>
        <v>روزنامه شریف</v>
      </c>
      <c r="V1920" s="1" t="str">
        <f>IFERROR(__xludf.DUMMYFUNCTION("INDEX(SPLIT(A1920, ""/""), 4)"),"#REF!")</f>
        <v>#REF!</v>
      </c>
    </row>
    <row r="1921">
      <c r="A1921" s="1" t="s">
        <v>4070</v>
      </c>
      <c r="B1921" s="1" t="s">
        <v>5884</v>
      </c>
      <c r="C1921" s="1" t="s">
        <v>21</v>
      </c>
      <c r="D1921" s="4" t="s">
        <v>5885</v>
      </c>
      <c r="E1921" s="1" t="s">
        <v>71</v>
      </c>
      <c r="F1921" s="1" t="s">
        <v>5441</v>
      </c>
      <c r="G1921" s="1" t="s">
        <v>752</v>
      </c>
      <c r="H1921" s="7" t="s">
        <v>5886</v>
      </c>
      <c r="I1921" s="1" t="str">
        <f t="shared" si="1"/>
        <v>11</v>
      </c>
      <c r="J1921" s="5"/>
      <c r="K1921" s="1" t="str">
        <f t="shared" si="2"/>
        <v>12</v>
      </c>
      <c r="L1921" s="5"/>
      <c r="M1921" s="2" t="str">
        <f t="shared" si="3"/>
        <v>1394</v>
      </c>
      <c r="N1921" s="5"/>
      <c r="O1921" s="13">
        <v>681.0</v>
      </c>
      <c r="P1921" s="5"/>
      <c r="Q1921" s="5"/>
      <c r="R1921" s="8" t="s">
        <v>5886</v>
      </c>
      <c r="S1921" s="5"/>
      <c r="T1921" s="1" t="str">
        <f>IFERROR(__xludf.DUMMYFUNCTION("INDEX(SPLIT(A1921, ""/""), 2)"),"کانون‌های فرهنگی هنری")</f>
        <v>کانون‌های فرهنگی هنری</v>
      </c>
      <c r="U1921" s="1" t="str">
        <f>IFERROR(__xludf.DUMMYFUNCTION("INDEX(SPLIT(A1921, ""/""), 3)"),"روزنامه شریف")</f>
        <v>روزنامه شریف</v>
      </c>
      <c r="V1921" s="1" t="str">
        <f>IFERROR(__xludf.DUMMYFUNCTION("INDEX(SPLIT(A1921, ""/""), 4)"),"#REF!")</f>
        <v>#REF!</v>
      </c>
    </row>
    <row r="1922">
      <c r="A1922" s="1" t="s">
        <v>4070</v>
      </c>
      <c r="B1922" s="1" t="s">
        <v>5887</v>
      </c>
      <c r="C1922" s="1" t="s">
        <v>21</v>
      </c>
      <c r="D1922" s="4" t="s">
        <v>5888</v>
      </c>
      <c r="E1922" s="1" t="s">
        <v>71</v>
      </c>
      <c r="F1922" s="1" t="s">
        <v>5441</v>
      </c>
      <c r="G1922" s="1" t="s">
        <v>752</v>
      </c>
      <c r="H1922" s="1" t="s">
        <v>234</v>
      </c>
      <c r="I1922" s="1" t="str">
        <f t="shared" si="1"/>
        <v>15</v>
      </c>
      <c r="J1922" s="5"/>
      <c r="K1922" s="1" t="str">
        <f t="shared" si="2"/>
        <v>12</v>
      </c>
      <c r="L1922" s="5"/>
      <c r="M1922" s="2" t="str">
        <f t="shared" si="3"/>
        <v>1394</v>
      </c>
      <c r="N1922" s="5"/>
      <c r="O1922" s="13">
        <v>682.0</v>
      </c>
      <c r="P1922" s="5"/>
      <c r="Q1922" s="5"/>
      <c r="R1922" s="6" t="s">
        <v>234</v>
      </c>
      <c r="S1922" s="5"/>
      <c r="T1922" s="1" t="str">
        <f>IFERROR(__xludf.DUMMYFUNCTION("INDEX(SPLIT(A1922, ""/""), 2)"),"کانون‌های فرهنگی هنری")</f>
        <v>کانون‌های فرهنگی هنری</v>
      </c>
      <c r="U1922" s="1" t="str">
        <f>IFERROR(__xludf.DUMMYFUNCTION("INDEX(SPLIT(A1922, ""/""), 3)"),"روزنامه شریف")</f>
        <v>روزنامه شریف</v>
      </c>
      <c r="V1922" s="1" t="str">
        <f>IFERROR(__xludf.DUMMYFUNCTION("INDEX(SPLIT(A1922, ""/""), 4)"),"#REF!")</f>
        <v>#REF!</v>
      </c>
    </row>
    <row r="1923">
      <c r="A1923" s="1" t="s">
        <v>4070</v>
      </c>
      <c r="B1923" s="1" t="s">
        <v>5889</v>
      </c>
      <c r="C1923" s="1" t="s">
        <v>21</v>
      </c>
      <c r="D1923" s="4" t="s">
        <v>5890</v>
      </c>
      <c r="E1923" s="1" t="s">
        <v>71</v>
      </c>
      <c r="F1923" s="1" t="s">
        <v>5441</v>
      </c>
      <c r="G1923" s="1" t="s">
        <v>752</v>
      </c>
      <c r="H1923" s="1" t="s">
        <v>1941</v>
      </c>
      <c r="I1923" s="1" t="str">
        <f t="shared" si="1"/>
        <v>18</v>
      </c>
      <c r="J1923" s="5"/>
      <c r="K1923" s="1" t="str">
        <f t="shared" si="2"/>
        <v>12</v>
      </c>
      <c r="L1923" s="5"/>
      <c r="M1923" s="2" t="str">
        <f t="shared" si="3"/>
        <v>1394</v>
      </c>
      <c r="N1923" s="5"/>
      <c r="O1923" s="13">
        <v>683.0</v>
      </c>
      <c r="P1923" s="5"/>
      <c r="Q1923" s="5"/>
      <c r="R1923" s="6" t="s">
        <v>1941</v>
      </c>
      <c r="S1923" s="5"/>
      <c r="T1923" s="1" t="str">
        <f>IFERROR(__xludf.DUMMYFUNCTION("INDEX(SPLIT(A1923, ""/""), 2)"),"کانون‌های فرهنگی هنری")</f>
        <v>کانون‌های فرهنگی هنری</v>
      </c>
      <c r="U1923" s="1" t="str">
        <f>IFERROR(__xludf.DUMMYFUNCTION("INDEX(SPLIT(A1923, ""/""), 3)"),"روزنامه شریف")</f>
        <v>روزنامه شریف</v>
      </c>
      <c r="V1923" s="1" t="str">
        <f>IFERROR(__xludf.DUMMYFUNCTION("INDEX(SPLIT(A1923, ""/""), 4)"),"#REF!")</f>
        <v>#REF!</v>
      </c>
    </row>
    <row r="1924">
      <c r="A1924" s="1" t="s">
        <v>4070</v>
      </c>
      <c r="B1924" s="1" t="s">
        <v>5891</v>
      </c>
      <c r="C1924" s="1" t="s">
        <v>21</v>
      </c>
      <c r="D1924" s="4" t="s">
        <v>5892</v>
      </c>
      <c r="E1924" s="1" t="s">
        <v>71</v>
      </c>
      <c r="F1924" s="1" t="s">
        <v>5441</v>
      </c>
      <c r="G1924" s="1" t="s">
        <v>752</v>
      </c>
      <c r="H1924" s="1" t="s">
        <v>5893</v>
      </c>
      <c r="I1924" s="1" t="str">
        <f t="shared" si="1"/>
        <v>17</v>
      </c>
      <c r="J1924" s="5"/>
      <c r="K1924" s="1" t="str">
        <f t="shared" si="2"/>
        <v>1</v>
      </c>
      <c r="L1924" s="5"/>
      <c r="M1924" s="2" t="str">
        <f t="shared" si="3"/>
        <v>1395</v>
      </c>
      <c r="N1924" s="5"/>
      <c r="O1924" s="13">
        <v>684.0</v>
      </c>
      <c r="P1924" s="5"/>
      <c r="Q1924" s="5"/>
      <c r="R1924" s="6" t="s">
        <v>5893</v>
      </c>
      <c r="S1924" s="5"/>
      <c r="T1924" s="1" t="str">
        <f>IFERROR(__xludf.DUMMYFUNCTION("INDEX(SPLIT(A1924, ""/""), 2)"),"کانون‌های فرهنگی هنری")</f>
        <v>کانون‌های فرهنگی هنری</v>
      </c>
      <c r="U1924" s="1" t="str">
        <f>IFERROR(__xludf.DUMMYFUNCTION("INDEX(SPLIT(A1924, ""/""), 3)"),"روزنامه شریف")</f>
        <v>روزنامه شریف</v>
      </c>
      <c r="V1924" s="1" t="str">
        <f>IFERROR(__xludf.DUMMYFUNCTION("INDEX(SPLIT(A1924, ""/""), 4)"),"#REF!")</f>
        <v>#REF!</v>
      </c>
    </row>
    <row r="1925">
      <c r="A1925" s="1" t="s">
        <v>4070</v>
      </c>
      <c r="B1925" s="1" t="s">
        <v>5894</v>
      </c>
      <c r="C1925" s="1" t="s">
        <v>21</v>
      </c>
      <c r="D1925" s="4" t="s">
        <v>5895</v>
      </c>
      <c r="E1925" s="1" t="s">
        <v>71</v>
      </c>
      <c r="F1925" s="1" t="s">
        <v>5441</v>
      </c>
      <c r="G1925" s="1" t="s">
        <v>752</v>
      </c>
      <c r="H1925" s="1" t="s">
        <v>5896</v>
      </c>
      <c r="I1925" s="1" t="str">
        <f t="shared" si="1"/>
        <v>21</v>
      </c>
      <c r="J1925" s="5"/>
      <c r="K1925" s="1" t="str">
        <f t="shared" si="2"/>
        <v>1</v>
      </c>
      <c r="L1925" s="5"/>
      <c r="M1925" s="2" t="str">
        <f t="shared" si="3"/>
        <v>1395</v>
      </c>
      <c r="N1925" s="5"/>
      <c r="O1925" s="13">
        <v>685.0</v>
      </c>
      <c r="P1925" s="5"/>
      <c r="Q1925" s="5"/>
      <c r="R1925" s="6" t="s">
        <v>5896</v>
      </c>
      <c r="S1925" s="5"/>
      <c r="T1925" s="1" t="str">
        <f>IFERROR(__xludf.DUMMYFUNCTION("INDEX(SPLIT(A1925, ""/""), 2)"),"کانون‌های فرهنگی هنری")</f>
        <v>کانون‌های فرهنگی هنری</v>
      </c>
      <c r="U1925" s="1" t="str">
        <f>IFERROR(__xludf.DUMMYFUNCTION("INDEX(SPLIT(A1925, ""/""), 3)"),"روزنامه شریف")</f>
        <v>روزنامه شریف</v>
      </c>
      <c r="V1925" s="1" t="str">
        <f>IFERROR(__xludf.DUMMYFUNCTION("INDEX(SPLIT(A1925, ""/""), 4)"),"#REF!")</f>
        <v>#REF!</v>
      </c>
    </row>
    <row r="1926">
      <c r="A1926" s="1" t="s">
        <v>4070</v>
      </c>
      <c r="B1926" s="1" t="s">
        <v>5897</v>
      </c>
      <c r="C1926" s="1" t="s">
        <v>21</v>
      </c>
      <c r="D1926" s="4" t="s">
        <v>5898</v>
      </c>
      <c r="E1926" s="1" t="s">
        <v>71</v>
      </c>
      <c r="F1926" s="1" t="s">
        <v>5441</v>
      </c>
      <c r="G1926" s="1" t="s">
        <v>752</v>
      </c>
      <c r="H1926" s="1" t="s">
        <v>5899</v>
      </c>
      <c r="I1926" s="1" t="str">
        <f t="shared" si="1"/>
        <v>24</v>
      </c>
      <c r="J1926" s="5"/>
      <c r="K1926" s="1" t="str">
        <f t="shared" si="2"/>
        <v>1</v>
      </c>
      <c r="L1926" s="5"/>
      <c r="M1926" s="2" t="str">
        <f t="shared" si="3"/>
        <v>1395</v>
      </c>
      <c r="N1926" s="5"/>
      <c r="O1926" s="13">
        <v>686.0</v>
      </c>
      <c r="P1926" s="5"/>
      <c r="Q1926" s="5"/>
      <c r="R1926" s="6" t="s">
        <v>5899</v>
      </c>
      <c r="S1926" s="5"/>
      <c r="T1926" s="1" t="str">
        <f>IFERROR(__xludf.DUMMYFUNCTION("INDEX(SPLIT(A1926, ""/""), 2)"),"کانون‌های فرهنگی هنری")</f>
        <v>کانون‌های فرهنگی هنری</v>
      </c>
      <c r="U1926" s="1" t="str">
        <f>IFERROR(__xludf.DUMMYFUNCTION("INDEX(SPLIT(A1926, ""/""), 3)"),"روزنامه شریف")</f>
        <v>روزنامه شریف</v>
      </c>
      <c r="V1926" s="1" t="str">
        <f>IFERROR(__xludf.DUMMYFUNCTION("INDEX(SPLIT(A1926, ""/""), 4)"),"#REF!")</f>
        <v>#REF!</v>
      </c>
    </row>
    <row r="1927">
      <c r="A1927" s="1" t="s">
        <v>4070</v>
      </c>
      <c r="B1927" s="1" t="s">
        <v>5900</v>
      </c>
      <c r="C1927" s="1" t="s">
        <v>21</v>
      </c>
      <c r="D1927" s="4" t="s">
        <v>5901</v>
      </c>
      <c r="E1927" s="1" t="s">
        <v>71</v>
      </c>
      <c r="F1927" s="1" t="s">
        <v>5441</v>
      </c>
      <c r="G1927" s="1" t="s">
        <v>752</v>
      </c>
      <c r="H1927" s="1" t="s">
        <v>5902</v>
      </c>
      <c r="I1927" s="1" t="str">
        <f t="shared" si="1"/>
        <v>28</v>
      </c>
      <c r="J1927" s="5"/>
      <c r="K1927" s="1" t="str">
        <f t="shared" si="2"/>
        <v>1</v>
      </c>
      <c r="L1927" s="5"/>
      <c r="M1927" s="2" t="str">
        <f t="shared" si="3"/>
        <v>1395</v>
      </c>
      <c r="N1927" s="5"/>
      <c r="O1927" s="13">
        <v>687.0</v>
      </c>
      <c r="P1927" s="5"/>
      <c r="Q1927" s="5"/>
      <c r="R1927" s="6" t="s">
        <v>5902</v>
      </c>
      <c r="S1927" s="5"/>
      <c r="T1927" s="1" t="str">
        <f>IFERROR(__xludf.DUMMYFUNCTION("INDEX(SPLIT(A1927, ""/""), 2)"),"کانون‌های فرهنگی هنری")</f>
        <v>کانون‌های فرهنگی هنری</v>
      </c>
      <c r="U1927" s="1" t="str">
        <f>IFERROR(__xludf.DUMMYFUNCTION("INDEX(SPLIT(A1927, ""/""), 3)"),"روزنامه شریف")</f>
        <v>روزنامه شریف</v>
      </c>
      <c r="V1927" s="1" t="str">
        <f>IFERROR(__xludf.DUMMYFUNCTION("INDEX(SPLIT(A1927, ""/""), 4)"),"#REF!")</f>
        <v>#REF!</v>
      </c>
    </row>
    <row r="1928">
      <c r="A1928" s="1" t="s">
        <v>4070</v>
      </c>
      <c r="B1928" s="1" t="s">
        <v>5903</v>
      </c>
      <c r="C1928" s="1" t="s">
        <v>21</v>
      </c>
      <c r="D1928" s="4" t="s">
        <v>5904</v>
      </c>
      <c r="E1928" s="1" t="s">
        <v>71</v>
      </c>
      <c r="F1928" s="1" t="s">
        <v>5441</v>
      </c>
      <c r="G1928" s="1" t="s">
        <v>752</v>
      </c>
      <c r="H1928" s="1" t="s">
        <v>5905</v>
      </c>
      <c r="I1928" s="1" t="str">
        <f t="shared" si="1"/>
        <v>31</v>
      </c>
      <c r="J1928" s="5"/>
      <c r="K1928" s="1" t="str">
        <f t="shared" si="2"/>
        <v>1</v>
      </c>
      <c r="L1928" s="5"/>
      <c r="M1928" s="2" t="str">
        <f t="shared" si="3"/>
        <v>1395</v>
      </c>
      <c r="N1928" s="5"/>
      <c r="O1928" s="13">
        <v>688.0</v>
      </c>
      <c r="P1928" s="5"/>
      <c r="Q1928" s="5"/>
      <c r="R1928" s="6" t="s">
        <v>5905</v>
      </c>
      <c r="S1928" s="5"/>
      <c r="T1928" s="1" t="str">
        <f>IFERROR(__xludf.DUMMYFUNCTION("INDEX(SPLIT(A1928, ""/""), 2)"),"کانون‌های فرهنگی هنری")</f>
        <v>کانون‌های فرهنگی هنری</v>
      </c>
      <c r="U1928" s="1" t="str">
        <f>IFERROR(__xludf.DUMMYFUNCTION("INDEX(SPLIT(A1928, ""/""), 3)"),"روزنامه شریف")</f>
        <v>روزنامه شریف</v>
      </c>
      <c r="V1928" s="1" t="str">
        <f>IFERROR(__xludf.DUMMYFUNCTION("INDEX(SPLIT(A1928, ""/""), 4)"),"#REF!")</f>
        <v>#REF!</v>
      </c>
    </row>
    <row r="1929">
      <c r="A1929" s="1" t="s">
        <v>4070</v>
      </c>
      <c r="B1929" s="1" t="s">
        <v>5906</v>
      </c>
      <c r="C1929" s="1" t="s">
        <v>21</v>
      </c>
      <c r="D1929" s="4" t="s">
        <v>5907</v>
      </c>
      <c r="E1929" s="1" t="s">
        <v>71</v>
      </c>
      <c r="F1929" s="1" t="s">
        <v>5441</v>
      </c>
      <c r="G1929" s="1" t="s">
        <v>752</v>
      </c>
      <c r="H1929" s="7" t="s">
        <v>5908</v>
      </c>
      <c r="I1929" s="1" t="str">
        <f t="shared" si="1"/>
        <v>4</v>
      </c>
      <c r="J1929" s="5"/>
      <c r="K1929" s="1" t="str">
        <f t="shared" si="2"/>
        <v>2</v>
      </c>
      <c r="L1929" s="5"/>
      <c r="M1929" s="2" t="str">
        <f t="shared" si="3"/>
        <v>1395</v>
      </c>
      <c r="N1929" s="5"/>
      <c r="O1929" s="13">
        <v>689.0</v>
      </c>
      <c r="P1929" s="5"/>
      <c r="Q1929" s="5"/>
      <c r="R1929" s="8" t="s">
        <v>5908</v>
      </c>
      <c r="S1929" s="5"/>
      <c r="T1929" s="1" t="str">
        <f>IFERROR(__xludf.DUMMYFUNCTION("INDEX(SPLIT(A1929, ""/""), 2)"),"کانون‌های فرهنگی هنری")</f>
        <v>کانون‌های فرهنگی هنری</v>
      </c>
      <c r="U1929" s="1" t="str">
        <f>IFERROR(__xludf.DUMMYFUNCTION("INDEX(SPLIT(A1929, ""/""), 3)"),"روزنامه شریف")</f>
        <v>روزنامه شریف</v>
      </c>
      <c r="V1929" s="1" t="str">
        <f>IFERROR(__xludf.DUMMYFUNCTION("INDEX(SPLIT(A1929, ""/""), 4)"),"#REF!")</f>
        <v>#REF!</v>
      </c>
    </row>
    <row r="1930">
      <c r="A1930" s="1" t="s">
        <v>4070</v>
      </c>
      <c r="B1930" s="1" t="s">
        <v>5909</v>
      </c>
      <c r="C1930" s="1" t="s">
        <v>21</v>
      </c>
      <c r="D1930" s="4" t="s">
        <v>5910</v>
      </c>
      <c r="E1930" s="1" t="s">
        <v>71</v>
      </c>
      <c r="F1930" s="1" t="s">
        <v>5441</v>
      </c>
      <c r="G1930" s="1" t="s">
        <v>752</v>
      </c>
      <c r="H1930" s="7" t="s">
        <v>5911</v>
      </c>
      <c r="I1930" s="1" t="str">
        <f t="shared" si="1"/>
        <v>7</v>
      </c>
      <c r="J1930" s="5"/>
      <c r="K1930" s="1" t="str">
        <f t="shared" si="2"/>
        <v>2</v>
      </c>
      <c r="L1930" s="5"/>
      <c r="M1930" s="2" t="str">
        <f t="shared" si="3"/>
        <v>1395</v>
      </c>
      <c r="N1930" s="5"/>
      <c r="O1930" s="13">
        <v>690.0</v>
      </c>
      <c r="P1930" s="5"/>
      <c r="Q1930" s="5"/>
      <c r="R1930" s="8" t="s">
        <v>5911</v>
      </c>
      <c r="S1930" s="5"/>
      <c r="T1930" s="1" t="str">
        <f>IFERROR(__xludf.DUMMYFUNCTION("INDEX(SPLIT(A1930, ""/""), 2)"),"کانون‌های فرهنگی هنری")</f>
        <v>کانون‌های فرهنگی هنری</v>
      </c>
      <c r="U1930" s="1" t="str">
        <f>IFERROR(__xludf.DUMMYFUNCTION("INDEX(SPLIT(A1930, ""/""), 3)"),"روزنامه شریف")</f>
        <v>روزنامه شریف</v>
      </c>
      <c r="V1930" s="1" t="str">
        <f>IFERROR(__xludf.DUMMYFUNCTION("INDEX(SPLIT(A1930, ""/""), 4)"),"#REF!")</f>
        <v>#REF!</v>
      </c>
    </row>
    <row r="1931">
      <c r="A1931" s="1" t="s">
        <v>4070</v>
      </c>
      <c r="B1931" s="1" t="s">
        <v>5912</v>
      </c>
      <c r="C1931" s="1" t="s">
        <v>21</v>
      </c>
      <c r="D1931" s="4" t="s">
        <v>5913</v>
      </c>
      <c r="E1931" s="1" t="s">
        <v>71</v>
      </c>
      <c r="F1931" s="1" t="s">
        <v>5441</v>
      </c>
      <c r="G1931" s="1" t="s">
        <v>752</v>
      </c>
      <c r="H1931" s="7" t="s">
        <v>5914</v>
      </c>
      <c r="I1931" s="1" t="str">
        <f t="shared" si="1"/>
        <v>11</v>
      </c>
      <c r="J1931" s="5"/>
      <c r="K1931" s="1" t="str">
        <f t="shared" si="2"/>
        <v>2</v>
      </c>
      <c r="L1931" s="5"/>
      <c r="M1931" s="2" t="str">
        <f t="shared" si="3"/>
        <v>1395</v>
      </c>
      <c r="N1931" s="5"/>
      <c r="O1931" s="13">
        <v>691.0</v>
      </c>
      <c r="P1931" s="5"/>
      <c r="Q1931" s="5"/>
      <c r="R1931" s="8" t="s">
        <v>5914</v>
      </c>
      <c r="S1931" s="5"/>
      <c r="T1931" s="1" t="str">
        <f>IFERROR(__xludf.DUMMYFUNCTION("INDEX(SPLIT(A1931, ""/""), 2)"),"کانون‌های فرهنگی هنری")</f>
        <v>کانون‌های فرهنگی هنری</v>
      </c>
      <c r="U1931" s="1" t="str">
        <f>IFERROR(__xludf.DUMMYFUNCTION("INDEX(SPLIT(A1931, ""/""), 3)"),"روزنامه شریف")</f>
        <v>روزنامه شریف</v>
      </c>
      <c r="V1931" s="1" t="str">
        <f>IFERROR(__xludf.DUMMYFUNCTION("INDEX(SPLIT(A1931, ""/""), 4)"),"#REF!")</f>
        <v>#REF!</v>
      </c>
    </row>
    <row r="1932">
      <c r="A1932" s="1" t="s">
        <v>4070</v>
      </c>
      <c r="B1932" s="1" t="s">
        <v>5915</v>
      </c>
      <c r="C1932" s="1" t="s">
        <v>21</v>
      </c>
      <c r="D1932" s="4" t="s">
        <v>5916</v>
      </c>
      <c r="E1932" s="1" t="s">
        <v>71</v>
      </c>
      <c r="F1932" s="1" t="s">
        <v>5441</v>
      </c>
      <c r="G1932" s="1" t="s">
        <v>752</v>
      </c>
      <c r="H1932" s="1" t="s">
        <v>5917</v>
      </c>
      <c r="I1932" s="1" t="str">
        <f t="shared" si="1"/>
        <v>14</v>
      </c>
      <c r="J1932" s="5"/>
      <c r="K1932" s="1" t="str">
        <f t="shared" si="2"/>
        <v>2</v>
      </c>
      <c r="L1932" s="5"/>
      <c r="M1932" s="2" t="str">
        <f t="shared" si="3"/>
        <v>1395</v>
      </c>
      <c r="N1932" s="5"/>
      <c r="O1932" s="13">
        <v>692.0</v>
      </c>
      <c r="P1932" s="5"/>
      <c r="Q1932" s="5"/>
      <c r="R1932" s="6" t="s">
        <v>5917</v>
      </c>
      <c r="S1932" s="5"/>
      <c r="T1932" s="1" t="str">
        <f>IFERROR(__xludf.DUMMYFUNCTION("INDEX(SPLIT(A1932, ""/""), 2)"),"کانون‌های فرهنگی هنری")</f>
        <v>کانون‌های فرهنگی هنری</v>
      </c>
      <c r="U1932" s="1" t="str">
        <f>IFERROR(__xludf.DUMMYFUNCTION("INDEX(SPLIT(A1932, ""/""), 3)"),"روزنامه شریف")</f>
        <v>روزنامه شریف</v>
      </c>
      <c r="V1932" s="1" t="str">
        <f>IFERROR(__xludf.DUMMYFUNCTION("INDEX(SPLIT(A1932, ""/""), 4)"),"#REF!")</f>
        <v>#REF!</v>
      </c>
    </row>
    <row r="1933">
      <c r="A1933" s="1" t="s">
        <v>4070</v>
      </c>
      <c r="B1933" s="1" t="s">
        <v>5918</v>
      </c>
      <c r="C1933" s="1" t="s">
        <v>21</v>
      </c>
      <c r="D1933" s="4" t="s">
        <v>5919</v>
      </c>
      <c r="E1933" s="1" t="s">
        <v>71</v>
      </c>
      <c r="F1933" s="1" t="s">
        <v>5441</v>
      </c>
      <c r="G1933" s="1" t="s">
        <v>752</v>
      </c>
      <c r="H1933" s="1" t="s">
        <v>5920</v>
      </c>
      <c r="I1933" s="1" t="str">
        <f t="shared" si="1"/>
        <v>18</v>
      </c>
      <c r="J1933" s="5"/>
      <c r="K1933" s="1" t="str">
        <f t="shared" si="2"/>
        <v>2</v>
      </c>
      <c r="L1933" s="5"/>
      <c r="M1933" s="2" t="str">
        <f t="shared" si="3"/>
        <v>1395</v>
      </c>
      <c r="N1933" s="5"/>
      <c r="O1933" s="13">
        <v>693.0</v>
      </c>
      <c r="P1933" s="5"/>
      <c r="Q1933" s="5"/>
      <c r="R1933" s="6" t="s">
        <v>5920</v>
      </c>
      <c r="S1933" s="5"/>
      <c r="T1933" s="1" t="str">
        <f>IFERROR(__xludf.DUMMYFUNCTION("INDEX(SPLIT(A1933, ""/""), 2)"),"کانون‌های فرهنگی هنری")</f>
        <v>کانون‌های فرهنگی هنری</v>
      </c>
      <c r="U1933" s="1" t="str">
        <f>IFERROR(__xludf.DUMMYFUNCTION("INDEX(SPLIT(A1933, ""/""), 3)"),"روزنامه شریف")</f>
        <v>روزنامه شریف</v>
      </c>
      <c r="V1933" s="1" t="str">
        <f>IFERROR(__xludf.DUMMYFUNCTION("INDEX(SPLIT(A1933, ""/""), 4)"),"#REF!")</f>
        <v>#REF!</v>
      </c>
    </row>
    <row r="1934">
      <c r="A1934" s="1" t="s">
        <v>4070</v>
      </c>
      <c r="B1934" s="1" t="s">
        <v>5921</v>
      </c>
      <c r="C1934" s="1" t="s">
        <v>21</v>
      </c>
      <c r="D1934" s="4" t="s">
        <v>5922</v>
      </c>
      <c r="E1934" s="1" t="s">
        <v>71</v>
      </c>
      <c r="F1934" s="1" t="s">
        <v>5441</v>
      </c>
      <c r="G1934" s="1" t="s">
        <v>752</v>
      </c>
      <c r="H1934" s="1" t="s">
        <v>1949</v>
      </c>
      <c r="I1934" s="1" t="str">
        <f t="shared" si="1"/>
        <v>21</v>
      </c>
      <c r="J1934" s="5"/>
      <c r="K1934" s="1" t="str">
        <f t="shared" si="2"/>
        <v>2</v>
      </c>
      <c r="L1934" s="5"/>
      <c r="M1934" s="2" t="str">
        <f t="shared" si="3"/>
        <v>1395</v>
      </c>
      <c r="N1934" s="5"/>
      <c r="O1934" s="13">
        <v>694.0</v>
      </c>
      <c r="P1934" s="5"/>
      <c r="Q1934" s="5"/>
      <c r="R1934" s="6" t="s">
        <v>1949</v>
      </c>
      <c r="S1934" s="5"/>
      <c r="T1934" s="1" t="str">
        <f>IFERROR(__xludf.DUMMYFUNCTION("INDEX(SPLIT(A1934, ""/""), 2)"),"کانون‌های فرهنگی هنری")</f>
        <v>کانون‌های فرهنگی هنری</v>
      </c>
      <c r="U1934" s="1" t="str">
        <f>IFERROR(__xludf.DUMMYFUNCTION("INDEX(SPLIT(A1934, ""/""), 3)"),"روزنامه شریف")</f>
        <v>روزنامه شریف</v>
      </c>
      <c r="V1934" s="1" t="str">
        <f>IFERROR(__xludf.DUMMYFUNCTION("INDEX(SPLIT(A1934, ""/""), 4)"),"#REF!")</f>
        <v>#REF!</v>
      </c>
    </row>
    <row r="1935">
      <c r="A1935" s="1" t="s">
        <v>4070</v>
      </c>
      <c r="B1935" s="1" t="s">
        <v>5923</v>
      </c>
      <c r="C1935" s="1" t="s">
        <v>21</v>
      </c>
      <c r="D1935" s="4" t="s">
        <v>5924</v>
      </c>
      <c r="E1935" s="1" t="s">
        <v>71</v>
      </c>
      <c r="F1935" s="1" t="s">
        <v>5441</v>
      </c>
      <c r="G1935" s="1" t="s">
        <v>752</v>
      </c>
      <c r="H1935" s="1" t="s">
        <v>5925</v>
      </c>
      <c r="I1935" s="1" t="str">
        <f t="shared" si="1"/>
        <v>25</v>
      </c>
      <c r="J1935" s="5"/>
      <c r="K1935" s="1" t="str">
        <f t="shared" si="2"/>
        <v>2</v>
      </c>
      <c r="L1935" s="5"/>
      <c r="M1935" s="2" t="str">
        <f t="shared" si="3"/>
        <v>1395</v>
      </c>
      <c r="N1935" s="5"/>
      <c r="O1935" s="13">
        <v>695.0</v>
      </c>
      <c r="P1935" s="5"/>
      <c r="Q1935" s="5"/>
      <c r="R1935" s="6" t="s">
        <v>5925</v>
      </c>
      <c r="S1935" s="5"/>
      <c r="T1935" s="1" t="str">
        <f>IFERROR(__xludf.DUMMYFUNCTION("INDEX(SPLIT(A1935, ""/""), 2)"),"کانون‌های فرهنگی هنری")</f>
        <v>کانون‌های فرهنگی هنری</v>
      </c>
      <c r="U1935" s="1" t="str">
        <f>IFERROR(__xludf.DUMMYFUNCTION("INDEX(SPLIT(A1935, ""/""), 3)"),"روزنامه شریف")</f>
        <v>روزنامه شریف</v>
      </c>
      <c r="V1935" s="1" t="str">
        <f>IFERROR(__xludf.DUMMYFUNCTION("INDEX(SPLIT(A1935, ""/""), 4)"),"#REF!")</f>
        <v>#REF!</v>
      </c>
    </row>
    <row r="1936">
      <c r="A1936" s="1" t="s">
        <v>4070</v>
      </c>
      <c r="B1936" s="1" t="s">
        <v>5926</v>
      </c>
      <c r="C1936" s="1" t="s">
        <v>21</v>
      </c>
      <c r="D1936" s="4" t="s">
        <v>5927</v>
      </c>
      <c r="E1936" s="1" t="s">
        <v>71</v>
      </c>
      <c r="F1936" s="1" t="s">
        <v>5441</v>
      </c>
      <c r="G1936" s="1" t="s">
        <v>752</v>
      </c>
      <c r="H1936" s="1" t="s">
        <v>5928</v>
      </c>
      <c r="I1936" s="1" t="str">
        <f t="shared" si="1"/>
        <v>28</v>
      </c>
      <c r="J1936" s="5"/>
      <c r="K1936" s="1" t="str">
        <f t="shared" si="2"/>
        <v>2</v>
      </c>
      <c r="L1936" s="5"/>
      <c r="M1936" s="2" t="str">
        <f t="shared" si="3"/>
        <v>1395</v>
      </c>
      <c r="N1936" s="5"/>
      <c r="O1936" s="13">
        <v>696.0</v>
      </c>
      <c r="P1936" s="5"/>
      <c r="Q1936" s="5"/>
      <c r="R1936" s="6" t="s">
        <v>5928</v>
      </c>
      <c r="S1936" s="5"/>
      <c r="T1936" s="1" t="str">
        <f>IFERROR(__xludf.DUMMYFUNCTION("INDEX(SPLIT(A1936, ""/""), 2)"),"کانون‌های فرهنگی هنری")</f>
        <v>کانون‌های فرهنگی هنری</v>
      </c>
      <c r="U1936" s="1" t="str">
        <f>IFERROR(__xludf.DUMMYFUNCTION("INDEX(SPLIT(A1936, ""/""), 3)"),"روزنامه شریف")</f>
        <v>روزنامه شریف</v>
      </c>
      <c r="V1936" s="1" t="str">
        <f>IFERROR(__xludf.DUMMYFUNCTION("INDEX(SPLIT(A1936, ""/""), 4)"),"#REF!")</f>
        <v>#REF!</v>
      </c>
    </row>
    <row r="1937">
      <c r="A1937" s="1" t="s">
        <v>4070</v>
      </c>
      <c r="B1937" s="1" t="s">
        <v>5929</v>
      </c>
      <c r="C1937" s="1" t="s">
        <v>21</v>
      </c>
      <c r="D1937" s="4" t="s">
        <v>5930</v>
      </c>
      <c r="E1937" s="1" t="s">
        <v>71</v>
      </c>
      <c r="F1937" s="1" t="s">
        <v>5441</v>
      </c>
      <c r="G1937" s="1" t="s">
        <v>752</v>
      </c>
      <c r="H1937" s="1" t="s">
        <v>5928</v>
      </c>
      <c r="I1937" s="1" t="str">
        <f t="shared" si="1"/>
        <v>28</v>
      </c>
      <c r="J1937" s="5"/>
      <c r="K1937" s="1" t="str">
        <f t="shared" si="2"/>
        <v>2</v>
      </c>
      <c r="L1937" s="5"/>
      <c r="M1937" s="2" t="str">
        <f t="shared" si="3"/>
        <v>1395</v>
      </c>
      <c r="N1937" s="5"/>
      <c r="O1937" s="13">
        <v>697.0</v>
      </c>
      <c r="P1937" s="5"/>
      <c r="Q1937" s="5"/>
      <c r="R1937" s="6" t="s">
        <v>5928</v>
      </c>
      <c r="S1937" s="5"/>
      <c r="T1937" s="1" t="str">
        <f>IFERROR(__xludf.DUMMYFUNCTION("INDEX(SPLIT(A1937, ""/""), 2)"),"کانون‌های فرهنگی هنری")</f>
        <v>کانون‌های فرهنگی هنری</v>
      </c>
      <c r="U1937" s="1" t="str">
        <f>IFERROR(__xludf.DUMMYFUNCTION("INDEX(SPLIT(A1937, ""/""), 3)"),"روزنامه شریف")</f>
        <v>روزنامه شریف</v>
      </c>
      <c r="V1937" s="1" t="str">
        <f>IFERROR(__xludf.DUMMYFUNCTION("INDEX(SPLIT(A1937, ""/""), 4)"),"#REF!")</f>
        <v>#REF!</v>
      </c>
    </row>
    <row r="1938">
      <c r="A1938" s="1" t="s">
        <v>4070</v>
      </c>
      <c r="B1938" s="1" t="s">
        <v>5931</v>
      </c>
      <c r="C1938" s="1" t="s">
        <v>21</v>
      </c>
      <c r="D1938" s="4" t="s">
        <v>5932</v>
      </c>
      <c r="E1938" s="1" t="s">
        <v>71</v>
      </c>
      <c r="F1938" s="1" t="s">
        <v>5441</v>
      </c>
      <c r="G1938" s="1" t="s">
        <v>752</v>
      </c>
      <c r="H1938" s="7" t="s">
        <v>5933</v>
      </c>
      <c r="I1938" s="1" t="str">
        <f t="shared" si="1"/>
        <v>1</v>
      </c>
      <c r="J1938" s="5"/>
      <c r="K1938" s="1" t="str">
        <f t="shared" si="2"/>
        <v>3</v>
      </c>
      <c r="L1938" s="5"/>
      <c r="M1938" s="2" t="str">
        <f t="shared" si="3"/>
        <v>1395</v>
      </c>
      <c r="N1938" s="5"/>
      <c r="O1938" s="13">
        <v>698.0</v>
      </c>
      <c r="P1938" s="5"/>
      <c r="Q1938" s="5"/>
      <c r="R1938" s="8" t="s">
        <v>5933</v>
      </c>
      <c r="S1938" s="5"/>
      <c r="T1938" s="1" t="str">
        <f>IFERROR(__xludf.DUMMYFUNCTION("INDEX(SPLIT(A1938, ""/""), 2)"),"کانون‌های فرهنگی هنری")</f>
        <v>کانون‌های فرهنگی هنری</v>
      </c>
      <c r="U1938" s="1" t="str">
        <f>IFERROR(__xludf.DUMMYFUNCTION("INDEX(SPLIT(A1938, ""/""), 3)"),"روزنامه شریف")</f>
        <v>روزنامه شریف</v>
      </c>
      <c r="V1938" s="1" t="str">
        <f>IFERROR(__xludf.DUMMYFUNCTION("INDEX(SPLIT(A1938, ""/""), 4)"),"#REF!")</f>
        <v>#REF!</v>
      </c>
    </row>
    <row r="1939">
      <c r="A1939" s="1" t="s">
        <v>4070</v>
      </c>
      <c r="B1939" s="1" t="s">
        <v>5934</v>
      </c>
      <c r="C1939" s="1" t="s">
        <v>21</v>
      </c>
      <c r="D1939" s="4" t="s">
        <v>5935</v>
      </c>
      <c r="E1939" s="1" t="s">
        <v>71</v>
      </c>
      <c r="F1939" s="1" t="s">
        <v>5441</v>
      </c>
      <c r="G1939" s="1" t="s">
        <v>752</v>
      </c>
      <c r="H1939" s="7" t="s">
        <v>5936</v>
      </c>
      <c r="I1939" s="1" t="str">
        <f t="shared" si="1"/>
        <v>4</v>
      </c>
      <c r="J1939" s="5"/>
      <c r="K1939" s="1" t="str">
        <f t="shared" si="2"/>
        <v>3</v>
      </c>
      <c r="L1939" s="5"/>
      <c r="M1939" s="2" t="str">
        <f t="shared" si="3"/>
        <v>1395</v>
      </c>
      <c r="N1939" s="5"/>
      <c r="O1939" s="13">
        <v>699.0</v>
      </c>
      <c r="P1939" s="5"/>
      <c r="Q1939" s="5"/>
      <c r="R1939" s="8" t="s">
        <v>5936</v>
      </c>
      <c r="S1939" s="5"/>
      <c r="T1939" s="1" t="str">
        <f>IFERROR(__xludf.DUMMYFUNCTION("INDEX(SPLIT(A1939, ""/""), 2)"),"کانون‌های فرهنگی هنری")</f>
        <v>کانون‌های فرهنگی هنری</v>
      </c>
      <c r="U1939" s="1" t="str">
        <f>IFERROR(__xludf.DUMMYFUNCTION("INDEX(SPLIT(A1939, ""/""), 3)"),"روزنامه شریف")</f>
        <v>روزنامه شریف</v>
      </c>
      <c r="V1939" s="1" t="str">
        <f>IFERROR(__xludf.DUMMYFUNCTION("INDEX(SPLIT(A1939, ""/""), 4)"),"#REF!")</f>
        <v>#REF!</v>
      </c>
    </row>
    <row r="1940">
      <c r="A1940" s="1" t="s">
        <v>4070</v>
      </c>
      <c r="B1940" s="1" t="s">
        <v>5937</v>
      </c>
      <c r="C1940" s="1" t="s">
        <v>21</v>
      </c>
      <c r="D1940" s="4" t="s">
        <v>5938</v>
      </c>
      <c r="E1940" s="1" t="s">
        <v>71</v>
      </c>
      <c r="F1940" s="1" t="s">
        <v>5441</v>
      </c>
      <c r="G1940" s="1" t="s">
        <v>752</v>
      </c>
      <c r="H1940" s="7" t="s">
        <v>5939</v>
      </c>
      <c r="I1940" s="1" t="str">
        <f t="shared" si="1"/>
        <v>4</v>
      </c>
      <c r="J1940" s="5"/>
      <c r="K1940" s="1" t="str">
        <f t="shared" si="2"/>
        <v>10</v>
      </c>
      <c r="L1940" s="5"/>
      <c r="M1940" s="2" t="str">
        <f t="shared" si="3"/>
        <v>1395</v>
      </c>
      <c r="N1940" s="5"/>
      <c r="O1940" s="13">
        <v>700.0</v>
      </c>
      <c r="P1940" s="5"/>
      <c r="Q1940" s="5"/>
      <c r="R1940" s="8" t="s">
        <v>5939</v>
      </c>
      <c r="S1940" s="5"/>
      <c r="T1940" s="1" t="str">
        <f>IFERROR(__xludf.DUMMYFUNCTION("INDEX(SPLIT(A1940, ""/""), 2)"),"کانون‌های فرهنگی هنری")</f>
        <v>کانون‌های فرهنگی هنری</v>
      </c>
      <c r="U1940" s="1" t="str">
        <f>IFERROR(__xludf.DUMMYFUNCTION("INDEX(SPLIT(A1940, ""/""), 3)"),"روزنامه شریف")</f>
        <v>روزنامه شریف</v>
      </c>
      <c r="V1940" s="1" t="str">
        <f>IFERROR(__xludf.DUMMYFUNCTION("INDEX(SPLIT(A1940, ""/""), 4)"),"#REF!")</f>
        <v>#REF!</v>
      </c>
    </row>
    <row r="1941">
      <c r="A1941" s="1" t="s">
        <v>4070</v>
      </c>
      <c r="B1941" s="1" t="s">
        <v>5940</v>
      </c>
      <c r="C1941" s="1" t="s">
        <v>21</v>
      </c>
      <c r="D1941" s="4" t="s">
        <v>5941</v>
      </c>
      <c r="E1941" s="1" t="s">
        <v>71</v>
      </c>
      <c r="F1941" s="1" t="s">
        <v>5441</v>
      </c>
      <c r="G1941" s="1" t="s">
        <v>752</v>
      </c>
      <c r="H1941" s="1" t="s">
        <v>5942</v>
      </c>
      <c r="I1941" s="1" t="str">
        <f t="shared" si="1"/>
        <v>19</v>
      </c>
      <c r="J1941" s="5"/>
      <c r="K1941" s="1" t="str">
        <f t="shared" si="2"/>
        <v>11</v>
      </c>
      <c r="L1941" s="5"/>
      <c r="M1941" s="2" t="str">
        <f t="shared" si="3"/>
        <v>1395</v>
      </c>
      <c r="N1941" s="5"/>
      <c r="O1941" s="13">
        <v>701.0</v>
      </c>
      <c r="P1941" s="5"/>
      <c r="Q1941" s="5"/>
      <c r="R1941" s="6" t="s">
        <v>5942</v>
      </c>
      <c r="S1941" s="5"/>
      <c r="T1941" s="1" t="str">
        <f>IFERROR(__xludf.DUMMYFUNCTION("INDEX(SPLIT(A1941, ""/""), 2)"),"کانون‌های فرهنگی هنری")</f>
        <v>کانون‌های فرهنگی هنری</v>
      </c>
      <c r="U1941" s="1" t="str">
        <f>IFERROR(__xludf.DUMMYFUNCTION("INDEX(SPLIT(A1941, ""/""), 3)"),"روزنامه شریف")</f>
        <v>روزنامه شریف</v>
      </c>
      <c r="V1941" s="1" t="str">
        <f>IFERROR(__xludf.DUMMYFUNCTION("INDEX(SPLIT(A1941, ""/""), 4)"),"#REF!")</f>
        <v>#REF!</v>
      </c>
    </row>
    <row r="1942">
      <c r="A1942" s="1" t="s">
        <v>4070</v>
      </c>
      <c r="B1942" s="1" t="s">
        <v>5943</v>
      </c>
      <c r="C1942" s="1" t="s">
        <v>21</v>
      </c>
      <c r="D1942" s="4" t="s">
        <v>5944</v>
      </c>
      <c r="E1942" s="1" t="s">
        <v>71</v>
      </c>
      <c r="F1942" s="1" t="s">
        <v>5441</v>
      </c>
      <c r="G1942" s="1" t="s">
        <v>752</v>
      </c>
      <c r="H1942" s="1" t="s">
        <v>5945</v>
      </c>
      <c r="I1942" s="1" t="str">
        <f t="shared" si="1"/>
        <v>23</v>
      </c>
      <c r="J1942" s="5"/>
      <c r="K1942" s="1" t="str">
        <f t="shared" si="2"/>
        <v>11</v>
      </c>
      <c r="L1942" s="5"/>
      <c r="M1942" s="2" t="str">
        <f t="shared" si="3"/>
        <v>1395</v>
      </c>
      <c r="N1942" s="5"/>
      <c r="O1942" s="13">
        <v>702.0</v>
      </c>
      <c r="P1942" s="5"/>
      <c r="Q1942" s="5"/>
      <c r="R1942" s="6" t="s">
        <v>5945</v>
      </c>
      <c r="S1942" s="5"/>
      <c r="T1942" s="1" t="str">
        <f>IFERROR(__xludf.DUMMYFUNCTION("INDEX(SPLIT(A1942, ""/""), 2)"),"کانون‌های فرهنگی هنری")</f>
        <v>کانون‌های فرهنگی هنری</v>
      </c>
      <c r="U1942" s="1" t="str">
        <f>IFERROR(__xludf.DUMMYFUNCTION("INDEX(SPLIT(A1942, ""/""), 3)"),"روزنامه شریف")</f>
        <v>روزنامه شریف</v>
      </c>
      <c r="V1942" s="1" t="str">
        <f>IFERROR(__xludf.DUMMYFUNCTION("INDEX(SPLIT(A1942, ""/""), 4)"),"#REF!")</f>
        <v>#REF!</v>
      </c>
    </row>
    <row r="1943">
      <c r="A1943" s="1" t="s">
        <v>4070</v>
      </c>
      <c r="B1943" s="1" t="s">
        <v>5946</v>
      </c>
      <c r="C1943" s="1" t="s">
        <v>21</v>
      </c>
      <c r="D1943" s="4" t="s">
        <v>5947</v>
      </c>
      <c r="E1943" s="1" t="s">
        <v>71</v>
      </c>
      <c r="F1943" s="1" t="s">
        <v>5441</v>
      </c>
      <c r="G1943" s="1" t="s">
        <v>5948</v>
      </c>
      <c r="H1943" s="1" t="s">
        <v>5949</v>
      </c>
      <c r="I1943" s="1" t="str">
        <f t="shared" si="1"/>
        <v>26</v>
      </c>
      <c r="J1943" s="5"/>
      <c r="K1943" s="1" t="str">
        <f t="shared" si="2"/>
        <v>11</v>
      </c>
      <c r="L1943" s="5"/>
      <c r="M1943" s="2" t="str">
        <f t="shared" si="3"/>
        <v>1395</v>
      </c>
      <c r="N1943" s="5"/>
      <c r="O1943" s="13">
        <v>703.0</v>
      </c>
      <c r="P1943" s="5"/>
      <c r="Q1943" s="5"/>
      <c r="R1943" s="6" t="s">
        <v>5949</v>
      </c>
      <c r="S1943" s="5"/>
      <c r="T1943" s="1" t="str">
        <f>IFERROR(__xludf.DUMMYFUNCTION("INDEX(SPLIT(A1943, ""/""), 2)"),"کانون‌های فرهنگی هنری")</f>
        <v>کانون‌های فرهنگی هنری</v>
      </c>
      <c r="U1943" s="1" t="str">
        <f>IFERROR(__xludf.DUMMYFUNCTION("INDEX(SPLIT(A1943, ""/""), 3)"),"روزنامه شریف")</f>
        <v>روزنامه شریف</v>
      </c>
      <c r="V1943" s="1" t="str">
        <f>IFERROR(__xludf.DUMMYFUNCTION("INDEX(SPLIT(A1943, ""/""), 4)"),"#REF!")</f>
        <v>#REF!</v>
      </c>
    </row>
    <row r="1944">
      <c r="A1944" s="1" t="s">
        <v>4070</v>
      </c>
      <c r="B1944" s="1" t="s">
        <v>5950</v>
      </c>
      <c r="C1944" s="1" t="s">
        <v>21</v>
      </c>
      <c r="D1944" s="4" t="s">
        <v>5951</v>
      </c>
      <c r="E1944" s="1" t="s">
        <v>71</v>
      </c>
      <c r="F1944" s="1" t="s">
        <v>5441</v>
      </c>
      <c r="G1944" s="1" t="s">
        <v>5948</v>
      </c>
      <c r="H1944" s="1" t="s">
        <v>5952</v>
      </c>
      <c r="I1944" s="1" t="str">
        <f t="shared" si="1"/>
        <v>30</v>
      </c>
      <c r="J1944" s="5"/>
      <c r="K1944" s="1" t="str">
        <f t="shared" si="2"/>
        <v>11</v>
      </c>
      <c r="L1944" s="5"/>
      <c r="M1944" s="2" t="str">
        <f t="shared" si="3"/>
        <v>1395</v>
      </c>
      <c r="N1944" s="5"/>
      <c r="O1944" s="13">
        <v>704.0</v>
      </c>
      <c r="P1944" s="5"/>
      <c r="Q1944" s="5"/>
      <c r="R1944" s="6" t="s">
        <v>5952</v>
      </c>
      <c r="S1944" s="5"/>
      <c r="T1944" s="1" t="str">
        <f>IFERROR(__xludf.DUMMYFUNCTION("INDEX(SPLIT(A1944, ""/""), 2)"),"کانون‌های فرهنگی هنری")</f>
        <v>کانون‌های فرهنگی هنری</v>
      </c>
      <c r="U1944" s="1" t="str">
        <f>IFERROR(__xludf.DUMMYFUNCTION("INDEX(SPLIT(A1944, ""/""), 3)"),"روزنامه شریف")</f>
        <v>روزنامه شریف</v>
      </c>
      <c r="V1944" s="1" t="str">
        <f>IFERROR(__xludf.DUMMYFUNCTION("INDEX(SPLIT(A1944, ""/""), 4)"),"#REF!")</f>
        <v>#REF!</v>
      </c>
    </row>
    <row r="1945">
      <c r="A1945" s="1" t="s">
        <v>4070</v>
      </c>
      <c r="B1945" s="1" t="s">
        <v>5953</v>
      </c>
      <c r="C1945" s="1" t="s">
        <v>21</v>
      </c>
      <c r="D1945" s="4" t="s">
        <v>5954</v>
      </c>
      <c r="E1945" s="1" t="s">
        <v>71</v>
      </c>
      <c r="F1945" s="1" t="s">
        <v>5441</v>
      </c>
      <c r="G1945" s="1" t="s">
        <v>5948</v>
      </c>
      <c r="H1945" s="7" t="s">
        <v>1564</v>
      </c>
      <c r="I1945" s="1" t="str">
        <f t="shared" si="1"/>
        <v>3</v>
      </c>
      <c r="J1945" s="5"/>
      <c r="K1945" s="1" t="str">
        <f t="shared" si="2"/>
        <v>12</v>
      </c>
      <c r="L1945" s="5"/>
      <c r="M1945" s="2" t="str">
        <f t="shared" si="3"/>
        <v>1395</v>
      </c>
      <c r="N1945" s="5"/>
      <c r="O1945" s="13">
        <v>705.0</v>
      </c>
      <c r="P1945" s="5"/>
      <c r="Q1945" s="5"/>
      <c r="R1945" s="8" t="s">
        <v>1564</v>
      </c>
      <c r="S1945" s="5"/>
      <c r="T1945" s="1" t="str">
        <f>IFERROR(__xludf.DUMMYFUNCTION("INDEX(SPLIT(A1945, ""/""), 2)"),"کانون‌های فرهنگی هنری")</f>
        <v>کانون‌های فرهنگی هنری</v>
      </c>
      <c r="U1945" s="1" t="str">
        <f>IFERROR(__xludf.DUMMYFUNCTION("INDEX(SPLIT(A1945, ""/""), 3)"),"روزنامه شریف")</f>
        <v>روزنامه شریف</v>
      </c>
      <c r="V1945" s="1" t="str">
        <f>IFERROR(__xludf.DUMMYFUNCTION("INDEX(SPLIT(A1945, ""/""), 4)"),"#REF!")</f>
        <v>#REF!</v>
      </c>
    </row>
    <row r="1946">
      <c r="A1946" s="1" t="s">
        <v>4070</v>
      </c>
      <c r="B1946" s="1" t="s">
        <v>5955</v>
      </c>
      <c r="C1946" s="1" t="s">
        <v>21</v>
      </c>
      <c r="D1946" s="4" t="s">
        <v>5956</v>
      </c>
      <c r="E1946" s="1" t="s">
        <v>71</v>
      </c>
      <c r="F1946" s="1" t="s">
        <v>5441</v>
      </c>
      <c r="G1946" s="1" t="s">
        <v>5948</v>
      </c>
      <c r="H1946" s="7" t="s">
        <v>5957</v>
      </c>
      <c r="I1946" s="1" t="str">
        <f t="shared" si="1"/>
        <v>7</v>
      </c>
      <c r="J1946" s="5"/>
      <c r="K1946" s="1" t="str">
        <f t="shared" si="2"/>
        <v>12</v>
      </c>
      <c r="L1946" s="5"/>
      <c r="M1946" s="2" t="str">
        <f t="shared" si="3"/>
        <v>1395</v>
      </c>
      <c r="N1946" s="5"/>
      <c r="O1946" s="13">
        <v>706.0</v>
      </c>
      <c r="P1946" s="5"/>
      <c r="Q1946" s="5"/>
      <c r="R1946" s="8" t="s">
        <v>5957</v>
      </c>
      <c r="S1946" s="5"/>
      <c r="T1946" s="1" t="str">
        <f>IFERROR(__xludf.DUMMYFUNCTION("INDEX(SPLIT(A1946, ""/""), 2)"),"کانون‌های فرهنگی هنری")</f>
        <v>کانون‌های فرهنگی هنری</v>
      </c>
      <c r="U1946" s="1" t="str">
        <f>IFERROR(__xludf.DUMMYFUNCTION("INDEX(SPLIT(A1946, ""/""), 3)"),"روزنامه شریف")</f>
        <v>روزنامه شریف</v>
      </c>
      <c r="V1946" s="1" t="str">
        <f>IFERROR(__xludf.DUMMYFUNCTION("INDEX(SPLIT(A1946, ""/""), 4)"),"#REF!")</f>
        <v>#REF!</v>
      </c>
    </row>
    <row r="1947">
      <c r="A1947" s="1" t="s">
        <v>4070</v>
      </c>
      <c r="B1947" s="1" t="s">
        <v>5958</v>
      </c>
      <c r="C1947" s="1" t="s">
        <v>21</v>
      </c>
      <c r="D1947" s="4" t="s">
        <v>5959</v>
      </c>
      <c r="E1947" s="1" t="s">
        <v>71</v>
      </c>
      <c r="F1947" s="1" t="s">
        <v>5441</v>
      </c>
      <c r="G1947" s="1" t="s">
        <v>5948</v>
      </c>
      <c r="H1947" s="7" t="s">
        <v>5960</v>
      </c>
      <c r="I1947" s="1" t="str">
        <f t="shared" si="1"/>
        <v>10</v>
      </c>
      <c r="J1947" s="5"/>
      <c r="K1947" s="1" t="str">
        <f t="shared" si="2"/>
        <v>12</v>
      </c>
      <c r="L1947" s="5"/>
      <c r="M1947" s="2" t="str">
        <f t="shared" si="3"/>
        <v>1395</v>
      </c>
      <c r="N1947" s="5"/>
      <c r="O1947" s="13">
        <v>707.0</v>
      </c>
      <c r="P1947" s="5"/>
      <c r="Q1947" s="5"/>
      <c r="R1947" s="8" t="s">
        <v>5960</v>
      </c>
      <c r="S1947" s="5"/>
      <c r="T1947" s="1" t="str">
        <f>IFERROR(__xludf.DUMMYFUNCTION("INDEX(SPLIT(A1947, ""/""), 2)"),"کانون‌های فرهنگی هنری")</f>
        <v>کانون‌های فرهنگی هنری</v>
      </c>
      <c r="U1947" s="1" t="str">
        <f>IFERROR(__xludf.DUMMYFUNCTION("INDEX(SPLIT(A1947, ""/""), 3)"),"روزنامه شریف")</f>
        <v>روزنامه شریف</v>
      </c>
      <c r="V1947" s="1" t="str">
        <f>IFERROR(__xludf.DUMMYFUNCTION("INDEX(SPLIT(A1947, ""/""), 4)"),"#REF!")</f>
        <v>#REF!</v>
      </c>
    </row>
    <row r="1948">
      <c r="A1948" s="1" t="s">
        <v>4070</v>
      </c>
      <c r="B1948" s="1" t="s">
        <v>5961</v>
      </c>
      <c r="C1948" s="1" t="s">
        <v>21</v>
      </c>
      <c r="D1948" s="4" t="s">
        <v>5962</v>
      </c>
      <c r="E1948" s="1" t="s">
        <v>71</v>
      </c>
      <c r="F1948" s="1" t="s">
        <v>5441</v>
      </c>
      <c r="G1948" s="1" t="s">
        <v>5948</v>
      </c>
      <c r="H1948" s="1" t="s">
        <v>1206</v>
      </c>
      <c r="I1948" s="1" t="str">
        <f t="shared" si="1"/>
        <v>14</v>
      </c>
      <c r="J1948" s="5"/>
      <c r="K1948" s="1" t="str">
        <f t="shared" si="2"/>
        <v>12</v>
      </c>
      <c r="L1948" s="5"/>
      <c r="M1948" s="2" t="str">
        <f t="shared" si="3"/>
        <v>1395</v>
      </c>
      <c r="N1948" s="5"/>
      <c r="O1948" s="13">
        <v>708.0</v>
      </c>
      <c r="P1948" s="5"/>
      <c r="Q1948" s="5"/>
      <c r="R1948" s="6" t="s">
        <v>1206</v>
      </c>
      <c r="S1948" s="5"/>
      <c r="T1948" s="1" t="str">
        <f>IFERROR(__xludf.DUMMYFUNCTION("INDEX(SPLIT(A1948, ""/""), 2)"),"کانون‌های فرهنگی هنری")</f>
        <v>کانون‌های فرهنگی هنری</v>
      </c>
      <c r="U1948" s="1" t="str">
        <f>IFERROR(__xludf.DUMMYFUNCTION("INDEX(SPLIT(A1948, ""/""), 3)"),"روزنامه شریف")</f>
        <v>روزنامه شریف</v>
      </c>
      <c r="V1948" s="1" t="str">
        <f>IFERROR(__xludf.DUMMYFUNCTION("INDEX(SPLIT(A1948, ""/""), 4)"),"#REF!")</f>
        <v>#REF!</v>
      </c>
    </row>
    <row r="1949">
      <c r="A1949" s="1" t="s">
        <v>4070</v>
      </c>
      <c r="B1949" s="1" t="s">
        <v>5963</v>
      </c>
      <c r="C1949" s="1" t="s">
        <v>21</v>
      </c>
      <c r="D1949" s="4" t="s">
        <v>5964</v>
      </c>
      <c r="E1949" s="1" t="s">
        <v>71</v>
      </c>
      <c r="F1949" s="1" t="s">
        <v>5441</v>
      </c>
      <c r="G1949" s="1" t="s">
        <v>5948</v>
      </c>
      <c r="H1949" s="1" t="s">
        <v>5965</v>
      </c>
      <c r="I1949" s="1" t="str">
        <f t="shared" si="1"/>
        <v>17</v>
      </c>
      <c r="J1949" s="5"/>
      <c r="K1949" s="1" t="str">
        <f t="shared" si="2"/>
        <v>12</v>
      </c>
      <c r="L1949" s="5"/>
      <c r="M1949" s="2" t="str">
        <f t="shared" si="3"/>
        <v>1395</v>
      </c>
      <c r="N1949" s="5"/>
      <c r="O1949" s="13">
        <v>709.0</v>
      </c>
      <c r="P1949" s="5"/>
      <c r="Q1949" s="5"/>
      <c r="R1949" s="6" t="s">
        <v>5965</v>
      </c>
      <c r="S1949" s="5"/>
      <c r="T1949" s="1" t="str">
        <f>IFERROR(__xludf.DUMMYFUNCTION("INDEX(SPLIT(A1949, ""/""), 2)"),"کانون‌های فرهنگی هنری")</f>
        <v>کانون‌های فرهنگی هنری</v>
      </c>
      <c r="U1949" s="1" t="str">
        <f>IFERROR(__xludf.DUMMYFUNCTION("INDEX(SPLIT(A1949, ""/""), 3)"),"روزنامه شریف")</f>
        <v>روزنامه شریف</v>
      </c>
      <c r="V1949" s="1" t="str">
        <f>IFERROR(__xludf.DUMMYFUNCTION("INDEX(SPLIT(A1949, ""/""), 4)"),"#REF!")</f>
        <v>#REF!</v>
      </c>
    </row>
    <row r="1950">
      <c r="A1950" s="1" t="s">
        <v>4070</v>
      </c>
      <c r="B1950" s="1" t="s">
        <v>5966</v>
      </c>
      <c r="C1950" s="1" t="s">
        <v>21</v>
      </c>
      <c r="D1950" s="4" t="s">
        <v>5967</v>
      </c>
      <c r="E1950" s="1" t="s">
        <v>71</v>
      </c>
      <c r="F1950" s="1" t="s">
        <v>5441</v>
      </c>
      <c r="G1950" s="1" t="s">
        <v>5948</v>
      </c>
      <c r="H1950" s="1" t="s">
        <v>5968</v>
      </c>
      <c r="I1950" s="1" t="str">
        <f t="shared" si="1"/>
        <v>21</v>
      </c>
      <c r="J1950" s="5"/>
      <c r="K1950" s="1" t="str">
        <f t="shared" si="2"/>
        <v>12</v>
      </c>
      <c r="L1950" s="5"/>
      <c r="M1950" s="2" t="str">
        <f t="shared" si="3"/>
        <v>1395</v>
      </c>
      <c r="N1950" s="5"/>
      <c r="O1950" s="13">
        <v>710.0</v>
      </c>
      <c r="P1950" s="5"/>
      <c r="Q1950" s="5"/>
      <c r="R1950" s="6" t="s">
        <v>5968</v>
      </c>
      <c r="S1950" s="5"/>
      <c r="T1950" s="1" t="str">
        <f>IFERROR(__xludf.DUMMYFUNCTION("INDEX(SPLIT(A1950, ""/""), 2)"),"کانون‌های فرهنگی هنری")</f>
        <v>کانون‌های فرهنگی هنری</v>
      </c>
      <c r="U1950" s="1" t="str">
        <f>IFERROR(__xludf.DUMMYFUNCTION("INDEX(SPLIT(A1950, ""/""), 3)"),"روزنامه شریف")</f>
        <v>روزنامه شریف</v>
      </c>
      <c r="V1950" s="1" t="str">
        <f>IFERROR(__xludf.DUMMYFUNCTION("INDEX(SPLIT(A1950, ""/""), 4)"),"#REF!")</f>
        <v>#REF!</v>
      </c>
    </row>
    <row r="1951">
      <c r="A1951" s="1" t="s">
        <v>4070</v>
      </c>
      <c r="B1951" s="1" t="s">
        <v>5969</v>
      </c>
      <c r="C1951" s="1" t="s">
        <v>21</v>
      </c>
      <c r="D1951" s="4" t="s">
        <v>5970</v>
      </c>
      <c r="E1951" s="1" t="s">
        <v>71</v>
      </c>
      <c r="F1951" s="1" t="s">
        <v>5441</v>
      </c>
      <c r="G1951" s="1" t="s">
        <v>5948</v>
      </c>
      <c r="H1951" s="1" t="s">
        <v>5971</v>
      </c>
      <c r="I1951" s="1" t="str">
        <f t="shared" si="1"/>
        <v>19</v>
      </c>
      <c r="J1951" s="5"/>
      <c r="K1951" s="1" t="str">
        <f t="shared" si="2"/>
        <v>1</v>
      </c>
      <c r="L1951" s="5"/>
      <c r="M1951" s="2" t="str">
        <f t="shared" si="3"/>
        <v>1396</v>
      </c>
      <c r="N1951" s="5"/>
      <c r="O1951" s="13">
        <v>711.0</v>
      </c>
      <c r="P1951" s="5"/>
      <c r="Q1951" s="5"/>
      <c r="R1951" s="6" t="s">
        <v>5971</v>
      </c>
      <c r="S1951" s="5"/>
      <c r="T1951" s="1" t="str">
        <f>IFERROR(__xludf.DUMMYFUNCTION("INDEX(SPLIT(A1951, ""/""), 2)"),"کانون‌های فرهنگی هنری")</f>
        <v>کانون‌های فرهنگی هنری</v>
      </c>
      <c r="U1951" s="1" t="str">
        <f>IFERROR(__xludf.DUMMYFUNCTION("INDEX(SPLIT(A1951, ""/""), 3)"),"روزنامه شریف")</f>
        <v>روزنامه شریف</v>
      </c>
      <c r="V1951" s="1" t="str">
        <f>IFERROR(__xludf.DUMMYFUNCTION("INDEX(SPLIT(A1951, ""/""), 4)"),"#REF!")</f>
        <v>#REF!</v>
      </c>
    </row>
    <row r="1952">
      <c r="A1952" s="1" t="s">
        <v>4070</v>
      </c>
      <c r="B1952" s="1" t="s">
        <v>5972</v>
      </c>
      <c r="C1952" s="1" t="s">
        <v>21</v>
      </c>
      <c r="D1952" s="4" t="s">
        <v>5973</v>
      </c>
      <c r="E1952" s="1" t="s">
        <v>71</v>
      </c>
      <c r="F1952" s="1" t="s">
        <v>5441</v>
      </c>
      <c r="G1952" s="1" t="s">
        <v>5948</v>
      </c>
      <c r="H1952" s="1" t="s">
        <v>1212</v>
      </c>
      <c r="I1952" s="1" t="str">
        <f t="shared" si="1"/>
        <v>26</v>
      </c>
      <c r="J1952" s="5"/>
      <c r="K1952" s="1" t="str">
        <f t="shared" si="2"/>
        <v>1</v>
      </c>
      <c r="L1952" s="5"/>
      <c r="M1952" s="2" t="str">
        <f t="shared" si="3"/>
        <v>1396</v>
      </c>
      <c r="N1952" s="5"/>
      <c r="O1952" s="13">
        <v>712.0</v>
      </c>
      <c r="P1952" s="5"/>
      <c r="Q1952" s="5"/>
      <c r="R1952" s="6" t="s">
        <v>1212</v>
      </c>
      <c r="S1952" s="5"/>
      <c r="T1952" s="1" t="str">
        <f>IFERROR(__xludf.DUMMYFUNCTION("INDEX(SPLIT(A1952, ""/""), 2)"),"کانون‌های فرهنگی هنری")</f>
        <v>کانون‌های فرهنگی هنری</v>
      </c>
      <c r="U1952" s="1" t="str">
        <f>IFERROR(__xludf.DUMMYFUNCTION("INDEX(SPLIT(A1952, ""/""), 3)"),"روزنامه شریف")</f>
        <v>روزنامه شریف</v>
      </c>
      <c r="V1952" s="1" t="str">
        <f>IFERROR(__xludf.DUMMYFUNCTION("INDEX(SPLIT(A1952, ""/""), 4)"),"#REF!")</f>
        <v>#REF!</v>
      </c>
    </row>
    <row r="1953">
      <c r="A1953" s="1" t="s">
        <v>4070</v>
      </c>
      <c r="B1953" s="1" t="s">
        <v>5974</v>
      </c>
      <c r="C1953" s="1" t="s">
        <v>21</v>
      </c>
      <c r="D1953" s="4" t="s">
        <v>5975</v>
      </c>
      <c r="E1953" s="1" t="s">
        <v>71</v>
      </c>
      <c r="F1953" s="1" t="s">
        <v>5441</v>
      </c>
      <c r="G1953" s="1" t="s">
        <v>5948</v>
      </c>
      <c r="H1953" s="1" t="s">
        <v>5976</v>
      </c>
      <c r="I1953" s="1" t="str">
        <f t="shared" si="1"/>
        <v>29</v>
      </c>
      <c r="J1953" s="5"/>
      <c r="K1953" s="1" t="str">
        <f t="shared" si="2"/>
        <v>1</v>
      </c>
      <c r="L1953" s="5"/>
      <c r="M1953" s="2" t="str">
        <f t="shared" si="3"/>
        <v>1396</v>
      </c>
      <c r="N1953" s="5"/>
      <c r="O1953" s="13">
        <v>713.0</v>
      </c>
      <c r="P1953" s="5"/>
      <c r="Q1953" s="5"/>
      <c r="R1953" s="6" t="s">
        <v>5976</v>
      </c>
      <c r="S1953" s="5"/>
      <c r="T1953" s="1" t="str">
        <f>IFERROR(__xludf.DUMMYFUNCTION("INDEX(SPLIT(A1953, ""/""), 2)"),"کانون‌های فرهنگی هنری")</f>
        <v>کانون‌های فرهنگی هنری</v>
      </c>
      <c r="U1953" s="1" t="str">
        <f>IFERROR(__xludf.DUMMYFUNCTION("INDEX(SPLIT(A1953, ""/""), 3)"),"روزنامه شریف")</f>
        <v>روزنامه شریف</v>
      </c>
      <c r="V1953" s="1" t="str">
        <f>IFERROR(__xludf.DUMMYFUNCTION("INDEX(SPLIT(A1953, ""/""), 4)"),"#REF!")</f>
        <v>#REF!</v>
      </c>
    </row>
    <row r="1954">
      <c r="A1954" s="1" t="s">
        <v>4070</v>
      </c>
      <c r="B1954" s="1" t="s">
        <v>5977</v>
      </c>
      <c r="C1954" s="1" t="s">
        <v>21</v>
      </c>
      <c r="D1954" s="4" t="s">
        <v>5978</v>
      </c>
      <c r="E1954" s="1" t="s">
        <v>71</v>
      </c>
      <c r="F1954" s="1" t="s">
        <v>5441</v>
      </c>
      <c r="G1954" s="1" t="s">
        <v>5948</v>
      </c>
      <c r="H1954" s="7" t="s">
        <v>5979</v>
      </c>
      <c r="I1954" s="1" t="str">
        <f t="shared" si="1"/>
        <v>2</v>
      </c>
      <c r="J1954" s="5"/>
      <c r="K1954" s="1" t="str">
        <f t="shared" si="2"/>
        <v>2</v>
      </c>
      <c r="L1954" s="5"/>
      <c r="M1954" s="2" t="str">
        <f t="shared" si="3"/>
        <v>1396</v>
      </c>
      <c r="N1954" s="5"/>
      <c r="O1954" s="13">
        <v>714.0</v>
      </c>
      <c r="P1954" s="5"/>
      <c r="Q1954" s="5"/>
      <c r="R1954" s="8" t="s">
        <v>5979</v>
      </c>
      <c r="S1954" s="5"/>
      <c r="T1954" s="1" t="str">
        <f>IFERROR(__xludf.DUMMYFUNCTION("INDEX(SPLIT(A1954, ""/""), 2)"),"کانون‌های فرهنگی هنری")</f>
        <v>کانون‌های فرهنگی هنری</v>
      </c>
      <c r="U1954" s="1" t="str">
        <f>IFERROR(__xludf.DUMMYFUNCTION("INDEX(SPLIT(A1954, ""/""), 3)"),"روزنامه شریف")</f>
        <v>روزنامه شریف</v>
      </c>
      <c r="V1954" s="1" t="str">
        <f>IFERROR(__xludf.DUMMYFUNCTION("INDEX(SPLIT(A1954, ""/""), 4)"),"#REF!")</f>
        <v>#REF!</v>
      </c>
    </row>
    <row r="1955">
      <c r="A1955" s="1" t="s">
        <v>4070</v>
      </c>
      <c r="B1955" s="1" t="s">
        <v>5980</v>
      </c>
      <c r="C1955" s="1" t="s">
        <v>21</v>
      </c>
      <c r="D1955" s="4" t="s">
        <v>5981</v>
      </c>
      <c r="E1955" s="1" t="s">
        <v>71</v>
      </c>
      <c r="F1955" s="1" t="s">
        <v>5441</v>
      </c>
      <c r="G1955" s="1" t="s">
        <v>5948</v>
      </c>
      <c r="H1955" s="7" t="s">
        <v>5982</v>
      </c>
      <c r="I1955" s="1" t="str">
        <f t="shared" si="1"/>
        <v>9</v>
      </c>
      <c r="J1955" s="5"/>
      <c r="K1955" s="1" t="str">
        <f t="shared" si="2"/>
        <v>2</v>
      </c>
      <c r="L1955" s="5"/>
      <c r="M1955" s="2" t="str">
        <f t="shared" si="3"/>
        <v>1396</v>
      </c>
      <c r="N1955" s="5"/>
      <c r="O1955" s="13">
        <v>715.0</v>
      </c>
      <c r="P1955" s="5"/>
      <c r="Q1955" s="5"/>
      <c r="R1955" s="8" t="s">
        <v>5982</v>
      </c>
      <c r="S1955" s="5"/>
      <c r="T1955" s="1" t="str">
        <f>IFERROR(__xludf.DUMMYFUNCTION("INDEX(SPLIT(A1955, ""/""), 2)"),"کانون‌های فرهنگی هنری")</f>
        <v>کانون‌های فرهنگی هنری</v>
      </c>
      <c r="U1955" s="1" t="str">
        <f>IFERROR(__xludf.DUMMYFUNCTION("INDEX(SPLIT(A1955, ""/""), 3)"),"روزنامه شریف")</f>
        <v>روزنامه شریف</v>
      </c>
      <c r="V1955" s="1" t="str">
        <f>IFERROR(__xludf.DUMMYFUNCTION("INDEX(SPLIT(A1955, ""/""), 4)"),"#REF!")</f>
        <v>#REF!</v>
      </c>
    </row>
    <row r="1956">
      <c r="A1956" s="1" t="s">
        <v>4070</v>
      </c>
      <c r="B1956" s="1" t="s">
        <v>5983</v>
      </c>
      <c r="C1956" s="1" t="s">
        <v>21</v>
      </c>
      <c r="D1956" s="4" t="s">
        <v>5984</v>
      </c>
      <c r="E1956" s="1" t="s">
        <v>71</v>
      </c>
      <c r="F1956" s="1" t="s">
        <v>5441</v>
      </c>
      <c r="G1956" s="1" t="s">
        <v>5948</v>
      </c>
      <c r="H1956" s="7" t="s">
        <v>5985</v>
      </c>
      <c r="I1956" s="1" t="str">
        <f t="shared" si="1"/>
        <v>12</v>
      </c>
      <c r="J1956" s="5"/>
      <c r="K1956" s="1" t="str">
        <f t="shared" si="2"/>
        <v>2</v>
      </c>
      <c r="L1956" s="5"/>
      <c r="M1956" s="2" t="str">
        <f t="shared" si="3"/>
        <v>1396</v>
      </c>
      <c r="N1956" s="5"/>
      <c r="O1956" s="13">
        <v>716.0</v>
      </c>
      <c r="P1956" s="5"/>
      <c r="Q1956" s="5"/>
      <c r="R1956" s="8" t="s">
        <v>5985</v>
      </c>
      <c r="S1956" s="5"/>
      <c r="T1956" s="1" t="str">
        <f>IFERROR(__xludf.DUMMYFUNCTION("INDEX(SPLIT(A1956, ""/""), 2)"),"کانون‌های فرهنگی هنری")</f>
        <v>کانون‌های فرهنگی هنری</v>
      </c>
      <c r="U1956" s="1" t="str">
        <f>IFERROR(__xludf.DUMMYFUNCTION("INDEX(SPLIT(A1956, ""/""), 3)"),"روزنامه شریف")</f>
        <v>روزنامه شریف</v>
      </c>
      <c r="V1956" s="1" t="str">
        <f>IFERROR(__xludf.DUMMYFUNCTION("INDEX(SPLIT(A1956, ""/""), 4)"),"#REF!")</f>
        <v>#REF!</v>
      </c>
    </row>
    <row r="1957">
      <c r="A1957" s="1" t="s">
        <v>4070</v>
      </c>
      <c r="B1957" s="1" t="s">
        <v>5986</v>
      </c>
      <c r="C1957" s="1" t="s">
        <v>21</v>
      </c>
      <c r="D1957" s="4" t="s">
        <v>5987</v>
      </c>
      <c r="E1957" s="1" t="s">
        <v>71</v>
      </c>
      <c r="F1957" s="1" t="s">
        <v>5441</v>
      </c>
      <c r="G1957" s="1" t="s">
        <v>5948</v>
      </c>
      <c r="H1957" s="1" t="s">
        <v>5988</v>
      </c>
      <c r="I1957" s="1" t="str">
        <f t="shared" si="1"/>
        <v>16</v>
      </c>
      <c r="J1957" s="5"/>
      <c r="K1957" s="1" t="str">
        <f t="shared" si="2"/>
        <v>2</v>
      </c>
      <c r="L1957" s="5"/>
      <c r="M1957" s="2" t="str">
        <f t="shared" si="3"/>
        <v>1396</v>
      </c>
      <c r="N1957" s="5"/>
      <c r="O1957" s="13">
        <v>717.0</v>
      </c>
      <c r="P1957" s="5"/>
      <c r="Q1957" s="5"/>
      <c r="R1957" s="6" t="s">
        <v>5988</v>
      </c>
      <c r="S1957" s="5"/>
      <c r="T1957" s="1" t="str">
        <f>IFERROR(__xludf.DUMMYFUNCTION("INDEX(SPLIT(A1957, ""/""), 2)"),"کانون‌های فرهنگی هنری")</f>
        <v>کانون‌های فرهنگی هنری</v>
      </c>
      <c r="U1957" s="1" t="str">
        <f>IFERROR(__xludf.DUMMYFUNCTION("INDEX(SPLIT(A1957, ""/""), 3)"),"روزنامه شریف")</f>
        <v>روزنامه شریف</v>
      </c>
      <c r="V1957" s="1" t="str">
        <f>IFERROR(__xludf.DUMMYFUNCTION("INDEX(SPLIT(A1957, ""/""), 4)"),"#REF!")</f>
        <v>#REF!</v>
      </c>
    </row>
    <row r="1958">
      <c r="A1958" s="1" t="s">
        <v>4070</v>
      </c>
      <c r="B1958" s="1" t="s">
        <v>5989</v>
      </c>
      <c r="C1958" s="1" t="s">
        <v>21</v>
      </c>
      <c r="D1958" s="4" t="s">
        <v>5990</v>
      </c>
      <c r="E1958" s="1" t="s">
        <v>71</v>
      </c>
      <c r="F1958" s="1" t="s">
        <v>5441</v>
      </c>
      <c r="G1958" s="1" t="s">
        <v>5948</v>
      </c>
      <c r="H1958" s="1" t="s">
        <v>5991</v>
      </c>
      <c r="I1958" s="1" t="str">
        <f t="shared" si="1"/>
        <v>19</v>
      </c>
      <c r="J1958" s="5"/>
      <c r="K1958" s="1" t="str">
        <f t="shared" si="2"/>
        <v>2</v>
      </c>
      <c r="L1958" s="5"/>
      <c r="M1958" s="2" t="str">
        <f t="shared" si="3"/>
        <v>1396</v>
      </c>
      <c r="N1958" s="5"/>
      <c r="O1958" s="13">
        <v>718.0</v>
      </c>
      <c r="P1958" s="5"/>
      <c r="Q1958" s="5"/>
      <c r="R1958" s="6" t="s">
        <v>5991</v>
      </c>
      <c r="S1958" s="5"/>
      <c r="T1958" s="1" t="str">
        <f>IFERROR(__xludf.DUMMYFUNCTION("INDEX(SPLIT(A1958, ""/""), 2)"),"کانون‌های فرهنگی هنری")</f>
        <v>کانون‌های فرهنگی هنری</v>
      </c>
      <c r="U1958" s="1" t="str">
        <f>IFERROR(__xludf.DUMMYFUNCTION("INDEX(SPLIT(A1958, ""/""), 3)"),"روزنامه شریف")</f>
        <v>روزنامه شریف</v>
      </c>
      <c r="V1958" s="1" t="str">
        <f>IFERROR(__xludf.DUMMYFUNCTION("INDEX(SPLIT(A1958, ""/""), 4)"),"#REF!")</f>
        <v>#REF!</v>
      </c>
    </row>
    <row r="1959">
      <c r="A1959" s="1" t="s">
        <v>4070</v>
      </c>
      <c r="B1959" s="1" t="s">
        <v>5992</v>
      </c>
      <c r="C1959" s="1" t="s">
        <v>21</v>
      </c>
      <c r="D1959" s="4" t="s">
        <v>5993</v>
      </c>
      <c r="E1959" s="1" t="s">
        <v>71</v>
      </c>
      <c r="F1959" s="1" t="s">
        <v>5441</v>
      </c>
      <c r="G1959" s="1" t="s">
        <v>5948</v>
      </c>
      <c r="H1959" s="1" t="s">
        <v>2250</v>
      </c>
      <c r="I1959" s="1" t="str">
        <f t="shared" si="1"/>
        <v>23</v>
      </c>
      <c r="J1959" s="5"/>
      <c r="K1959" s="1" t="str">
        <f t="shared" si="2"/>
        <v>2</v>
      </c>
      <c r="L1959" s="5"/>
      <c r="M1959" s="2" t="str">
        <f t="shared" si="3"/>
        <v>1396</v>
      </c>
      <c r="N1959" s="5"/>
      <c r="O1959" s="13">
        <v>719.0</v>
      </c>
      <c r="P1959" s="5"/>
      <c r="Q1959" s="5"/>
      <c r="R1959" s="6" t="s">
        <v>2250</v>
      </c>
      <c r="S1959" s="5"/>
      <c r="T1959" s="1" t="str">
        <f>IFERROR(__xludf.DUMMYFUNCTION("INDEX(SPLIT(A1959, ""/""), 2)"),"کانون‌های فرهنگی هنری")</f>
        <v>کانون‌های فرهنگی هنری</v>
      </c>
      <c r="U1959" s="1" t="str">
        <f>IFERROR(__xludf.DUMMYFUNCTION("INDEX(SPLIT(A1959, ""/""), 3)"),"روزنامه شریف")</f>
        <v>روزنامه شریف</v>
      </c>
      <c r="V1959" s="1" t="str">
        <f>IFERROR(__xludf.DUMMYFUNCTION("INDEX(SPLIT(A1959, ""/""), 4)"),"#REF!")</f>
        <v>#REF!</v>
      </c>
    </row>
    <row r="1960">
      <c r="A1960" s="1" t="s">
        <v>4070</v>
      </c>
      <c r="B1960" s="1" t="s">
        <v>5994</v>
      </c>
      <c r="C1960" s="1" t="s">
        <v>21</v>
      </c>
      <c r="D1960" s="4" t="s">
        <v>5995</v>
      </c>
      <c r="E1960" s="1" t="s">
        <v>71</v>
      </c>
      <c r="F1960" s="1" t="s">
        <v>5441</v>
      </c>
      <c r="G1960" s="1" t="s">
        <v>5948</v>
      </c>
      <c r="H1960" s="1" t="s">
        <v>5996</v>
      </c>
      <c r="I1960" s="1" t="str">
        <f t="shared" si="1"/>
        <v>26</v>
      </c>
      <c r="J1960" s="5"/>
      <c r="K1960" s="1" t="str">
        <f t="shared" si="2"/>
        <v>2</v>
      </c>
      <c r="L1960" s="5"/>
      <c r="M1960" s="2" t="str">
        <f t="shared" si="3"/>
        <v>1396</v>
      </c>
      <c r="N1960" s="5"/>
      <c r="O1960" s="13">
        <v>720.0</v>
      </c>
      <c r="P1960" s="5"/>
      <c r="Q1960" s="5"/>
      <c r="R1960" s="6" t="s">
        <v>5996</v>
      </c>
      <c r="S1960" s="5"/>
      <c r="T1960" s="1" t="str">
        <f>IFERROR(__xludf.DUMMYFUNCTION("INDEX(SPLIT(A1960, ""/""), 2)"),"کانون‌های فرهنگی هنری")</f>
        <v>کانون‌های فرهنگی هنری</v>
      </c>
      <c r="U1960" s="1" t="str">
        <f>IFERROR(__xludf.DUMMYFUNCTION("INDEX(SPLIT(A1960, ""/""), 3)"),"روزنامه شریف")</f>
        <v>روزنامه شریف</v>
      </c>
      <c r="V1960" s="1" t="str">
        <f>IFERROR(__xludf.DUMMYFUNCTION("INDEX(SPLIT(A1960, ""/""), 4)"),"#REF!")</f>
        <v>#REF!</v>
      </c>
    </row>
    <row r="1961">
      <c r="A1961" s="1" t="s">
        <v>4070</v>
      </c>
      <c r="B1961" s="1" t="s">
        <v>5997</v>
      </c>
      <c r="C1961" s="1" t="s">
        <v>21</v>
      </c>
      <c r="D1961" s="4" t="s">
        <v>5998</v>
      </c>
      <c r="E1961" s="1" t="s">
        <v>71</v>
      </c>
      <c r="F1961" s="1" t="s">
        <v>5441</v>
      </c>
      <c r="G1961" s="1" t="s">
        <v>5948</v>
      </c>
      <c r="H1961" s="1" t="s">
        <v>5999</v>
      </c>
      <c r="I1961" s="1" t="str">
        <f t="shared" si="1"/>
        <v>31</v>
      </c>
      <c r="J1961" s="5"/>
      <c r="K1961" s="1" t="str">
        <f t="shared" si="2"/>
        <v>2</v>
      </c>
      <c r="L1961" s="5"/>
      <c r="M1961" s="2" t="str">
        <f t="shared" si="3"/>
        <v>1396</v>
      </c>
      <c r="N1961" s="5"/>
      <c r="O1961" s="13">
        <v>721.0</v>
      </c>
      <c r="P1961" s="5"/>
      <c r="Q1961" s="5"/>
      <c r="R1961" s="6" t="s">
        <v>5999</v>
      </c>
      <c r="S1961" s="5"/>
      <c r="T1961" s="1" t="str">
        <f>IFERROR(__xludf.DUMMYFUNCTION("INDEX(SPLIT(A1961, ""/""), 2)"),"کانون‌های فرهنگی هنری")</f>
        <v>کانون‌های فرهنگی هنری</v>
      </c>
      <c r="U1961" s="1" t="str">
        <f>IFERROR(__xludf.DUMMYFUNCTION("INDEX(SPLIT(A1961, ""/""), 3)"),"روزنامه شریف")</f>
        <v>روزنامه شریف</v>
      </c>
      <c r="V1961" s="1" t="str">
        <f>IFERROR(__xludf.DUMMYFUNCTION("INDEX(SPLIT(A1961, ""/""), 4)"),"#REF!")</f>
        <v>#REF!</v>
      </c>
    </row>
    <row r="1962">
      <c r="A1962" s="1" t="s">
        <v>4070</v>
      </c>
      <c r="B1962" s="1" t="s">
        <v>6000</v>
      </c>
      <c r="C1962" s="1" t="s">
        <v>21</v>
      </c>
      <c r="D1962" s="4" t="s">
        <v>6001</v>
      </c>
      <c r="E1962" s="1" t="s">
        <v>71</v>
      </c>
      <c r="F1962" s="1" t="s">
        <v>5441</v>
      </c>
      <c r="G1962" s="1" t="s">
        <v>5948</v>
      </c>
      <c r="H1962" s="7" t="s">
        <v>6002</v>
      </c>
      <c r="I1962" s="1" t="str">
        <f t="shared" si="1"/>
        <v>2</v>
      </c>
      <c r="J1962" s="5"/>
      <c r="K1962" s="1" t="str">
        <f t="shared" si="2"/>
        <v>3</v>
      </c>
      <c r="L1962" s="5"/>
      <c r="M1962" s="2" t="str">
        <f t="shared" si="3"/>
        <v>1396</v>
      </c>
      <c r="N1962" s="5"/>
      <c r="O1962" s="13">
        <v>722.0</v>
      </c>
      <c r="P1962" s="5"/>
      <c r="Q1962" s="5"/>
      <c r="R1962" s="8" t="s">
        <v>6002</v>
      </c>
      <c r="S1962" s="5"/>
      <c r="T1962" s="1" t="str">
        <f>IFERROR(__xludf.DUMMYFUNCTION("INDEX(SPLIT(A1962, ""/""), 2)"),"کانون‌های فرهنگی هنری")</f>
        <v>کانون‌های فرهنگی هنری</v>
      </c>
      <c r="U1962" s="1" t="str">
        <f>IFERROR(__xludf.DUMMYFUNCTION("INDEX(SPLIT(A1962, ""/""), 3)"),"روزنامه شریف")</f>
        <v>روزنامه شریف</v>
      </c>
      <c r="V1962" s="1" t="str">
        <f>IFERROR(__xludf.DUMMYFUNCTION("INDEX(SPLIT(A1962, ""/""), 4)"),"#REF!")</f>
        <v>#REF!</v>
      </c>
    </row>
    <row r="1963">
      <c r="A1963" s="1" t="s">
        <v>4070</v>
      </c>
      <c r="B1963" s="1" t="s">
        <v>6003</v>
      </c>
      <c r="C1963" s="1" t="s">
        <v>21</v>
      </c>
      <c r="D1963" s="4" t="s">
        <v>6004</v>
      </c>
      <c r="E1963" s="1" t="s">
        <v>71</v>
      </c>
      <c r="F1963" s="1" t="s">
        <v>5441</v>
      </c>
      <c r="G1963" s="1" t="s">
        <v>5948</v>
      </c>
      <c r="H1963" s="7" t="s">
        <v>6005</v>
      </c>
      <c r="I1963" s="1" t="str">
        <f t="shared" si="1"/>
        <v>6</v>
      </c>
      <c r="J1963" s="5"/>
      <c r="K1963" s="1" t="str">
        <f t="shared" si="2"/>
        <v>3</v>
      </c>
      <c r="L1963" s="5"/>
      <c r="M1963" s="2" t="str">
        <f t="shared" si="3"/>
        <v>1396</v>
      </c>
      <c r="N1963" s="5"/>
      <c r="O1963" s="13">
        <v>723.0</v>
      </c>
      <c r="P1963" s="5"/>
      <c r="Q1963" s="5"/>
      <c r="R1963" s="8" t="s">
        <v>6005</v>
      </c>
      <c r="S1963" s="5"/>
      <c r="T1963" s="1" t="str">
        <f>IFERROR(__xludf.DUMMYFUNCTION("INDEX(SPLIT(A1963, ""/""), 2)"),"کانون‌های فرهنگی هنری")</f>
        <v>کانون‌های فرهنگی هنری</v>
      </c>
      <c r="U1963" s="1" t="str">
        <f>IFERROR(__xludf.DUMMYFUNCTION("INDEX(SPLIT(A1963, ""/""), 3)"),"روزنامه شریف")</f>
        <v>روزنامه شریف</v>
      </c>
      <c r="V1963" s="1" t="str">
        <f>IFERROR(__xludf.DUMMYFUNCTION("INDEX(SPLIT(A1963, ""/""), 4)"),"#REF!")</f>
        <v>#REF!</v>
      </c>
    </row>
    <row r="1964">
      <c r="A1964" s="1" t="s">
        <v>4070</v>
      </c>
      <c r="B1964" s="1" t="s">
        <v>6006</v>
      </c>
      <c r="C1964" s="1" t="s">
        <v>21</v>
      </c>
      <c r="D1964" s="4" t="s">
        <v>6007</v>
      </c>
      <c r="E1964" s="1" t="s">
        <v>71</v>
      </c>
      <c r="F1964" s="1" t="s">
        <v>5441</v>
      </c>
      <c r="G1964" s="1" t="s">
        <v>5948</v>
      </c>
      <c r="H1964" s="7" t="s">
        <v>6008</v>
      </c>
      <c r="I1964" s="1" t="str">
        <f t="shared" si="1"/>
        <v>9</v>
      </c>
      <c r="J1964" s="5"/>
      <c r="K1964" s="1" t="str">
        <f t="shared" si="2"/>
        <v>3</v>
      </c>
      <c r="L1964" s="5"/>
      <c r="M1964" s="2" t="str">
        <f t="shared" si="3"/>
        <v>1396</v>
      </c>
      <c r="N1964" s="5"/>
      <c r="O1964" s="13">
        <v>724.0</v>
      </c>
      <c r="P1964" s="5"/>
      <c r="Q1964" s="5"/>
      <c r="R1964" s="8" t="s">
        <v>6008</v>
      </c>
      <c r="S1964" s="5"/>
      <c r="T1964" s="1" t="str">
        <f>IFERROR(__xludf.DUMMYFUNCTION("INDEX(SPLIT(A1964, ""/""), 2)"),"کانون‌های فرهنگی هنری")</f>
        <v>کانون‌های فرهنگی هنری</v>
      </c>
      <c r="U1964" s="1" t="str">
        <f>IFERROR(__xludf.DUMMYFUNCTION("INDEX(SPLIT(A1964, ""/""), 3)"),"روزنامه شریف")</f>
        <v>روزنامه شریف</v>
      </c>
      <c r="V1964" s="1" t="str">
        <f>IFERROR(__xludf.DUMMYFUNCTION("INDEX(SPLIT(A1964, ""/""), 4)"),"#REF!")</f>
        <v>#REF!</v>
      </c>
    </row>
    <row r="1965">
      <c r="A1965" s="1" t="s">
        <v>4070</v>
      </c>
      <c r="B1965" s="1" t="s">
        <v>6009</v>
      </c>
      <c r="C1965" s="1" t="s">
        <v>21</v>
      </c>
      <c r="D1965" s="4" t="s">
        <v>6010</v>
      </c>
      <c r="E1965" s="1" t="s">
        <v>71</v>
      </c>
      <c r="F1965" s="1" t="s">
        <v>5441</v>
      </c>
      <c r="G1965" s="1" t="s">
        <v>5948</v>
      </c>
      <c r="H1965" s="1" t="s">
        <v>6011</v>
      </c>
      <c r="I1965" s="1" t="str">
        <f t="shared" si="1"/>
        <v>21</v>
      </c>
      <c r="J1965" s="5"/>
      <c r="K1965" s="1" t="str">
        <f t="shared" si="2"/>
        <v>5</v>
      </c>
      <c r="L1965" s="5"/>
      <c r="M1965" s="2" t="str">
        <f t="shared" si="3"/>
        <v>1396</v>
      </c>
      <c r="N1965" s="5"/>
      <c r="O1965" s="13">
        <v>725.0</v>
      </c>
      <c r="P1965" s="5"/>
      <c r="Q1965" s="5"/>
      <c r="R1965" s="6" t="s">
        <v>6011</v>
      </c>
      <c r="S1965" s="5"/>
      <c r="T1965" s="1" t="str">
        <f>IFERROR(__xludf.DUMMYFUNCTION("INDEX(SPLIT(A1965, ""/""), 2)"),"کانون‌های فرهنگی هنری")</f>
        <v>کانون‌های فرهنگی هنری</v>
      </c>
      <c r="U1965" s="1" t="str">
        <f>IFERROR(__xludf.DUMMYFUNCTION("INDEX(SPLIT(A1965, ""/""), 3)"),"روزنامه شریف")</f>
        <v>روزنامه شریف</v>
      </c>
      <c r="V1965" s="1" t="str">
        <f>IFERROR(__xludf.DUMMYFUNCTION("INDEX(SPLIT(A1965, ""/""), 4)"),"#REF!")</f>
        <v>#REF!</v>
      </c>
    </row>
    <row r="1966">
      <c r="A1966" s="1" t="s">
        <v>4070</v>
      </c>
      <c r="B1966" s="1" t="s">
        <v>6012</v>
      </c>
      <c r="C1966" s="1" t="s">
        <v>21</v>
      </c>
      <c r="D1966" s="4" t="s">
        <v>6013</v>
      </c>
      <c r="E1966" s="1" t="s">
        <v>71</v>
      </c>
      <c r="F1966" s="1" t="s">
        <v>5441</v>
      </c>
      <c r="G1966" s="1" t="s">
        <v>5948</v>
      </c>
      <c r="H1966" s="7" t="s">
        <v>6014</v>
      </c>
      <c r="I1966" s="1" t="str">
        <f t="shared" si="1"/>
        <v>4</v>
      </c>
      <c r="J1966" s="5"/>
      <c r="K1966" s="1" t="str">
        <f t="shared" si="2"/>
        <v>7</v>
      </c>
      <c r="L1966" s="5"/>
      <c r="M1966" s="2" t="str">
        <f t="shared" si="3"/>
        <v>1396</v>
      </c>
      <c r="N1966" s="5"/>
      <c r="O1966" s="13">
        <v>726.0</v>
      </c>
      <c r="P1966" s="5"/>
      <c r="Q1966" s="5"/>
      <c r="R1966" s="8" t="s">
        <v>6014</v>
      </c>
      <c r="S1966" s="5"/>
      <c r="T1966" s="1" t="str">
        <f>IFERROR(__xludf.DUMMYFUNCTION("INDEX(SPLIT(A1966, ""/""), 2)"),"کانون‌های فرهنگی هنری")</f>
        <v>کانون‌های فرهنگی هنری</v>
      </c>
      <c r="U1966" s="1" t="str">
        <f>IFERROR(__xludf.DUMMYFUNCTION("INDEX(SPLIT(A1966, ""/""), 3)"),"روزنامه شریف")</f>
        <v>روزنامه شریف</v>
      </c>
      <c r="V1966" s="1" t="str">
        <f>IFERROR(__xludf.DUMMYFUNCTION("INDEX(SPLIT(A1966, ""/""), 4)"),"#REF!")</f>
        <v>#REF!</v>
      </c>
    </row>
    <row r="1967">
      <c r="A1967" s="1" t="s">
        <v>4070</v>
      </c>
      <c r="B1967" s="1" t="s">
        <v>6015</v>
      </c>
      <c r="C1967" s="1" t="s">
        <v>21</v>
      </c>
      <c r="D1967" s="4" t="s">
        <v>6016</v>
      </c>
      <c r="E1967" s="1" t="s">
        <v>71</v>
      </c>
      <c r="F1967" s="1" t="s">
        <v>5441</v>
      </c>
      <c r="G1967" s="1" t="s">
        <v>5948</v>
      </c>
      <c r="H1967" s="7" t="s">
        <v>6017</v>
      </c>
      <c r="I1967" s="1" t="str">
        <f t="shared" si="1"/>
        <v>11</v>
      </c>
      <c r="J1967" s="5"/>
      <c r="K1967" s="1" t="str">
        <f t="shared" si="2"/>
        <v>7</v>
      </c>
      <c r="L1967" s="5"/>
      <c r="M1967" s="2" t="str">
        <f t="shared" si="3"/>
        <v>1396</v>
      </c>
      <c r="N1967" s="5"/>
      <c r="O1967" s="13">
        <v>727.0</v>
      </c>
      <c r="P1967" s="5"/>
      <c r="Q1967" s="5"/>
      <c r="R1967" s="8" t="s">
        <v>6017</v>
      </c>
      <c r="S1967" s="5"/>
      <c r="T1967" s="1" t="str">
        <f>IFERROR(__xludf.DUMMYFUNCTION("INDEX(SPLIT(A1967, ""/""), 2)"),"کانون‌های فرهنگی هنری")</f>
        <v>کانون‌های فرهنگی هنری</v>
      </c>
      <c r="U1967" s="1" t="str">
        <f>IFERROR(__xludf.DUMMYFUNCTION("INDEX(SPLIT(A1967, ""/""), 3)"),"روزنامه شریف")</f>
        <v>روزنامه شریف</v>
      </c>
      <c r="V1967" s="1" t="str">
        <f>IFERROR(__xludf.DUMMYFUNCTION("INDEX(SPLIT(A1967, ""/""), 4)"),"#REF!")</f>
        <v>#REF!</v>
      </c>
    </row>
    <row r="1968">
      <c r="A1968" s="1" t="s">
        <v>4070</v>
      </c>
      <c r="B1968" s="1" t="s">
        <v>6018</v>
      </c>
      <c r="C1968" s="1" t="s">
        <v>21</v>
      </c>
      <c r="D1968" s="4" t="s">
        <v>6019</v>
      </c>
      <c r="E1968" s="1" t="s">
        <v>71</v>
      </c>
      <c r="F1968" s="1" t="s">
        <v>5441</v>
      </c>
      <c r="G1968" s="1" t="s">
        <v>5948</v>
      </c>
      <c r="H1968" s="1" t="s">
        <v>271</v>
      </c>
      <c r="I1968" s="1" t="str">
        <f t="shared" si="1"/>
        <v>15</v>
      </c>
      <c r="J1968" s="5"/>
      <c r="K1968" s="1" t="str">
        <f t="shared" si="2"/>
        <v>7</v>
      </c>
      <c r="L1968" s="5"/>
      <c r="M1968" s="2" t="str">
        <f t="shared" si="3"/>
        <v>1396</v>
      </c>
      <c r="N1968" s="5"/>
      <c r="O1968" s="13">
        <v>728.0</v>
      </c>
      <c r="P1968" s="5"/>
      <c r="Q1968" s="5"/>
      <c r="R1968" s="6" t="s">
        <v>271</v>
      </c>
      <c r="S1968" s="5"/>
      <c r="T1968" s="1" t="str">
        <f>IFERROR(__xludf.DUMMYFUNCTION("INDEX(SPLIT(A1968, ""/""), 2)"),"کانون‌های فرهنگی هنری")</f>
        <v>کانون‌های فرهنگی هنری</v>
      </c>
      <c r="U1968" s="1" t="str">
        <f>IFERROR(__xludf.DUMMYFUNCTION("INDEX(SPLIT(A1968, ""/""), 3)"),"روزنامه شریف")</f>
        <v>روزنامه شریف</v>
      </c>
      <c r="V1968" s="1" t="str">
        <f>IFERROR(__xludf.DUMMYFUNCTION("INDEX(SPLIT(A1968, ""/""), 4)"),"#REF!")</f>
        <v>#REF!</v>
      </c>
    </row>
    <row r="1969">
      <c r="A1969" s="1" t="s">
        <v>4070</v>
      </c>
      <c r="B1969" s="1" t="s">
        <v>6020</v>
      </c>
      <c r="C1969" s="1" t="s">
        <v>21</v>
      </c>
      <c r="D1969" s="4" t="s">
        <v>6021</v>
      </c>
      <c r="E1969" s="1" t="s">
        <v>71</v>
      </c>
      <c r="F1969" s="1" t="s">
        <v>5441</v>
      </c>
      <c r="G1969" s="1" t="s">
        <v>5948</v>
      </c>
      <c r="H1969" s="1" t="s">
        <v>6022</v>
      </c>
      <c r="I1969" s="1" t="str">
        <f t="shared" si="1"/>
        <v>18</v>
      </c>
      <c r="J1969" s="5"/>
      <c r="K1969" s="1" t="str">
        <f t="shared" si="2"/>
        <v>7</v>
      </c>
      <c r="L1969" s="5"/>
      <c r="M1969" s="2" t="str">
        <f t="shared" si="3"/>
        <v>1396</v>
      </c>
      <c r="N1969" s="5"/>
      <c r="O1969" s="13">
        <v>729.0</v>
      </c>
      <c r="P1969" s="5"/>
      <c r="Q1969" s="5"/>
      <c r="R1969" s="6" t="s">
        <v>6022</v>
      </c>
      <c r="S1969" s="5"/>
      <c r="T1969" s="1" t="str">
        <f>IFERROR(__xludf.DUMMYFUNCTION("INDEX(SPLIT(A1969, ""/""), 2)"),"کانون‌های فرهنگی هنری")</f>
        <v>کانون‌های فرهنگی هنری</v>
      </c>
      <c r="U1969" s="1" t="str">
        <f>IFERROR(__xludf.DUMMYFUNCTION("INDEX(SPLIT(A1969, ""/""), 3)"),"روزنامه شریف")</f>
        <v>روزنامه شریف</v>
      </c>
      <c r="V1969" s="1" t="str">
        <f>IFERROR(__xludf.DUMMYFUNCTION("INDEX(SPLIT(A1969, ""/""), 4)"),"#REF!")</f>
        <v>#REF!</v>
      </c>
    </row>
    <row r="1970">
      <c r="A1970" s="1" t="s">
        <v>4070</v>
      </c>
      <c r="B1970" s="1" t="s">
        <v>6023</v>
      </c>
      <c r="C1970" s="1" t="s">
        <v>21</v>
      </c>
      <c r="D1970" s="4" t="s">
        <v>6024</v>
      </c>
      <c r="E1970" s="1" t="s">
        <v>71</v>
      </c>
      <c r="F1970" s="1" t="s">
        <v>5441</v>
      </c>
      <c r="G1970" s="1" t="s">
        <v>5948</v>
      </c>
      <c r="H1970" s="1" t="s">
        <v>1224</v>
      </c>
      <c r="I1970" s="1" t="str">
        <f t="shared" si="1"/>
        <v>22</v>
      </c>
      <c r="J1970" s="5"/>
      <c r="K1970" s="1" t="str">
        <f t="shared" si="2"/>
        <v>7</v>
      </c>
      <c r="L1970" s="5"/>
      <c r="M1970" s="2" t="str">
        <f t="shared" si="3"/>
        <v>1396</v>
      </c>
      <c r="N1970" s="5"/>
      <c r="O1970" s="13">
        <v>730.0</v>
      </c>
      <c r="P1970" s="5"/>
      <c r="Q1970" s="5"/>
      <c r="R1970" s="6" t="s">
        <v>1224</v>
      </c>
      <c r="S1970" s="5"/>
      <c r="T1970" s="1" t="str">
        <f>IFERROR(__xludf.DUMMYFUNCTION("INDEX(SPLIT(A1970, ""/""), 2)"),"کانون‌های فرهنگی هنری")</f>
        <v>کانون‌های فرهنگی هنری</v>
      </c>
      <c r="U1970" s="1" t="str">
        <f>IFERROR(__xludf.DUMMYFUNCTION("INDEX(SPLIT(A1970, ""/""), 3)"),"روزنامه شریف")</f>
        <v>روزنامه شریف</v>
      </c>
      <c r="V1970" s="1" t="str">
        <f>IFERROR(__xludf.DUMMYFUNCTION("INDEX(SPLIT(A1970, ""/""), 4)"),"#REF!")</f>
        <v>#REF!</v>
      </c>
    </row>
    <row r="1971">
      <c r="A1971" s="1" t="s">
        <v>4070</v>
      </c>
      <c r="B1971" s="1" t="s">
        <v>6025</v>
      </c>
      <c r="C1971" s="1" t="s">
        <v>21</v>
      </c>
      <c r="D1971" s="4" t="s">
        <v>6026</v>
      </c>
      <c r="E1971" s="1" t="s">
        <v>71</v>
      </c>
      <c r="F1971" s="1" t="s">
        <v>5441</v>
      </c>
      <c r="G1971" s="1" t="s">
        <v>5948</v>
      </c>
      <c r="H1971" s="1" t="s">
        <v>6027</v>
      </c>
      <c r="I1971" s="1" t="str">
        <f t="shared" si="1"/>
        <v>25</v>
      </c>
      <c r="J1971" s="5"/>
      <c r="K1971" s="1" t="str">
        <f t="shared" si="2"/>
        <v>7</v>
      </c>
      <c r="L1971" s="5"/>
      <c r="M1971" s="2" t="str">
        <f t="shared" si="3"/>
        <v>1396</v>
      </c>
      <c r="N1971" s="5"/>
      <c r="O1971" s="13">
        <v>731.0</v>
      </c>
      <c r="P1971" s="5"/>
      <c r="Q1971" s="5"/>
      <c r="R1971" s="6" t="s">
        <v>6027</v>
      </c>
      <c r="S1971" s="5"/>
      <c r="T1971" s="1" t="str">
        <f>IFERROR(__xludf.DUMMYFUNCTION("INDEX(SPLIT(A1971, ""/""), 2)"),"کانون‌های فرهنگی هنری")</f>
        <v>کانون‌های فرهنگی هنری</v>
      </c>
      <c r="U1971" s="1" t="str">
        <f>IFERROR(__xludf.DUMMYFUNCTION("INDEX(SPLIT(A1971, ""/""), 3)"),"روزنامه شریف")</f>
        <v>روزنامه شریف</v>
      </c>
      <c r="V1971" s="1" t="str">
        <f>IFERROR(__xludf.DUMMYFUNCTION("INDEX(SPLIT(A1971, ""/""), 4)"),"#REF!")</f>
        <v>#REF!</v>
      </c>
    </row>
    <row r="1972">
      <c r="A1972" s="1" t="s">
        <v>4070</v>
      </c>
      <c r="B1972" s="1" t="s">
        <v>6028</v>
      </c>
      <c r="C1972" s="1" t="s">
        <v>21</v>
      </c>
      <c r="D1972" s="4" t="s">
        <v>6029</v>
      </c>
      <c r="E1972" s="1" t="s">
        <v>71</v>
      </c>
      <c r="F1972" s="1" t="s">
        <v>5441</v>
      </c>
      <c r="G1972" s="1" t="s">
        <v>5948</v>
      </c>
      <c r="H1972" s="1" t="s">
        <v>1227</v>
      </c>
      <c r="I1972" s="1" t="str">
        <f t="shared" si="1"/>
        <v>29</v>
      </c>
      <c r="J1972" s="5"/>
      <c r="K1972" s="1" t="str">
        <f t="shared" si="2"/>
        <v>7</v>
      </c>
      <c r="L1972" s="5"/>
      <c r="M1972" s="2" t="str">
        <f t="shared" si="3"/>
        <v>1396</v>
      </c>
      <c r="N1972" s="5"/>
      <c r="O1972" s="13">
        <v>732.0</v>
      </c>
      <c r="P1972" s="5"/>
      <c r="Q1972" s="5"/>
      <c r="R1972" s="6" t="s">
        <v>1227</v>
      </c>
      <c r="S1972" s="5"/>
      <c r="T1972" s="1" t="str">
        <f>IFERROR(__xludf.DUMMYFUNCTION("INDEX(SPLIT(A1972, ""/""), 2)"),"کانون‌های فرهنگی هنری")</f>
        <v>کانون‌های فرهنگی هنری</v>
      </c>
      <c r="U1972" s="1" t="str">
        <f>IFERROR(__xludf.DUMMYFUNCTION("INDEX(SPLIT(A1972, ""/""), 3)"),"روزنامه شریف")</f>
        <v>روزنامه شریف</v>
      </c>
      <c r="V1972" s="1" t="str">
        <f>IFERROR(__xludf.DUMMYFUNCTION("INDEX(SPLIT(A1972, ""/""), 4)"),"#REF!")</f>
        <v>#REF!</v>
      </c>
    </row>
    <row r="1973">
      <c r="A1973" s="1" t="s">
        <v>4070</v>
      </c>
      <c r="B1973" s="1" t="s">
        <v>6030</v>
      </c>
      <c r="C1973" s="1" t="s">
        <v>21</v>
      </c>
      <c r="D1973" s="4" t="s">
        <v>6031</v>
      </c>
      <c r="E1973" s="1" t="s">
        <v>71</v>
      </c>
      <c r="F1973" s="1" t="s">
        <v>5441</v>
      </c>
      <c r="G1973" s="1" t="s">
        <v>5948</v>
      </c>
      <c r="H1973" s="7" t="s">
        <v>6032</v>
      </c>
      <c r="I1973" s="1" t="str">
        <f t="shared" si="1"/>
        <v>2</v>
      </c>
      <c r="J1973" s="5"/>
      <c r="K1973" s="1" t="str">
        <f t="shared" si="2"/>
        <v>8</v>
      </c>
      <c r="L1973" s="5"/>
      <c r="M1973" s="2" t="str">
        <f t="shared" si="3"/>
        <v>1396</v>
      </c>
      <c r="N1973" s="5"/>
      <c r="O1973" s="13">
        <v>733.0</v>
      </c>
      <c r="P1973" s="5"/>
      <c r="Q1973" s="5"/>
      <c r="R1973" s="8" t="s">
        <v>6032</v>
      </c>
      <c r="S1973" s="5"/>
      <c r="T1973" s="1" t="str">
        <f>IFERROR(__xludf.DUMMYFUNCTION("INDEX(SPLIT(A1973, ""/""), 2)"),"کانون‌های فرهنگی هنری")</f>
        <v>کانون‌های فرهنگی هنری</v>
      </c>
      <c r="U1973" s="1" t="str">
        <f>IFERROR(__xludf.DUMMYFUNCTION("INDEX(SPLIT(A1973, ""/""), 3)"),"روزنامه شریف")</f>
        <v>روزنامه شریف</v>
      </c>
      <c r="V1973" s="1" t="str">
        <f>IFERROR(__xludf.DUMMYFUNCTION("INDEX(SPLIT(A1973, ""/""), 4)"),"#REF!")</f>
        <v>#REF!</v>
      </c>
    </row>
    <row r="1974">
      <c r="A1974" s="1" t="s">
        <v>4070</v>
      </c>
      <c r="B1974" s="1" t="s">
        <v>6033</v>
      </c>
      <c r="C1974" s="1" t="s">
        <v>21</v>
      </c>
      <c r="D1974" s="4" t="s">
        <v>6034</v>
      </c>
      <c r="E1974" s="1" t="s">
        <v>71</v>
      </c>
      <c r="F1974" s="1" t="s">
        <v>5441</v>
      </c>
      <c r="G1974" s="1" t="s">
        <v>5948</v>
      </c>
      <c r="H1974" s="7" t="s">
        <v>1230</v>
      </c>
      <c r="I1974" s="1" t="str">
        <f t="shared" si="1"/>
        <v>6</v>
      </c>
      <c r="J1974" s="5"/>
      <c r="K1974" s="1" t="str">
        <f t="shared" si="2"/>
        <v>8</v>
      </c>
      <c r="L1974" s="5"/>
      <c r="M1974" s="2" t="str">
        <f t="shared" si="3"/>
        <v>1396</v>
      </c>
      <c r="N1974" s="5"/>
      <c r="O1974" s="13">
        <v>734.0</v>
      </c>
      <c r="P1974" s="5"/>
      <c r="Q1974" s="5"/>
      <c r="R1974" s="8" t="s">
        <v>1230</v>
      </c>
      <c r="S1974" s="5"/>
      <c r="T1974" s="1" t="str">
        <f>IFERROR(__xludf.DUMMYFUNCTION("INDEX(SPLIT(A1974, ""/""), 2)"),"کانون‌های فرهنگی هنری")</f>
        <v>کانون‌های فرهنگی هنری</v>
      </c>
      <c r="U1974" s="1" t="str">
        <f>IFERROR(__xludf.DUMMYFUNCTION("INDEX(SPLIT(A1974, ""/""), 3)"),"روزنامه شریف")</f>
        <v>روزنامه شریف</v>
      </c>
      <c r="V1974" s="1" t="str">
        <f>IFERROR(__xludf.DUMMYFUNCTION("INDEX(SPLIT(A1974, ""/""), 4)"),"#REF!")</f>
        <v>#REF!</v>
      </c>
    </row>
    <row r="1975">
      <c r="A1975" s="1" t="s">
        <v>4070</v>
      </c>
      <c r="B1975" s="1" t="s">
        <v>6035</v>
      </c>
      <c r="C1975" s="1" t="s">
        <v>21</v>
      </c>
      <c r="D1975" s="4" t="s">
        <v>6036</v>
      </c>
      <c r="E1975" s="1" t="s">
        <v>71</v>
      </c>
      <c r="F1975" s="1" t="s">
        <v>5441</v>
      </c>
      <c r="G1975" s="1" t="s">
        <v>5948</v>
      </c>
      <c r="H1975" s="7" t="s">
        <v>6037</v>
      </c>
      <c r="I1975" s="1" t="str">
        <f t="shared" si="1"/>
        <v>9</v>
      </c>
      <c r="J1975" s="5"/>
      <c r="K1975" s="1" t="str">
        <f t="shared" si="2"/>
        <v>8</v>
      </c>
      <c r="L1975" s="5"/>
      <c r="M1975" s="2" t="str">
        <f t="shared" si="3"/>
        <v>1396</v>
      </c>
      <c r="N1975" s="5"/>
      <c r="O1975" s="13">
        <v>735.0</v>
      </c>
      <c r="P1975" s="5"/>
      <c r="Q1975" s="5"/>
      <c r="R1975" s="8" t="s">
        <v>6037</v>
      </c>
      <c r="S1975" s="5"/>
      <c r="T1975" s="1" t="str">
        <f>IFERROR(__xludf.DUMMYFUNCTION("INDEX(SPLIT(A1975, ""/""), 2)"),"کانون‌های فرهنگی هنری")</f>
        <v>کانون‌های فرهنگی هنری</v>
      </c>
      <c r="U1975" s="1" t="str">
        <f>IFERROR(__xludf.DUMMYFUNCTION("INDEX(SPLIT(A1975, ""/""), 3)"),"روزنامه شریف")</f>
        <v>روزنامه شریف</v>
      </c>
      <c r="V1975" s="1" t="str">
        <f>IFERROR(__xludf.DUMMYFUNCTION("INDEX(SPLIT(A1975, ""/""), 4)"),"#REF!")</f>
        <v>#REF!</v>
      </c>
    </row>
    <row r="1976">
      <c r="A1976" s="1" t="s">
        <v>4070</v>
      </c>
      <c r="B1976" s="1" t="s">
        <v>6038</v>
      </c>
      <c r="C1976" s="1" t="s">
        <v>21</v>
      </c>
      <c r="D1976" s="4" t="s">
        <v>6039</v>
      </c>
      <c r="E1976" s="1" t="s">
        <v>71</v>
      </c>
      <c r="F1976" s="1" t="s">
        <v>5441</v>
      </c>
      <c r="G1976" s="1" t="s">
        <v>5948</v>
      </c>
      <c r="H1976" s="1" t="s">
        <v>6040</v>
      </c>
      <c r="I1976" s="1" t="str">
        <f t="shared" si="1"/>
        <v>13</v>
      </c>
      <c r="J1976" s="5"/>
      <c r="K1976" s="1" t="str">
        <f t="shared" si="2"/>
        <v>8</v>
      </c>
      <c r="L1976" s="5"/>
      <c r="M1976" s="2" t="str">
        <f t="shared" si="3"/>
        <v>1396</v>
      </c>
      <c r="N1976" s="5"/>
      <c r="O1976" s="13">
        <v>736.0</v>
      </c>
      <c r="P1976" s="5"/>
      <c r="Q1976" s="5"/>
      <c r="R1976" s="6" t="s">
        <v>6040</v>
      </c>
      <c r="S1976" s="5"/>
      <c r="T1976" s="1" t="str">
        <f>IFERROR(__xludf.DUMMYFUNCTION("INDEX(SPLIT(A1976, ""/""), 2)"),"کانون‌های فرهنگی هنری")</f>
        <v>کانون‌های فرهنگی هنری</v>
      </c>
      <c r="U1976" s="1" t="str">
        <f>IFERROR(__xludf.DUMMYFUNCTION("INDEX(SPLIT(A1976, ""/""), 3)"),"روزنامه شریف")</f>
        <v>روزنامه شریف</v>
      </c>
      <c r="V1976" s="1" t="str">
        <f>IFERROR(__xludf.DUMMYFUNCTION("INDEX(SPLIT(A1976, ""/""), 4)"),"#REF!")</f>
        <v>#REF!</v>
      </c>
    </row>
    <row r="1977">
      <c r="A1977" s="1" t="s">
        <v>4070</v>
      </c>
      <c r="B1977" s="1" t="s">
        <v>6041</v>
      </c>
      <c r="C1977" s="1" t="s">
        <v>21</v>
      </c>
      <c r="D1977" s="4" t="s">
        <v>6042</v>
      </c>
      <c r="E1977" s="1" t="s">
        <v>71</v>
      </c>
      <c r="F1977" s="1" t="s">
        <v>5441</v>
      </c>
      <c r="G1977" s="1" t="s">
        <v>5948</v>
      </c>
      <c r="H1977" s="1" t="s">
        <v>6043</v>
      </c>
      <c r="I1977" s="1" t="str">
        <f t="shared" si="1"/>
        <v>16</v>
      </c>
      <c r="J1977" s="5"/>
      <c r="K1977" s="1" t="str">
        <f t="shared" si="2"/>
        <v>8</v>
      </c>
      <c r="L1977" s="5"/>
      <c r="M1977" s="2" t="str">
        <f t="shared" si="3"/>
        <v>1396</v>
      </c>
      <c r="N1977" s="5"/>
      <c r="O1977" s="13">
        <v>737.0</v>
      </c>
      <c r="P1977" s="5"/>
      <c r="Q1977" s="5"/>
      <c r="R1977" s="6" t="s">
        <v>6043</v>
      </c>
      <c r="S1977" s="5"/>
      <c r="T1977" s="1" t="str">
        <f>IFERROR(__xludf.DUMMYFUNCTION("INDEX(SPLIT(A1977, ""/""), 2)"),"کانون‌های فرهنگی هنری")</f>
        <v>کانون‌های فرهنگی هنری</v>
      </c>
      <c r="U1977" s="1" t="str">
        <f>IFERROR(__xludf.DUMMYFUNCTION("INDEX(SPLIT(A1977, ""/""), 3)"),"روزنامه شریف")</f>
        <v>روزنامه شریف</v>
      </c>
      <c r="V1977" s="1" t="str">
        <f>IFERROR(__xludf.DUMMYFUNCTION("INDEX(SPLIT(A1977, ""/""), 4)"),"#REF!")</f>
        <v>#REF!</v>
      </c>
    </row>
    <row r="1978">
      <c r="A1978" s="1" t="s">
        <v>4070</v>
      </c>
      <c r="B1978" s="1" t="s">
        <v>6044</v>
      </c>
      <c r="C1978" s="1" t="s">
        <v>21</v>
      </c>
      <c r="D1978" s="4" t="s">
        <v>6045</v>
      </c>
      <c r="E1978" s="1" t="s">
        <v>71</v>
      </c>
      <c r="F1978" s="1" t="s">
        <v>5441</v>
      </c>
      <c r="G1978" s="1" t="s">
        <v>5948</v>
      </c>
      <c r="H1978" s="1" t="s">
        <v>1571</v>
      </c>
      <c r="I1978" s="1" t="str">
        <f t="shared" si="1"/>
        <v>20</v>
      </c>
      <c r="J1978" s="5"/>
      <c r="K1978" s="1" t="str">
        <f t="shared" si="2"/>
        <v>8</v>
      </c>
      <c r="L1978" s="5"/>
      <c r="M1978" s="2" t="str">
        <f t="shared" si="3"/>
        <v>1396</v>
      </c>
      <c r="N1978" s="5"/>
      <c r="O1978" s="13">
        <v>738.0</v>
      </c>
      <c r="P1978" s="5"/>
      <c r="Q1978" s="5"/>
      <c r="R1978" s="6" t="s">
        <v>1571</v>
      </c>
      <c r="S1978" s="5"/>
      <c r="T1978" s="1" t="str">
        <f>IFERROR(__xludf.DUMMYFUNCTION("INDEX(SPLIT(A1978, ""/""), 2)"),"کانون‌های فرهنگی هنری")</f>
        <v>کانون‌های فرهنگی هنری</v>
      </c>
      <c r="U1978" s="1" t="str">
        <f>IFERROR(__xludf.DUMMYFUNCTION("INDEX(SPLIT(A1978, ""/""), 3)"),"روزنامه شریف")</f>
        <v>روزنامه شریف</v>
      </c>
      <c r="V1978" s="1" t="str">
        <f>IFERROR(__xludf.DUMMYFUNCTION("INDEX(SPLIT(A1978, ""/""), 4)"),"#REF!")</f>
        <v>#REF!</v>
      </c>
    </row>
    <row r="1979">
      <c r="A1979" s="1" t="s">
        <v>4070</v>
      </c>
      <c r="B1979" s="1" t="s">
        <v>6046</v>
      </c>
      <c r="C1979" s="1" t="s">
        <v>21</v>
      </c>
      <c r="D1979" s="4" t="s">
        <v>6047</v>
      </c>
      <c r="E1979" s="1" t="s">
        <v>71</v>
      </c>
      <c r="F1979" s="1" t="s">
        <v>5441</v>
      </c>
      <c r="G1979" s="1" t="s">
        <v>5948</v>
      </c>
      <c r="H1979" s="1" t="s">
        <v>6048</v>
      </c>
      <c r="I1979" s="1" t="str">
        <f t="shared" si="1"/>
        <v>23</v>
      </c>
      <c r="J1979" s="5"/>
      <c r="K1979" s="1" t="str">
        <f t="shared" si="2"/>
        <v>8</v>
      </c>
      <c r="L1979" s="5"/>
      <c r="M1979" s="2" t="str">
        <f t="shared" si="3"/>
        <v>1396</v>
      </c>
      <c r="N1979" s="5"/>
      <c r="O1979" s="13">
        <v>739.0</v>
      </c>
      <c r="P1979" s="5"/>
      <c r="Q1979" s="5"/>
      <c r="R1979" s="6" t="s">
        <v>6048</v>
      </c>
      <c r="S1979" s="5"/>
      <c r="T1979" s="1" t="str">
        <f>IFERROR(__xludf.DUMMYFUNCTION("INDEX(SPLIT(A1979, ""/""), 2)"),"کانون‌های فرهنگی هنری")</f>
        <v>کانون‌های فرهنگی هنری</v>
      </c>
      <c r="U1979" s="1" t="str">
        <f>IFERROR(__xludf.DUMMYFUNCTION("INDEX(SPLIT(A1979, ""/""), 3)"),"روزنامه شریف")</f>
        <v>روزنامه شریف</v>
      </c>
      <c r="V1979" s="1" t="str">
        <f>IFERROR(__xludf.DUMMYFUNCTION("INDEX(SPLIT(A1979, ""/""), 4)"),"#REF!")</f>
        <v>#REF!</v>
      </c>
    </row>
    <row r="1980">
      <c r="A1980" s="1" t="s">
        <v>4070</v>
      </c>
      <c r="B1980" s="1" t="s">
        <v>6049</v>
      </c>
      <c r="C1980" s="1" t="s">
        <v>21</v>
      </c>
      <c r="D1980" s="4" t="s">
        <v>6050</v>
      </c>
      <c r="E1980" s="1" t="s">
        <v>71</v>
      </c>
      <c r="F1980" s="1" t="s">
        <v>5441</v>
      </c>
      <c r="G1980" s="1" t="s">
        <v>5948</v>
      </c>
      <c r="H1980" s="1" t="s">
        <v>6051</v>
      </c>
      <c r="I1980" s="1" t="str">
        <f t="shared" si="1"/>
        <v>30</v>
      </c>
      <c r="J1980" s="5"/>
      <c r="K1980" s="1" t="str">
        <f t="shared" si="2"/>
        <v>8</v>
      </c>
      <c r="L1980" s="5"/>
      <c r="M1980" s="2" t="str">
        <f t="shared" si="3"/>
        <v>1396</v>
      </c>
      <c r="N1980" s="5"/>
      <c r="O1980" s="13">
        <v>740.0</v>
      </c>
      <c r="P1980" s="5"/>
      <c r="Q1980" s="5"/>
      <c r="R1980" s="6" t="s">
        <v>6051</v>
      </c>
      <c r="S1980" s="5"/>
      <c r="T1980" s="1" t="str">
        <f>IFERROR(__xludf.DUMMYFUNCTION("INDEX(SPLIT(A1980, ""/""), 2)"),"کانون‌های فرهنگی هنری")</f>
        <v>کانون‌های فرهنگی هنری</v>
      </c>
      <c r="U1980" s="1" t="str">
        <f>IFERROR(__xludf.DUMMYFUNCTION("INDEX(SPLIT(A1980, ""/""), 3)"),"روزنامه شریف")</f>
        <v>روزنامه شریف</v>
      </c>
      <c r="V1980" s="1" t="str">
        <f>IFERROR(__xludf.DUMMYFUNCTION("INDEX(SPLIT(A1980, ""/""), 4)"),"#REF!")</f>
        <v>#REF!</v>
      </c>
    </row>
    <row r="1981">
      <c r="A1981" s="1" t="s">
        <v>4070</v>
      </c>
      <c r="B1981" s="1" t="s">
        <v>6052</v>
      </c>
      <c r="C1981" s="1" t="s">
        <v>21</v>
      </c>
      <c r="D1981" s="4" t="s">
        <v>6053</v>
      </c>
      <c r="E1981" s="1" t="s">
        <v>71</v>
      </c>
      <c r="F1981" s="1" t="s">
        <v>5441</v>
      </c>
      <c r="G1981" s="1" t="s">
        <v>5948</v>
      </c>
      <c r="H1981" s="7" t="s">
        <v>6054</v>
      </c>
      <c r="I1981" s="1" t="str">
        <f t="shared" si="1"/>
        <v>4</v>
      </c>
      <c r="J1981" s="5"/>
      <c r="K1981" s="1" t="str">
        <f t="shared" si="2"/>
        <v>9</v>
      </c>
      <c r="L1981" s="5"/>
      <c r="M1981" s="2" t="str">
        <f t="shared" si="3"/>
        <v>1396</v>
      </c>
      <c r="N1981" s="5"/>
      <c r="O1981" s="13">
        <v>741.0</v>
      </c>
      <c r="P1981" s="5"/>
      <c r="Q1981" s="5"/>
      <c r="R1981" s="8" t="s">
        <v>6054</v>
      </c>
      <c r="S1981" s="5"/>
      <c r="T1981" s="1" t="str">
        <f>IFERROR(__xludf.DUMMYFUNCTION("INDEX(SPLIT(A1981, ""/""), 2)"),"کانون‌های فرهنگی هنری")</f>
        <v>کانون‌های فرهنگی هنری</v>
      </c>
      <c r="U1981" s="1" t="str">
        <f>IFERROR(__xludf.DUMMYFUNCTION("INDEX(SPLIT(A1981, ""/""), 3)"),"روزنامه شریف")</f>
        <v>روزنامه شریف</v>
      </c>
      <c r="V1981" s="1" t="str">
        <f>IFERROR(__xludf.DUMMYFUNCTION("INDEX(SPLIT(A1981, ""/""), 4)"),"#REF!")</f>
        <v>#REF!</v>
      </c>
    </row>
    <row r="1982">
      <c r="A1982" s="1" t="s">
        <v>4070</v>
      </c>
      <c r="B1982" s="1" t="s">
        <v>6055</v>
      </c>
      <c r="C1982" s="1" t="s">
        <v>21</v>
      </c>
      <c r="D1982" s="4" t="s">
        <v>6056</v>
      </c>
      <c r="E1982" s="1" t="s">
        <v>71</v>
      </c>
      <c r="F1982" s="1" t="s">
        <v>5441</v>
      </c>
      <c r="G1982" s="1" t="s">
        <v>5948</v>
      </c>
      <c r="H1982" s="7" t="s">
        <v>6057</v>
      </c>
      <c r="I1982" s="1" t="str">
        <f t="shared" si="1"/>
        <v>7</v>
      </c>
      <c r="J1982" s="5"/>
      <c r="K1982" s="1" t="str">
        <f t="shared" si="2"/>
        <v>9</v>
      </c>
      <c r="L1982" s="5"/>
      <c r="M1982" s="2" t="str">
        <f t="shared" si="3"/>
        <v>1396</v>
      </c>
      <c r="N1982" s="5"/>
      <c r="O1982" s="13">
        <v>742.0</v>
      </c>
      <c r="P1982" s="5"/>
      <c r="Q1982" s="5"/>
      <c r="R1982" s="8" t="s">
        <v>6057</v>
      </c>
      <c r="S1982" s="5"/>
      <c r="T1982" s="1" t="str">
        <f>IFERROR(__xludf.DUMMYFUNCTION("INDEX(SPLIT(A1982, ""/""), 2)"),"کانون‌های فرهنگی هنری")</f>
        <v>کانون‌های فرهنگی هنری</v>
      </c>
      <c r="U1982" s="1" t="str">
        <f>IFERROR(__xludf.DUMMYFUNCTION("INDEX(SPLIT(A1982, ""/""), 3)"),"روزنامه شریف")</f>
        <v>روزنامه شریف</v>
      </c>
      <c r="V1982" s="1" t="str">
        <f>IFERROR(__xludf.DUMMYFUNCTION("INDEX(SPLIT(A1982, ""/""), 4)"),"#REF!")</f>
        <v>#REF!</v>
      </c>
    </row>
    <row r="1983">
      <c r="A1983" s="1" t="s">
        <v>4070</v>
      </c>
      <c r="B1983" s="1" t="s">
        <v>6058</v>
      </c>
      <c r="C1983" s="1" t="s">
        <v>21</v>
      </c>
      <c r="D1983" s="4" t="s">
        <v>6059</v>
      </c>
      <c r="E1983" s="1" t="s">
        <v>71</v>
      </c>
      <c r="F1983" s="1" t="s">
        <v>5441</v>
      </c>
      <c r="G1983" s="1" t="s">
        <v>5948</v>
      </c>
      <c r="H1983" s="7" t="s">
        <v>1769</v>
      </c>
      <c r="I1983" s="1" t="str">
        <f t="shared" si="1"/>
        <v>11</v>
      </c>
      <c r="J1983" s="5"/>
      <c r="K1983" s="1" t="str">
        <f t="shared" si="2"/>
        <v>9</v>
      </c>
      <c r="L1983" s="5"/>
      <c r="M1983" s="2" t="str">
        <f t="shared" si="3"/>
        <v>1396</v>
      </c>
      <c r="N1983" s="5"/>
      <c r="O1983" s="13">
        <v>743.0</v>
      </c>
      <c r="P1983" s="5"/>
      <c r="Q1983" s="5"/>
      <c r="R1983" s="8" t="s">
        <v>1769</v>
      </c>
      <c r="S1983" s="5"/>
      <c r="T1983" s="1" t="str">
        <f>IFERROR(__xludf.DUMMYFUNCTION("INDEX(SPLIT(A1983, ""/""), 2)"),"کانون‌های فرهنگی هنری")</f>
        <v>کانون‌های فرهنگی هنری</v>
      </c>
      <c r="U1983" s="1" t="str">
        <f>IFERROR(__xludf.DUMMYFUNCTION("INDEX(SPLIT(A1983, ""/""), 3)"),"روزنامه شریف")</f>
        <v>روزنامه شریف</v>
      </c>
      <c r="V1983" s="1" t="str">
        <f>IFERROR(__xludf.DUMMYFUNCTION("INDEX(SPLIT(A1983, ""/""), 4)"),"#REF!")</f>
        <v>#REF!</v>
      </c>
    </row>
    <row r="1984">
      <c r="A1984" s="1" t="s">
        <v>4070</v>
      </c>
      <c r="B1984" s="1" t="s">
        <v>6060</v>
      </c>
      <c r="C1984" s="1" t="s">
        <v>21</v>
      </c>
      <c r="D1984" s="4" t="s">
        <v>6061</v>
      </c>
      <c r="E1984" s="1" t="s">
        <v>71</v>
      </c>
      <c r="F1984" s="1" t="s">
        <v>5441</v>
      </c>
      <c r="G1984" s="1" t="s">
        <v>5948</v>
      </c>
      <c r="H1984" s="1" t="s">
        <v>6062</v>
      </c>
      <c r="I1984" s="1" t="str">
        <f t="shared" si="1"/>
        <v>14</v>
      </c>
      <c r="J1984" s="5"/>
      <c r="K1984" s="1" t="str">
        <f t="shared" si="2"/>
        <v>9</v>
      </c>
      <c r="L1984" s="5"/>
      <c r="M1984" s="2" t="str">
        <f t="shared" si="3"/>
        <v>1396</v>
      </c>
      <c r="N1984" s="5"/>
      <c r="O1984" s="13">
        <v>744.0</v>
      </c>
      <c r="P1984" s="5"/>
      <c r="Q1984" s="5"/>
      <c r="R1984" s="6" t="s">
        <v>6062</v>
      </c>
      <c r="S1984" s="5"/>
      <c r="T1984" s="1" t="str">
        <f>IFERROR(__xludf.DUMMYFUNCTION("INDEX(SPLIT(A1984, ""/""), 2)"),"کانون‌های فرهنگی هنری")</f>
        <v>کانون‌های فرهنگی هنری</v>
      </c>
      <c r="U1984" s="1" t="str">
        <f>IFERROR(__xludf.DUMMYFUNCTION("INDEX(SPLIT(A1984, ""/""), 3)"),"روزنامه شریف")</f>
        <v>روزنامه شریف</v>
      </c>
      <c r="V1984" s="1" t="str">
        <f>IFERROR(__xludf.DUMMYFUNCTION("INDEX(SPLIT(A1984, ""/""), 4)"),"#REF!")</f>
        <v>#REF!</v>
      </c>
    </row>
    <row r="1985">
      <c r="A1985" s="1" t="s">
        <v>4070</v>
      </c>
      <c r="B1985" s="1" t="s">
        <v>6063</v>
      </c>
      <c r="C1985" s="1" t="s">
        <v>21</v>
      </c>
      <c r="D1985" s="4" t="s">
        <v>6064</v>
      </c>
      <c r="E1985" s="1" t="s">
        <v>71</v>
      </c>
      <c r="F1985" s="1" t="s">
        <v>5441</v>
      </c>
      <c r="G1985" s="1" t="s">
        <v>5948</v>
      </c>
      <c r="H1985" s="1" t="s">
        <v>6065</v>
      </c>
      <c r="I1985" s="1" t="str">
        <f t="shared" si="1"/>
        <v>18</v>
      </c>
      <c r="J1985" s="5"/>
      <c r="K1985" s="1" t="str">
        <f t="shared" si="2"/>
        <v>9</v>
      </c>
      <c r="L1985" s="5"/>
      <c r="M1985" s="2" t="str">
        <f t="shared" si="3"/>
        <v>1396</v>
      </c>
      <c r="N1985" s="5"/>
      <c r="O1985" s="13">
        <v>745.0</v>
      </c>
      <c r="P1985" s="5"/>
      <c r="Q1985" s="5"/>
      <c r="R1985" s="6" t="s">
        <v>6065</v>
      </c>
      <c r="S1985" s="5"/>
      <c r="T1985" s="1" t="str">
        <f>IFERROR(__xludf.DUMMYFUNCTION("INDEX(SPLIT(A1985, ""/""), 2)"),"کانون‌های فرهنگی هنری")</f>
        <v>کانون‌های فرهنگی هنری</v>
      </c>
      <c r="U1985" s="1" t="str">
        <f>IFERROR(__xludf.DUMMYFUNCTION("INDEX(SPLIT(A1985, ""/""), 3)"),"روزنامه شریف")</f>
        <v>روزنامه شریف</v>
      </c>
      <c r="V1985" s="1" t="str">
        <f>IFERROR(__xludf.DUMMYFUNCTION("INDEX(SPLIT(A1985, ""/""), 4)"),"#REF!")</f>
        <v>#REF!</v>
      </c>
    </row>
    <row r="1986">
      <c r="A1986" s="1" t="s">
        <v>4070</v>
      </c>
      <c r="B1986" s="1" t="s">
        <v>6066</v>
      </c>
      <c r="C1986" s="1" t="s">
        <v>21</v>
      </c>
      <c r="D1986" s="4" t="s">
        <v>6067</v>
      </c>
      <c r="E1986" s="1" t="s">
        <v>71</v>
      </c>
      <c r="F1986" s="1" t="s">
        <v>5441</v>
      </c>
      <c r="G1986" s="1" t="s">
        <v>5948</v>
      </c>
      <c r="H1986" s="1" t="s">
        <v>6068</v>
      </c>
      <c r="I1986" s="1" t="str">
        <f t="shared" si="1"/>
        <v>21</v>
      </c>
      <c r="J1986" s="5"/>
      <c r="K1986" s="1" t="str">
        <f t="shared" si="2"/>
        <v>9</v>
      </c>
      <c r="L1986" s="5"/>
      <c r="M1986" s="2" t="str">
        <f t="shared" si="3"/>
        <v>1396</v>
      </c>
      <c r="N1986" s="5"/>
      <c r="O1986" s="13">
        <v>746.0</v>
      </c>
      <c r="P1986" s="5"/>
      <c r="Q1986" s="5"/>
      <c r="R1986" s="6" t="s">
        <v>6068</v>
      </c>
      <c r="S1986" s="5"/>
      <c r="T1986" s="1" t="str">
        <f>IFERROR(__xludf.DUMMYFUNCTION("INDEX(SPLIT(A1986, ""/""), 2)"),"کانون‌های فرهنگی هنری")</f>
        <v>کانون‌های فرهنگی هنری</v>
      </c>
      <c r="U1986" s="1" t="str">
        <f>IFERROR(__xludf.DUMMYFUNCTION("INDEX(SPLIT(A1986, ""/""), 3)"),"روزنامه شریف")</f>
        <v>روزنامه شریف</v>
      </c>
      <c r="V1986" s="1" t="str">
        <f>IFERROR(__xludf.DUMMYFUNCTION("INDEX(SPLIT(A1986, ""/""), 4)"),"#REF!")</f>
        <v>#REF!</v>
      </c>
    </row>
    <row r="1987">
      <c r="A1987" s="1" t="s">
        <v>4070</v>
      </c>
      <c r="B1987" s="1" t="s">
        <v>6069</v>
      </c>
      <c r="C1987" s="1" t="s">
        <v>21</v>
      </c>
      <c r="D1987" s="4" t="s">
        <v>6070</v>
      </c>
      <c r="E1987" s="1" t="s">
        <v>71</v>
      </c>
      <c r="F1987" s="1" t="s">
        <v>5441</v>
      </c>
      <c r="G1987" s="1" t="s">
        <v>5948</v>
      </c>
      <c r="H1987" s="1" t="s">
        <v>6071</v>
      </c>
      <c r="I1987" s="1" t="str">
        <f t="shared" si="1"/>
        <v>25</v>
      </c>
      <c r="J1987" s="5"/>
      <c r="K1987" s="1" t="str">
        <f t="shared" si="2"/>
        <v>9</v>
      </c>
      <c r="L1987" s="5"/>
      <c r="M1987" s="2" t="str">
        <f t="shared" si="3"/>
        <v>1396</v>
      </c>
      <c r="N1987" s="5"/>
      <c r="O1987" s="13">
        <v>747.0</v>
      </c>
      <c r="P1987" s="5"/>
      <c r="Q1987" s="5"/>
      <c r="R1987" s="6" t="s">
        <v>6071</v>
      </c>
      <c r="S1987" s="5"/>
      <c r="T1987" s="1" t="str">
        <f>IFERROR(__xludf.DUMMYFUNCTION("INDEX(SPLIT(A1987, ""/""), 2)"),"کانون‌های فرهنگی هنری")</f>
        <v>کانون‌های فرهنگی هنری</v>
      </c>
      <c r="U1987" s="1" t="str">
        <f>IFERROR(__xludf.DUMMYFUNCTION("INDEX(SPLIT(A1987, ""/""), 3)"),"روزنامه شریف")</f>
        <v>روزنامه شریف</v>
      </c>
      <c r="V1987" s="1" t="str">
        <f>IFERROR(__xludf.DUMMYFUNCTION("INDEX(SPLIT(A1987, ""/""), 4)"),"#REF!")</f>
        <v>#REF!</v>
      </c>
    </row>
    <row r="1988">
      <c r="A1988" s="1" t="s">
        <v>4070</v>
      </c>
      <c r="B1988" s="1" t="s">
        <v>6072</v>
      </c>
      <c r="C1988" s="1" t="s">
        <v>21</v>
      </c>
      <c r="D1988" s="4" t="s">
        <v>6073</v>
      </c>
      <c r="E1988" s="1" t="s">
        <v>71</v>
      </c>
      <c r="F1988" s="1" t="s">
        <v>5441</v>
      </c>
      <c r="G1988" s="1" t="s">
        <v>5948</v>
      </c>
      <c r="H1988" s="1" t="s">
        <v>6074</v>
      </c>
      <c r="I1988" s="1" t="str">
        <f t="shared" si="1"/>
        <v>28</v>
      </c>
      <c r="J1988" s="5"/>
      <c r="K1988" s="1" t="str">
        <f t="shared" si="2"/>
        <v>9</v>
      </c>
      <c r="L1988" s="5"/>
      <c r="M1988" s="2" t="str">
        <f t="shared" si="3"/>
        <v>1396</v>
      </c>
      <c r="N1988" s="5"/>
      <c r="O1988" s="13">
        <v>748.0</v>
      </c>
      <c r="P1988" s="5"/>
      <c r="Q1988" s="5"/>
      <c r="R1988" s="6" t="s">
        <v>6074</v>
      </c>
      <c r="S1988" s="5"/>
      <c r="T1988" s="1" t="str">
        <f>IFERROR(__xludf.DUMMYFUNCTION("INDEX(SPLIT(A1988, ""/""), 2)"),"کانون‌های فرهنگی هنری")</f>
        <v>کانون‌های فرهنگی هنری</v>
      </c>
      <c r="U1988" s="1" t="str">
        <f>IFERROR(__xludf.DUMMYFUNCTION("INDEX(SPLIT(A1988, ""/""), 3)"),"روزنامه شریف")</f>
        <v>روزنامه شریف</v>
      </c>
      <c r="V1988" s="1" t="str">
        <f>IFERROR(__xludf.DUMMYFUNCTION("INDEX(SPLIT(A1988, ""/""), 4)"),"#REF!")</f>
        <v>#REF!</v>
      </c>
    </row>
    <row r="1989">
      <c r="A1989" s="1" t="s">
        <v>4070</v>
      </c>
      <c r="B1989" s="1" t="s">
        <v>6075</v>
      </c>
      <c r="C1989" s="1" t="s">
        <v>21</v>
      </c>
      <c r="D1989" s="4" t="s">
        <v>6076</v>
      </c>
      <c r="E1989" s="1" t="s">
        <v>71</v>
      </c>
      <c r="F1989" s="1" t="s">
        <v>5441</v>
      </c>
      <c r="G1989" s="1" t="s">
        <v>5948</v>
      </c>
      <c r="H1989" s="7" t="s">
        <v>1248</v>
      </c>
      <c r="I1989" s="1" t="str">
        <f t="shared" si="1"/>
        <v>2</v>
      </c>
      <c r="J1989" s="5"/>
      <c r="K1989" s="1" t="str">
        <f t="shared" si="2"/>
        <v>10</v>
      </c>
      <c r="L1989" s="5"/>
      <c r="M1989" s="2" t="str">
        <f t="shared" si="3"/>
        <v>1396</v>
      </c>
      <c r="N1989" s="5"/>
      <c r="O1989" s="13">
        <v>749.0</v>
      </c>
      <c r="P1989" s="5"/>
      <c r="Q1989" s="5"/>
      <c r="R1989" s="8" t="s">
        <v>1248</v>
      </c>
      <c r="S1989" s="5"/>
      <c r="T1989" s="1" t="str">
        <f>IFERROR(__xludf.DUMMYFUNCTION("INDEX(SPLIT(A1989, ""/""), 2)"),"کانون‌های فرهنگی هنری")</f>
        <v>کانون‌های فرهنگی هنری</v>
      </c>
      <c r="U1989" s="1" t="str">
        <f>IFERROR(__xludf.DUMMYFUNCTION("INDEX(SPLIT(A1989, ""/""), 3)"),"روزنامه شریف")</f>
        <v>روزنامه شریف</v>
      </c>
      <c r="V1989" s="1" t="str">
        <f>IFERROR(__xludf.DUMMYFUNCTION("INDEX(SPLIT(A1989, ""/""), 4)"),"#REF!")</f>
        <v>#REF!</v>
      </c>
    </row>
    <row r="1990">
      <c r="A1990" s="1" t="s">
        <v>4070</v>
      </c>
      <c r="B1990" s="1" t="s">
        <v>6077</v>
      </c>
      <c r="C1990" s="1" t="s">
        <v>21</v>
      </c>
      <c r="D1990" s="4" t="s">
        <v>6078</v>
      </c>
      <c r="E1990" s="1" t="s">
        <v>71</v>
      </c>
      <c r="F1990" s="1" t="s">
        <v>5441</v>
      </c>
      <c r="G1990" s="1" t="s">
        <v>5948</v>
      </c>
      <c r="H1990" s="7" t="s">
        <v>6079</v>
      </c>
      <c r="I1990" s="1" t="str">
        <f t="shared" si="1"/>
        <v>5</v>
      </c>
      <c r="J1990" s="5"/>
      <c r="K1990" s="1" t="str">
        <f t="shared" si="2"/>
        <v>10</v>
      </c>
      <c r="L1990" s="5"/>
      <c r="M1990" s="2" t="str">
        <f t="shared" si="3"/>
        <v>1396</v>
      </c>
      <c r="N1990" s="5"/>
      <c r="O1990" s="13">
        <v>750.0</v>
      </c>
      <c r="P1990" s="5"/>
      <c r="Q1990" s="5"/>
      <c r="R1990" s="8" t="s">
        <v>6079</v>
      </c>
      <c r="S1990" s="5"/>
      <c r="T1990" s="1" t="str">
        <f>IFERROR(__xludf.DUMMYFUNCTION("INDEX(SPLIT(A1990, ""/""), 2)"),"کانون‌های فرهنگی هنری")</f>
        <v>کانون‌های فرهنگی هنری</v>
      </c>
      <c r="U1990" s="1" t="str">
        <f>IFERROR(__xludf.DUMMYFUNCTION("INDEX(SPLIT(A1990, ""/""), 3)"),"روزنامه شریف")</f>
        <v>روزنامه شریف</v>
      </c>
      <c r="V1990" s="1" t="str">
        <f>IFERROR(__xludf.DUMMYFUNCTION("INDEX(SPLIT(A1990, ""/""), 4)"),"#REF!")</f>
        <v>#REF!</v>
      </c>
    </row>
    <row r="1991">
      <c r="A1991" s="1" t="s">
        <v>4070</v>
      </c>
      <c r="B1991" s="1" t="s">
        <v>6080</v>
      </c>
      <c r="C1991" s="1" t="s">
        <v>21</v>
      </c>
      <c r="D1991" s="4" t="s">
        <v>6081</v>
      </c>
      <c r="E1991" s="1" t="s">
        <v>71</v>
      </c>
      <c r="F1991" s="1" t="s">
        <v>5441</v>
      </c>
      <c r="G1991" s="1" t="s">
        <v>5948</v>
      </c>
      <c r="H1991" s="7" t="s">
        <v>6082</v>
      </c>
      <c r="I1991" s="1" t="str">
        <f t="shared" si="1"/>
        <v>5</v>
      </c>
      <c r="J1991" s="5"/>
      <c r="K1991" s="1" t="str">
        <f t="shared" si="2"/>
        <v>12</v>
      </c>
      <c r="L1991" s="5"/>
      <c r="M1991" s="2" t="str">
        <f t="shared" si="3"/>
        <v>1396</v>
      </c>
      <c r="N1991" s="5"/>
      <c r="O1991" s="13">
        <v>751.0</v>
      </c>
      <c r="P1991" s="5"/>
      <c r="Q1991" s="5"/>
      <c r="R1991" s="8" t="s">
        <v>6082</v>
      </c>
      <c r="S1991" s="5"/>
      <c r="T1991" s="1" t="str">
        <f>IFERROR(__xludf.DUMMYFUNCTION("INDEX(SPLIT(A1991, ""/""), 2)"),"کانون‌های فرهنگی هنری")</f>
        <v>کانون‌های فرهنگی هنری</v>
      </c>
      <c r="U1991" s="1" t="str">
        <f>IFERROR(__xludf.DUMMYFUNCTION("INDEX(SPLIT(A1991, ""/""), 3)"),"روزنامه شریف")</f>
        <v>روزنامه شریف</v>
      </c>
      <c r="V1991" s="1" t="str">
        <f>IFERROR(__xludf.DUMMYFUNCTION("INDEX(SPLIT(A1991, ""/""), 4)"),"#REF!")</f>
        <v>#REF!</v>
      </c>
    </row>
    <row r="1992">
      <c r="A1992" s="1" t="s">
        <v>4070</v>
      </c>
      <c r="B1992" s="1" t="s">
        <v>6083</v>
      </c>
      <c r="C1992" s="1" t="s">
        <v>21</v>
      </c>
      <c r="D1992" s="4" t="s">
        <v>6084</v>
      </c>
      <c r="E1992" s="1" t="s">
        <v>71</v>
      </c>
      <c r="F1992" s="1" t="s">
        <v>5441</v>
      </c>
      <c r="G1992" s="1" t="s">
        <v>5948</v>
      </c>
      <c r="H1992" s="7" t="s">
        <v>3414</v>
      </c>
      <c r="I1992" s="1" t="str">
        <f t="shared" si="1"/>
        <v>12</v>
      </c>
      <c r="J1992" s="5"/>
      <c r="K1992" s="1" t="str">
        <f t="shared" si="2"/>
        <v>12</v>
      </c>
      <c r="L1992" s="5"/>
      <c r="M1992" s="2" t="str">
        <f t="shared" si="3"/>
        <v>1396</v>
      </c>
      <c r="N1992" s="5"/>
      <c r="O1992" s="13">
        <v>752.0</v>
      </c>
      <c r="P1992" s="5"/>
      <c r="Q1992" s="5"/>
      <c r="R1992" s="8" t="s">
        <v>3414</v>
      </c>
      <c r="S1992" s="5"/>
      <c r="T1992" s="1" t="str">
        <f>IFERROR(__xludf.DUMMYFUNCTION("INDEX(SPLIT(A1992, ""/""), 2)"),"کانون‌های فرهنگی هنری")</f>
        <v>کانون‌های فرهنگی هنری</v>
      </c>
      <c r="U1992" s="1" t="str">
        <f>IFERROR(__xludf.DUMMYFUNCTION("INDEX(SPLIT(A1992, ""/""), 3)"),"روزنامه شریف")</f>
        <v>روزنامه شریف</v>
      </c>
      <c r="V1992" s="1" t="str">
        <f>IFERROR(__xludf.DUMMYFUNCTION("INDEX(SPLIT(A1992, ""/""), 4)"),"#REF!")</f>
        <v>#REF!</v>
      </c>
    </row>
    <row r="1993">
      <c r="A1993" s="1" t="s">
        <v>4070</v>
      </c>
      <c r="B1993" s="1" t="s">
        <v>6085</v>
      </c>
      <c r="C1993" s="1" t="s">
        <v>21</v>
      </c>
      <c r="D1993" s="4" t="s">
        <v>6086</v>
      </c>
      <c r="E1993" s="1" t="s">
        <v>71</v>
      </c>
      <c r="F1993" s="1" t="s">
        <v>5441</v>
      </c>
      <c r="G1993" s="1" t="s">
        <v>5948</v>
      </c>
      <c r="H1993" s="1" t="s">
        <v>288</v>
      </c>
      <c r="I1993" s="1" t="str">
        <f t="shared" si="1"/>
        <v>15</v>
      </c>
      <c r="J1993" s="5"/>
      <c r="K1993" s="1" t="str">
        <f t="shared" si="2"/>
        <v>12</v>
      </c>
      <c r="L1993" s="5"/>
      <c r="M1993" s="2" t="str">
        <f t="shared" si="3"/>
        <v>1396</v>
      </c>
      <c r="N1993" s="5"/>
      <c r="O1993" s="13">
        <v>753.0</v>
      </c>
      <c r="P1993" s="5"/>
      <c r="Q1993" s="5"/>
      <c r="R1993" s="6" t="s">
        <v>288</v>
      </c>
      <c r="S1993" s="5"/>
      <c r="T1993" s="1" t="str">
        <f>IFERROR(__xludf.DUMMYFUNCTION("INDEX(SPLIT(A1993, ""/""), 2)"),"کانون‌های فرهنگی هنری")</f>
        <v>کانون‌های فرهنگی هنری</v>
      </c>
      <c r="U1993" s="1" t="str">
        <f>IFERROR(__xludf.DUMMYFUNCTION("INDEX(SPLIT(A1993, ""/""), 3)"),"روزنامه شریف")</f>
        <v>روزنامه شریف</v>
      </c>
      <c r="V1993" s="1" t="str">
        <f>IFERROR(__xludf.DUMMYFUNCTION("INDEX(SPLIT(A1993, ""/""), 4)"),"#REF!")</f>
        <v>#REF!</v>
      </c>
    </row>
    <row r="1994">
      <c r="A1994" s="1" t="s">
        <v>4070</v>
      </c>
      <c r="B1994" s="1" t="s">
        <v>6087</v>
      </c>
      <c r="C1994" s="1" t="s">
        <v>21</v>
      </c>
      <c r="D1994" s="4" t="s">
        <v>6088</v>
      </c>
      <c r="E1994" s="1" t="s">
        <v>71</v>
      </c>
      <c r="F1994" s="1" t="s">
        <v>5441</v>
      </c>
      <c r="G1994" s="1" t="s">
        <v>5948</v>
      </c>
      <c r="H1994" s="1" t="s">
        <v>6089</v>
      </c>
      <c r="I1994" s="1" t="str">
        <f t="shared" si="1"/>
        <v>19</v>
      </c>
      <c r="J1994" s="5"/>
      <c r="K1994" s="1" t="str">
        <f t="shared" si="2"/>
        <v>12</v>
      </c>
      <c r="L1994" s="5"/>
      <c r="M1994" s="2" t="str">
        <f t="shared" si="3"/>
        <v>1396</v>
      </c>
      <c r="N1994" s="5"/>
      <c r="O1994" s="13">
        <v>754.0</v>
      </c>
      <c r="P1994" s="5"/>
      <c r="Q1994" s="5"/>
      <c r="R1994" s="6" t="s">
        <v>6089</v>
      </c>
      <c r="S1994" s="5"/>
      <c r="T1994" s="1" t="str">
        <f>IFERROR(__xludf.DUMMYFUNCTION("INDEX(SPLIT(A1994, ""/""), 2)"),"کانون‌های فرهنگی هنری")</f>
        <v>کانون‌های فرهنگی هنری</v>
      </c>
      <c r="U1994" s="1" t="str">
        <f>IFERROR(__xludf.DUMMYFUNCTION("INDEX(SPLIT(A1994, ""/""), 3)"),"روزنامه شریف")</f>
        <v>روزنامه شریف</v>
      </c>
      <c r="V1994" s="1" t="str">
        <f>IFERROR(__xludf.DUMMYFUNCTION("INDEX(SPLIT(A1994, ""/""), 4)"),"#REF!")</f>
        <v>#REF!</v>
      </c>
    </row>
    <row r="1995">
      <c r="A1995" s="1" t="s">
        <v>4070</v>
      </c>
      <c r="B1995" s="1" t="s">
        <v>6090</v>
      </c>
      <c r="C1995" s="1" t="s">
        <v>21</v>
      </c>
      <c r="D1995" s="4" t="s">
        <v>6091</v>
      </c>
      <c r="E1995" s="1" t="s">
        <v>71</v>
      </c>
      <c r="F1995" s="1" t="s">
        <v>5441</v>
      </c>
      <c r="G1995" s="1" t="s">
        <v>5948</v>
      </c>
      <c r="H1995" s="1" t="s">
        <v>6092</v>
      </c>
      <c r="I1995" s="1" t="str">
        <f t="shared" si="1"/>
        <v>22</v>
      </c>
      <c r="J1995" s="5"/>
      <c r="K1995" s="1" t="str">
        <f t="shared" si="2"/>
        <v>12</v>
      </c>
      <c r="L1995" s="5"/>
      <c r="M1995" s="2" t="str">
        <f t="shared" si="3"/>
        <v>1396</v>
      </c>
      <c r="N1995" s="5"/>
      <c r="O1995" s="13">
        <v>755.0</v>
      </c>
      <c r="P1995" s="5"/>
      <c r="Q1995" s="5"/>
      <c r="R1995" s="6" t="s">
        <v>6092</v>
      </c>
      <c r="S1995" s="5"/>
      <c r="T1995" s="1" t="str">
        <f>IFERROR(__xludf.DUMMYFUNCTION("INDEX(SPLIT(A1995, ""/""), 2)"),"کانون‌های فرهنگی هنری")</f>
        <v>کانون‌های فرهنگی هنری</v>
      </c>
      <c r="U1995" s="1" t="str">
        <f>IFERROR(__xludf.DUMMYFUNCTION("INDEX(SPLIT(A1995, ""/""), 3)"),"روزنامه شریف")</f>
        <v>روزنامه شریف</v>
      </c>
      <c r="V1995" s="1" t="str">
        <f>IFERROR(__xludf.DUMMYFUNCTION("INDEX(SPLIT(A1995, ""/""), 4)"),"#REF!")</f>
        <v>#REF!</v>
      </c>
    </row>
    <row r="1996">
      <c r="A1996" s="1" t="s">
        <v>4070</v>
      </c>
      <c r="B1996" s="1" t="s">
        <v>6093</v>
      </c>
      <c r="C1996" s="1" t="s">
        <v>21</v>
      </c>
      <c r="D1996" s="4" t="s">
        <v>6094</v>
      </c>
      <c r="E1996" s="1" t="s">
        <v>71</v>
      </c>
      <c r="F1996" s="1" t="s">
        <v>5441</v>
      </c>
      <c r="G1996" s="1" t="s">
        <v>5948</v>
      </c>
      <c r="H1996" s="1" t="s">
        <v>6095</v>
      </c>
      <c r="I1996" s="1" t="str">
        <f t="shared" si="1"/>
        <v>21</v>
      </c>
      <c r="J1996" s="5"/>
      <c r="K1996" s="1" t="str">
        <f t="shared" si="2"/>
        <v>1</v>
      </c>
      <c r="L1996" s="5"/>
      <c r="M1996" s="2" t="str">
        <f t="shared" si="3"/>
        <v>1397</v>
      </c>
      <c r="N1996" s="5"/>
      <c r="O1996" s="13">
        <v>756.0</v>
      </c>
      <c r="P1996" s="5"/>
      <c r="Q1996" s="5"/>
      <c r="R1996" s="6" t="s">
        <v>6095</v>
      </c>
      <c r="S1996" s="5"/>
      <c r="T1996" s="1" t="str">
        <f>IFERROR(__xludf.DUMMYFUNCTION("INDEX(SPLIT(A1996, ""/""), 2)"),"کانون‌های فرهنگی هنری")</f>
        <v>کانون‌های فرهنگی هنری</v>
      </c>
      <c r="U1996" s="1" t="str">
        <f>IFERROR(__xludf.DUMMYFUNCTION("INDEX(SPLIT(A1996, ""/""), 3)"),"روزنامه شریف")</f>
        <v>روزنامه شریف</v>
      </c>
      <c r="V1996" s="1" t="str">
        <f>IFERROR(__xludf.DUMMYFUNCTION("INDEX(SPLIT(A1996, ""/""), 4)"),"#REF!")</f>
        <v>#REF!</v>
      </c>
    </row>
    <row r="1997">
      <c r="A1997" s="1" t="s">
        <v>4070</v>
      </c>
      <c r="B1997" s="1" t="s">
        <v>6096</v>
      </c>
      <c r="C1997" s="1" t="s">
        <v>21</v>
      </c>
      <c r="D1997" s="4" t="s">
        <v>6097</v>
      </c>
      <c r="E1997" s="1" t="s">
        <v>71</v>
      </c>
      <c r="F1997" s="1" t="s">
        <v>5441</v>
      </c>
      <c r="G1997" s="1" t="s">
        <v>5948</v>
      </c>
      <c r="H1997" s="1" t="s">
        <v>6098</v>
      </c>
      <c r="I1997" s="1" t="str">
        <f t="shared" si="1"/>
        <v>28</v>
      </c>
      <c r="J1997" s="5"/>
      <c r="K1997" s="1" t="str">
        <f t="shared" si="2"/>
        <v>1</v>
      </c>
      <c r="L1997" s="5"/>
      <c r="M1997" s="2" t="str">
        <f t="shared" si="3"/>
        <v>1397</v>
      </c>
      <c r="N1997" s="5"/>
      <c r="O1997" s="13">
        <v>757.0</v>
      </c>
      <c r="P1997" s="5"/>
      <c r="Q1997" s="5"/>
      <c r="R1997" s="6" t="s">
        <v>6098</v>
      </c>
      <c r="S1997" s="5"/>
      <c r="T1997" s="1" t="str">
        <f>IFERROR(__xludf.DUMMYFUNCTION("INDEX(SPLIT(A1997, ""/""), 2)"),"کانون‌های فرهنگی هنری")</f>
        <v>کانون‌های فرهنگی هنری</v>
      </c>
      <c r="U1997" s="1" t="str">
        <f>IFERROR(__xludf.DUMMYFUNCTION("INDEX(SPLIT(A1997, ""/""), 3)"),"روزنامه شریف")</f>
        <v>روزنامه شریف</v>
      </c>
      <c r="V1997" s="1" t="str">
        <f>IFERROR(__xludf.DUMMYFUNCTION("INDEX(SPLIT(A1997, ""/""), 4)"),"#REF!")</f>
        <v>#REF!</v>
      </c>
    </row>
    <row r="1998">
      <c r="A1998" s="1" t="s">
        <v>4070</v>
      </c>
      <c r="B1998" s="1" t="s">
        <v>6099</v>
      </c>
      <c r="C1998" s="1" t="s">
        <v>21</v>
      </c>
      <c r="D1998" s="4" t="s">
        <v>6100</v>
      </c>
      <c r="E1998" s="1" t="s">
        <v>71</v>
      </c>
      <c r="F1998" s="1" t="s">
        <v>5441</v>
      </c>
      <c r="G1998" s="1" t="s">
        <v>5948</v>
      </c>
      <c r="H1998" s="7" t="s">
        <v>6101</v>
      </c>
      <c r="I1998" s="1" t="str">
        <f t="shared" si="1"/>
        <v>1</v>
      </c>
      <c r="J1998" s="5"/>
      <c r="K1998" s="1" t="str">
        <f t="shared" si="2"/>
        <v>2</v>
      </c>
      <c r="L1998" s="5"/>
      <c r="M1998" s="2" t="str">
        <f t="shared" si="3"/>
        <v>1397</v>
      </c>
      <c r="N1998" s="5"/>
      <c r="O1998" s="13">
        <v>758.0</v>
      </c>
      <c r="P1998" s="5"/>
      <c r="Q1998" s="5"/>
      <c r="R1998" s="8" t="s">
        <v>6101</v>
      </c>
      <c r="S1998" s="5"/>
      <c r="T1998" s="1" t="str">
        <f>IFERROR(__xludf.DUMMYFUNCTION("INDEX(SPLIT(A1998, ""/""), 2)"),"کانون‌های فرهنگی هنری")</f>
        <v>کانون‌های فرهنگی هنری</v>
      </c>
      <c r="U1998" s="1" t="str">
        <f>IFERROR(__xludf.DUMMYFUNCTION("INDEX(SPLIT(A1998, ""/""), 3)"),"روزنامه شریف")</f>
        <v>روزنامه شریف</v>
      </c>
      <c r="V1998" s="1" t="str">
        <f>IFERROR(__xludf.DUMMYFUNCTION("INDEX(SPLIT(A1998, ""/""), 4)"),"#REF!")</f>
        <v>#REF!</v>
      </c>
    </row>
    <row r="1999">
      <c r="A1999" s="1" t="s">
        <v>4070</v>
      </c>
      <c r="B1999" s="1" t="s">
        <v>6102</v>
      </c>
      <c r="C1999" s="1" t="s">
        <v>21</v>
      </c>
      <c r="D1999" s="4" t="s">
        <v>6103</v>
      </c>
      <c r="E1999" s="1" t="s">
        <v>71</v>
      </c>
      <c r="F1999" s="1" t="s">
        <v>5441</v>
      </c>
      <c r="G1999" s="1" t="s">
        <v>5948</v>
      </c>
      <c r="H1999" s="7" t="s">
        <v>6104</v>
      </c>
      <c r="I1999" s="1" t="str">
        <f t="shared" si="1"/>
        <v>4</v>
      </c>
      <c r="J1999" s="5"/>
      <c r="K1999" s="1" t="str">
        <f t="shared" si="2"/>
        <v>2</v>
      </c>
      <c r="L1999" s="5"/>
      <c r="M1999" s="2" t="str">
        <f t="shared" si="3"/>
        <v>1397</v>
      </c>
      <c r="N1999" s="5"/>
      <c r="O1999" s="13">
        <v>759.0</v>
      </c>
      <c r="P1999" s="5"/>
      <c r="Q1999" s="5"/>
      <c r="R1999" s="8" t="s">
        <v>6104</v>
      </c>
      <c r="S1999" s="5"/>
      <c r="T1999" s="1" t="str">
        <f>IFERROR(__xludf.DUMMYFUNCTION("INDEX(SPLIT(A1999, ""/""), 2)"),"کانون‌های فرهنگی هنری")</f>
        <v>کانون‌های فرهنگی هنری</v>
      </c>
      <c r="U1999" s="1" t="str">
        <f>IFERROR(__xludf.DUMMYFUNCTION("INDEX(SPLIT(A1999, ""/""), 3)"),"روزنامه شریف")</f>
        <v>روزنامه شریف</v>
      </c>
      <c r="V1999" s="1" t="str">
        <f>IFERROR(__xludf.DUMMYFUNCTION("INDEX(SPLIT(A1999, ""/""), 4)"),"#REF!")</f>
        <v>#REF!</v>
      </c>
    </row>
    <row r="2000">
      <c r="A2000" s="1" t="s">
        <v>4070</v>
      </c>
      <c r="B2000" s="1" t="s">
        <v>6105</v>
      </c>
      <c r="C2000" s="1" t="s">
        <v>21</v>
      </c>
      <c r="D2000" s="4" t="s">
        <v>6106</v>
      </c>
      <c r="E2000" s="1" t="s">
        <v>71</v>
      </c>
      <c r="F2000" s="1" t="s">
        <v>5441</v>
      </c>
      <c r="G2000" s="1" t="s">
        <v>5948</v>
      </c>
      <c r="H2000" s="7" t="s">
        <v>1779</v>
      </c>
      <c r="I2000" s="1" t="str">
        <f t="shared" si="1"/>
        <v>8</v>
      </c>
      <c r="J2000" s="5"/>
      <c r="K2000" s="1" t="str">
        <f t="shared" si="2"/>
        <v>2</v>
      </c>
      <c r="L2000" s="5"/>
      <c r="M2000" s="2" t="str">
        <f t="shared" si="3"/>
        <v>1397</v>
      </c>
      <c r="N2000" s="5"/>
      <c r="O2000" s="13">
        <v>760.0</v>
      </c>
      <c r="P2000" s="5"/>
      <c r="Q2000" s="5"/>
      <c r="R2000" s="8" t="s">
        <v>1779</v>
      </c>
      <c r="S2000" s="5"/>
      <c r="T2000" s="1" t="str">
        <f>IFERROR(__xludf.DUMMYFUNCTION("INDEX(SPLIT(A2000, ""/""), 2)"),"کانون‌های فرهنگی هنری")</f>
        <v>کانون‌های فرهنگی هنری</v>
      </c>
      <c r="U2000" s="1" t="str">
        <f>IFERROR(__xludf.DUMMYFUNCTION("INDEX(SPLIT(A2000, ""/""), 3)"),"روزنامه شریف")</f>
        <v>روزنامه شریف</v>
      </c>
      <c r="V2000" s="1" t="str">
        <f>IFERROR(__xludf.DUMMYFUNCTION("INDEX(SPLIT(A2000, ""/""), 4)"),"#REF!")</f>
        <v>#REF!</v>
      </c>
    </row>
    <row r="2001">
      <c r="A2001" s="1" t="s">
        <v>4070</v>
      </c>
      <c r="B2001" s="1" t="s">
        <v>6107</v>
      </c>
      <c r="C2001" s="1" t="s">
        <v>21</v>
      </c>
      <c r="D2001" s="4" t="s">
        <v>6108</v>
      </c>
      <c r="E2001" s="1" t="s">
        <v>71</v>
      </c>
      <c r="F2001" s="1" t="s">
        <v>5441</v>
      </c>
      <c r="G2001" s="1" t="s">
        <v>5948</v>
      </c>
      <c r="H2001" s="7" t="s">
        <v>6109</v>
      </c>
      <c r="I2001" s="1" t="str">
        <f t="shared" si="1"/>
        <v>11</v>
      </c>
      <c r="J2001" s="5"/>
      <c r="K2001" s="1" t="str">
        <f t="shared" si="2"/>
        <v>2</v>
      </c>
      <c r="L2001" s="5"/>
      <c r="M2001" s="2" t="str">
        <f t="shared" si="3"/>
        <v>1397</v>
      </c>
      <c r="N2001" s="5"/>
      <c r="O2001" s="13">
        <v>761.0</v>
      </c>
      <c r="P2001" s="5"/>
      <c r="Q2001" s="5"/>
      <c r="R2001" s="8" t="s">
        <v>6109</v>
      </c>
      <c r="S2001" s="5"/>
      <c r="T2001" s="1" t="str">
        <f>IFERROR(__xludf.DUMMYFUNCTION("INDEX(SPLIT(A2001, ""/""), 2)"),"کانون‌های فرهنگی هنری")</f>
        <v>کانون‌های فرهنگی هنری</v>
      </c>
      <c r="U2001" s="1" t="str">
        <f>IFERROR(__xludf.DUMMYFUNCTION("INDEX(SPLIT(A2001, ""/""), 3)"),"روزنامه شریف")</f>
        <v>روزنامه شریف</v>
      </c>
      <c r="V2001" s="1" t="str">
        <f>IFERROR(__xludf.DUMMYFUNCTION("INDEX(SPLIT(A2001, ""/""), 4)"),"#REF!")</f>
        <v>#REF!</v>
      </c>
    </row>
    <row r="2002">
      <c r="A2002" s="1" t="s">
        <v>4070</v>
      </c>
      <c r="B2002" s="1" t="s">
        <v>6110</v>
      </c>
      <c r="C2002" s="1" t="s">
        <v>21</v>
      </c>
      <c r="D2002" s="4" t="s">
        <v>6111</v>
      </c>
      <c r="E2002" s="1" t="s">
        <v>71</v>
      </c>
      <c r="F2002" s="1" t="s">
        <v>5441</v>
      </c>
      <c r="G2002" s="1" t="s">
        <v>5948</v>
      </c>
      <c r="H2002" s="1" t="s">
        <v>2314</v>
      </c>
      <c r="I2002" s="1" t="str">
        <f t="shared" si="1"/>
        <v>15</v>
      </c>
      <c r="J2002" s="5"/>
      <c r="K2002" s="1" t="str">
        <f t="shared" si="2"/>
        <v>2</v>
      </c>
      <c r="L2002" s="5"/>
      <c r="M2002" s="2" t="str">
        <f t="shared" si="3"/>
        <v>1397</v>
      </c>
      <c r="N2002" s="5"/>
      <c r="O2002" s="13">
        <v>762.0</v>
      </c>
      <c r="P2002" s="5"/>
      <c r="Q2002" s="5"/>
      <c r="R2002" s="6" t="s">
        <v>2314</v>
      </c>
      <c r="S2002" s="5"/>
      <c r="T2002" s="1" t="str">
        <f>IFERROR(__xludf.DUMMYFUNCTION("INDEX(SPLIT(A2002, ""/""), 2)"),"کانون‌های فرهنگی هنری")</f>
        <v>کانون‌های فرهنگی هنری</v>
      </c>
      <c r="U2002" s="1" t="str">
        <f>IFERROR(__xludf.DUMMYFUNCTION("INDEX(SPLIT(A2002, ""/""), 3)"),"روزنامه شریف")</f>
        <v>روزنامه شریف</v>
      </c>
      <c r="V2002" s="1" t="str">
        <f>IFERROR(__xludf.DUMMYFUNCTION("INDEX(SPLIT(A2002, ""/""), 4)"),"#REF!")</f>
        <v>#REF!</v>
      </c>
    </row>
    <row r="2003">
      <c r="A2003" s="1" t="s">
        <v>4070</v>
      </c>
      <c r="B2003" s="1" t="s">
        <v>6112</v>
      </c>
      <c r="C2003" s="1" t="s">
        <v>21</v>
      </c>
      <c r="D2003" s="4" t="s">
        <v>6113</v>
      </c>
      <c r="E2003" s="1" t="s">
        <v>71</v>
      </c>
      <c r="F2003" s="1" t="s">
        <v>5441</v>
      </c>
      <c r="G2003" s="1" t="s">
        <v>5948</v>
      </c>
      <c r="H2003" s="1" t="s">
        <v>6114</v>
      </c>
      <c r="I2003" s="1" t="str">
        <f t="shared" si="1"/>
        <v>18</v>
      </c>
      <c r="J2003" s="5"/>
      <c r="K2003" s="1" t="str">
        <f t="shared" si="2"/>
        <v>2</v>
      </c>
      <c r="L2003" s="5"/>
      <c r="M2003" s="2" t="str">
        <f t="shared" si="3"/>
        <v>1397</v>
      </c>
      <c r="N2003" s="5"/>
      <c r="O2003" s="13">
        <v>763.0</v>
      </c>
      <c r="P2003" s="5"/>
      <c r="Q2003" s="5"/>
      <c r="R2003" s="6" t="s">
        <v>6114</v>
      </c>
      <c r="S2003" s="5"/>
      <c r="T2003" s="1" t="str">
        <f>IFERROR(__xludf.DUMMYFUNCTION("INDEX(SPLIT(A2003, ""/""), 2)"),"کانون‌های فرهنگی هنری")</f>
        <v>کانون‌های فرهنگی هنری</v>
      </c>
      <c r="U2003" s="1" t="str">
        <f>IFERROR(__xludf.DUMMYFUNCTION("INDEX(SPLIT(A2003, ""/""), 3)"),"روزنامه شریف")</f>
        <v>روزنامه شریف</v>
      </c>
      <c r="V2003" s="1" t="str">
        <f>IFERROR(__xludf.DUMMYFUNCTION("INDEX(SPLIT(A2003, ""/""), 4)"),"#REF!")</f>
        <v>#REF!</v>
      </c>
    </row>
    <row r="2004">
      <c r="A2004" s="1" t="s">
        <v>4070</v>
      </c>
      <c r="B2004" s="1" t="s">
        <v>6115</v>
      </c>
      <c r="C2004" s="1" t="s">
        <v>21</v>
      </c>
      <c r="D2004" s="4" t="s">
        <v>6116</v>
      </c>
      <c r="E2004" s="1" t="s">
        <v>71</v>
      </c>
      <c r="F2004" s="1" t="s">
        <v>5441</v>
      </c>
      <c r="G2004" s="1" t="s">
        <v>5948</v>
      </c>
      <c r="H2004" s="1" t="s">
        <v>6117</v>
      </c>
      <c r="I2004" s="1" t="str">
        <f t="shared" si="1"/>
        <v>22</v>
      </c>
      <c r="J2004" s="5"/>
      <c r="K2004" s="1" t="str">
        <f t="shared" si="2"/>
        <v>2</v>
      </c>
      <c r="L2004" s="5"/>
      <c r="M2004" s="2" t="str">
        <f t="shared" si="3"/>
        <v>1397</v>
      </c>
      <c r="N2004" s="5"/>
      <c r="O2004" s="13">
        <v>764.0</v>
      </c>
      <c r="P2004" s="5"/>
      <c r="Q2004" s="5"/>
      <c r="R2004" s="6" t="s">
        <v>6117</v>
      </c>
      <c r="S2004" s="5"/>
      <c r="T2004" s="1" t="str">
        <f>IFERROR(__xludf.DUMMYFUNCTION("INDEX(SPLIT(A2004, ""/""), 2)"),"کانون‌های فرهنگی هنری")</f>
        <v>کانون‌های فرهنگی هنری</v>
      </c>
      <c r="U2004" s="1" t="str">
        <f>IFERROR(__xludf.DUMMYFUNCTION("INDEX(SPLIT(A2004, ""/""), 3)"),"روزنامه شریف")</f>
        <v>روزنامه شریف</v>
      </c>
      <c r="V2004" s="1" t="str">
        <f>IFERROR(__xludf.DUMMYFUNCTION("INDEX(SPLIT(A2004, ""/""), 4)"),"#REF!")</f>
        <v>#REF!</v>
      </c>
    </row>
    <row r="2005">
      <c r="A2005" s="1" t="s">
        <v>4070</v>
      </c>
      <c r="B2005" s="1" t="s">
        <v>6118</v>
      </c>
      <c r="C2005" s="1" t="s">
        <v>21</v>
      </c>
      <c r="D2005" s="4" t="s">
        <v>6119</v>
      </c>
      <c r="E2005" s="1" t="s">
        <v>71</v>
      </c>
      <c r="F2005" s="1" t="s">
        <v>5441</v>
      </c>
      <c r="G2005" s="1" t="s">
        <v>5948</v>
      </c>
      <c r="H2005" s="1" t="s">
        <v>6120</v>
      </c>
      <c r="I2005" s="1" t="str">
        <f t="shared" si="1"/>
        <v>25</v>
      </c>
      <c r="J2005" s="5"/>
      <c r="K2005" s="1" t="str">
        <f t="shared" si="2"/>
        <v>2</v>
      </c>
      <c r="L2005" s="5"/>
      <c r="M2005" s="2" t="str">
        <f t="shared" si="3"/>
        <v>1397</v>
      </c>
      <c r="N2005" s="5"/>
      <c r="O2005" s="13">
        <v>765.0</v>
      </c>
      <c r="P2005" s="5"/>
      <c r="Q2005" s="5"/>
      <c r="R2005" s="6" t="s">
        <v>6120</v>
      </c>
      <c r="S2005" s="5"/>
      <c r="T2005" s="1" t="str">
        <f>IFERROR(__xludf.DUMMYFUNCTION("INDEX(SPLIT(A2005, ""/""), 2)"),"کانون‌های فرهنگی هنری")</f>
        <v>کانون‌های فرهنگی هنری</v>
      </c>
      <c r="U2005" s="1" t="str">
        <f>IFERROR(__xludf.DUMMYFUNCTION("INDEX(SPLIT(A2005, ""/""), 3)"),"روزنامه شریف")</f>
        <v>روزنامه شریف</v>
      </c>
      <c r="V2005" s="1" t="str">
        <f>IFERROR(__xludf.DUMMYFUNCTION("INDEX(SPLIT(A2005, ""/""), 4)"),"#REF!")</f>
        <v>#REF!</v>
      </c>
    </row>
    <row r="2006">
      <c r="A2006" s="1" t="s">
        <v>4070</v>
      </c>
      <c r="B2006" s="1" t="s">
        <v>6121</v>
      </c>
      <c r="C2006" s="1" t="s">
        <v>21</v>
      </c>
      <c r="D2006" s="4" t="s">
        <v>6122</v>
      </c>
      <c r="E2006" s="1" t="s">
        <v>71</v>
      </c>
      <c r="F2006" s="1" t="s">
        <v>5441</v>
      </c>
      <c r="G2006" s="1" t="s">
        <v>5948</v>
      </c>
      <c r="H2006" s="1" t="s">
        <v>6123</v>
      </c>
      <c r="I2006" s="1" t="str">
        <f t="shared" si="1"/>
        <v>29</v>
      </c>
      <c r="J2006" s="5"/>
      <c r="K2006" s="1" t="str">
        <f t="shared" si="2"/>
        <v>2</v>
      </c>
      <c r="L2006" s="5"/>
      <c r="M2006" s="2" t="str">
        <f t="shared" si="3"/>
        <v>1397</v>
      </c>
      <c r="N2006" s="5"/>
      <c r="O2006" s="13">
        <v>766.0</v>
      </c>
      <c r="P2006" s="5"/>
      <c r="Q2006" s="5"/>
      <c r="R2006" s="6" t="s">
        <v>6123</v>
      </c>
      <c r="S2006" s="5"/>
      <c r="T2006" s="1" t="str">
        <f>IFERROR(__xludf.DUMMYFUNCTION("INDEX(SPLIT(A2006, ""/""), 2)"),"کانون‌های فرهنگی هنری")</f>
        <v>کانون‌های فرهنگی هنری</v>
      </c>
      <c r="U2006" s="1" t="str">
        <f>IFERROR(__xludf.DUMMYFUNCTION("INDEX(SPLIT(A2006, ""/""), 3)"),"روزنامه شریف")</f>
        <v>روزنامه شریف</v>
      </c>
      <c r="V2006" s="1" t="str">
        <f>IFERROR(__xludf.DUMMYFUNCTION("INDEX(SPLIT(A2006, ""/""), 4)"),"#REF!")</f>
        <v>#REF!</v>
      </c>
    </row>
    <row r="2007">
      <c r="A2007" s="1" t="s">
        <v>4070</v>
      </c>
      <c r="B2007" s="1" t="s">
        <v>6124</v>
      </c>
      <c r="C2007" s="1" t="s">
        <v>21</v>
      </c>
      <c r="D2007" s="4" t="s">
        <v>6125</v>
      </c>
      <c r="E2007" s="1" t="s">
        <v>71</v>
      </c>
      <c r="F2007" s="1" t="s">
        <v>5441</v>
      </c>
      <c r="G2007" s="1" t="s">
        <v>5948</v>
      </c>
      <c r="H2007" s="7" t="s">
        <v>6126</v>
      </c>
      <c r="I2007" s="1" t="str">
        <f t="shared" si="1"/>
        <v>1</v>
      </c>
      <c r="J2007" s="5"/>
      <c r="K2007" s="1" t="str">
        <f t="shared" si="2"/>
        <v>3</v>
      </c>
      <c r="L2007" s="5"/>
      <c r="M2007" s="2" t="str">
        <f t="shared" si="3"/>
        <v>1397</v>
      </c>
      <c r="N2007" s="5"/>
      <c r="O2007" s="13">
        <v>767.0</v>
      </c>
      <c r="P2007" s="5"/>
      <c r="Q2007" s="5"/>
      <c r="R2007" s="8" t="s">
        <v>6126</v>
      </c>
      <c r="S2007" s="5"/>
      <c r="T2007" s="1" t="str">
        <f>IFERROR(__xludf.DUMMYFUNCTION("INDEX(SPLIT(A2007, ""/""), 2)"),"کانون‌های فرهنگی هنری")</f>
        <v>کانون‌های فرهنگی هنری</v>
      </c>
      <c r="U2007" s="1" t="str">
        <f>IFERROR(__xludf.DUMMYFUNCTION("INDEX(SPLIT(A2007, ""/""), 3)"),"روزنامه شریف")</f>
        <v>روزنامه شریف</v>
      </c>
      <c r="V2007" s="1" t="str">
        <f>IFERROR(__xludf.DUMMYFUNCTION("INDEX(SPLIT(A2007, ""/""), 4)"),"#REF!")</f>
        <v>#REF!</v>
      </c>
    </row>
    <row r="2008">
      <c r="A2008" s="1" t="s">
        <v>4070</v>
      </c>
      <c r="B2008" s="1" t="s">
        <v>6127</v>
      </c>
      <c r="C2008" s="1" t="s">
        <v>21</v>
      </c>
      <c r="D2008" s="4" t="s">
        <v>6128</v>
      </c>
      <c r="E2008" s="1" t="s">
        <v>71</v>
      </c>
      <c r="F2008" s="1" t="s">
        <v>5441</v>
      </c>
      <c r="G2008" s="1" t="s">
        <v>5948</v>
      </c>
      <c r="H2008" s="7" t="s">
        <v>6129</v>
      </c>
      <c r="I2008" s="1" t="str">
        <f t="shared" si="1"/>
        <v>5</v>
      </c>
      <c r="J2008" s="5"/>
      <c r="K2008" s="1" t="str">
        <f t="shared" si="2"/>
        <v>3</v>
      </c>
      <c r="L2008" s="5"/>
      <c r="M2008" s="2" t="str">
        <f t="shared" si="3"/>
        <v>1397</v>
      </c>
      <c r="N2008" s="5"/>
      <c r="O2008" s="13">
        <v>768.0</v>
      </c>
      <c r="P2008" s="5"/>
      <c r="Q2008" s="5"/>
      <c r="R2008" s="8" t="s">
        <v>6129</v>
      </c>
      <c r="S2008" s="5"/>
      <c r="T2008" s="1" t="str">
        <f>IFERROR(__xludf.DUMMYFUNCTION("INDEX(SPLIT(A2008, ""/""), 2)"),"کانون‌های فرهنگی هنری")</f>
        <v>کانون‌های فرهنگی هنری</v>
      </c>
      <c r="U2008" s="1" t="str">
        <f>IFERROR(__xludf.DUMMYFUNCTION("INDEX(SPLIT(A2008, ""/""), 3)"),"روزنامه شریف")</f>
        <v>روزنامه شریف</v>
      </c>
      <c r="V2008" s="1" t="str">
        <f>IFERROR(__xludf.DUMMYFUNCTION("INDEX(SPLIT(A2008, ""/""), 4)"),"#REF!")</f>
        <v>#REF!</v>
      </c>
    </row>
    <row r="2009">
      <c r="A2009" s="1" t="s">
        <v>4070</v>
      </c>
      <c r="B2009" s="1" t="s">
        <v>6130</v>
      </c>
      <c r="C2009" s="1" t="s">
        <v>21</v>
      </c>
      <c r="D2009" s="4" t="s">
        <v>6131</v>
      </c>
      <c r="E2009" s="1" t="s">
        <v>71</v>
      </c>
      <c r="F2009" s="1" t="s">
        <v>5441</v>
      </c>
      <c r="G2009" s="1" t="s">
        <v>5948</v>
      </c>
      <c r="H2009" s="7" t="s">
        <v>6132</v>
      </c>
      <c r="I2009" s="1" t="str">
        <f t="shared" si="1"/>
        <v>8</v>
      </c>
      <c r="J2009" s="5"/>
      <c r="K2009" s="1" t="str">
        <f t="shared" si="2"/>
        <v>3</v>
      </c>
      <c r="L2009" s="5"/>
      <c r="M2009" s="2" t="str">
        <f t="shared" si="3"/>
        <v>1397</v>
      </c>
      <c r="N2009" s="5"/>
      <c r="O2009" s="13">
        <v>769.0</v>
      </c>
      <c r="P2009" s="5"/>
      <c r="Q2009" s="5"/>
      <c r="R2009" s="8" t="s">
        <v>6132</v>
      </c>
      <c r="S2009" s="5"/>
      <c r="T2009" s="1" t="str">
        <f>IFERROR(__xludf.DUMMYFUNCTION("INDEX(SPLIT(A2009, ""/""), 2)"),"کانون‌های فرهنگی هنری")</f>
        <v>کانون‌های فرهنگی هنری</v>
      </c>
      <c r="U2009" s="1" t="str">
        <f>IFERROR(__xludf.DUMMYFUNCTION("INDEX(SPLIT(A2009, ""/""), 3)"),"روزنامه شریف")</f>
        <v>روزنامه شریف</v>
      </c>
      <c r="V2009" s="1" t="str">
        <f>IFERROR(__xludf.DUMMYFUNCTION("INDEX(SPLIT(A2009, ""/""), 4)"),"#REF!")</f>
        <v>#REF!</v>
      </c>
    </row>
    <row r="2010">
      <c r="A2010" s="1" t="s">
        <v>4070</v>
      </c>
      <c r="B2010" s="1" t="s">
        <v>6133</v>
      </c>
      <c r="C2010" s="1" t="s">
        <v>21</v>
      </c>
      <c r="D2010" s="4" t="s">
        <v>6134</v>
      </c>
      <c r="E2010" s="1" t="s">
        <v>71</v>
      </c>
      <c r="F2010" s="1" t="s">
        <v>5441</v>
      </c>
      <c r="G2010" s="1" t="s">
        <v>5948</v>
      </c>
      <c r="H2010" s="1" t="s">
        <v>6135</v>
      </c>
      <c r="I2010" s="1" t="str">
        <f t="shared" si="1"/>
        <v>30</v>
      </c>
      <c r="J2010" s="5"/>
      <c r="K2010" s="1" t="str">
        <f t="shared" si="2"/>
        <v>3</v>
      </c>
      <c r="L2010" s="5"/>
      <c r="M2010" s="2" t="str">
        <f t="shared" si="3"/>
        <v>1397</v>
      </c>
      <c r="N2010" s="5"/>
      <c r="O2010" s="13">
        <v>770.0</v>
      </c>
      <c r="P2010" s="5"/>
      <c r="Q2010" s="5"/>
      <c r="R2010" s="6" t="s">
        <v>6135</v>
      </c>
      <c r="S2010" s="5"/>
      <c r="T2010" s="1" t="str">
        <f>IFERROR(__xludf.DUMMYFUNCTION("INDEX(SPLIT(A2010, ""/""), 2)"),"کانون‌های فرهنگی هنری")</f>
        <v>کانون‌های فرهنگی هنری</v>
      </c>
      <c r="U2010" s="1" t="str">
        <f>IFERROR(__xludf.DUMMYFUNCTION("INDEX(SPLIT(A2010, ""/""), 3)"),"روزنامه شریف")</f>
        <v>روزنامه شریف</v>
      </c>
      <c r="V2010" s="1" t="str">
        <f>IFERROR(__xludf.DUMMYFUNCTION("INDEX(SPLIT(A2010, ""/""), 4)"),"#REF!")</f>
        <v>#REF!</v>
      </c>
    </row>
    <row r="2011">
      <c r="A2011" s="1" t="s">
        <v>4070</v>
      </c>
      <c r="B2011" s="1" t="s">
        <v>6136</v>
      </c>
      <c r="C2011" s="1" t="s">
        <v>21</v>
      </c>
      <c r="D2011" s="4" t="s">
        <v>6137</v>
      </c>
      <c r="E2011" s="1" t="s">
        <v>71</v>
      </c>
      <c r="F2011" s="1" t="s">
        <v>5441</v>
      </c>
      <c r="G2011" s="1" t="s">
        <v>5948</v>
      </c>
      <c r="H2011" s="7" t="s">
        <v>6138</v>
      </c>
      <c r="I2011" s="1" t="str">
        <f t="shared" si="1"/>
        <v>9</v>
      </c>
      <c r="J2011" s="5"/>
      <c r="K2011" s="1" t="str">
        <f t="shared" si="2"/>
        <v>4</v>
      </c>
      <c r="L2011" s="5"/>
      <c r="M2011" s="2" t="str">
        <f t="shared" si="3"/>
        <v>1397</v>
      </c>
      <c r="N2011" s="5"/>
      <c r="O2011" s="13">
        <v>771.0</v>
      </c>
      <c r="P2011" s="5"/>
      <c r="Q2011" s="5"/>
      <c r="R2011" s="8" t="s">
        <v>6138</v>
      </c>
      <c r="S2011" s="5"/>
      <c r="T2011" s="1" t="str">
        <f>IFERROR(__xludf.DUMMYFUNCTION("INDEX(SPLIT(A2011, ""/""), 2)"),"کانون‌های فرهنگی هنری")</f>
        <v>کانون‌های فرهنگی هنری</v>
      </c>
      <c r="U2011" s="1" t="str">
        <f>IFERROR(__xludf.DUMMYFUNCTION("INDEX(SPLIT(A2011, ""/""), 3)"),"روزنامه شریف")</f>
        <v>روزنامه شریف</v>
      </c>
      <c r="V2011" s="1" t="str">
        <f>IFERROR(__xludf.DUMMYFUNCTION("INDEX(SPLIT(A2011, ""/""), 4)"),"#REF!")</f>
        <v>#REF!</v>
      </c>
    </row>
    <row r="2012">
      <c r="A2012" s="1" t="s">
        <v>4070</v>
      </c>
      <c r="B2012" s="1" t="s">
        <v>6139</v>
      </c>
      <c r="C2012" s="1" t="s">
        <v>21</v>
      </c>
      <c r="D2012" s="4" t="s">
        <v>6140</v>
      </c>
      <c r="E2012" s="1" t="s">
        <v>71</v>
      </c>
      <c r="F2012" s="1" t="s">
        <v>5441</v>
      </c>
      <c r="G2012" s="1" t="s">
        <v>5948</v>
      </c>
      <c r="H2012" s="7" t="s">
        <v>6141</v>
      </c>
      <c r="I2012" s="1" t="str">
        <f t="shared" si="1"/>
        <v>5</v>
      </c>
      <c r="J2012" s="5"/>
      <c r="K2012" s="1" t="str">
        <f t="shared" si="2"/>
        <v>6</v>
      </c>
      <c r="L2012" s="5"/>
      <c r="M2012" s="2" t="str">
        <f t="shared" si="3"/>
        <v>1397</v>
      </c>
      <c r="N2012" s="5"/>
      <c r="O2012" s="13">
        <v>772.0</v>
      </c>
      <c r="P2012" s="5"/>
      <c r="Q2012" s="5"/>
      <c r="R2012" s="8" t="s">
        <v>6141</v>
      </c>
      <c r="S2012" s="5"/>
      <c r="T2012" s="1" t="str">
        <f>IFERROR(__xludf.DUMMYFUNCTION("INDEX(SPLIT(A2012, ""/""), 2)"),"کانون‌های فرهنگی هنری")</f>
        <v>کانون‌های فرهنگی هنری</v>
      </c>
      <c r="U2012" s="1" t="str">
        <f>IFERROR(__xludf.DUMMYFUNCTION("INDEX(SPLIT(A2012, ""/""), 3)"),"روزنامه شریف")</f>
        <v>روزنامه شریف</v>
      </c>
      <c r="V2012" s="1" t="str">
        <f>IFERROR(__xludf.DUMMYFUNCTION("INDEX(SPLIT(A2012, ""/""), 4)"),"#REF!")</f>
        <v>#REF!</v>
      </c>
    </row>
    <row r="2013">
      <c r="A2013" s="1" t="s">
        <v>4070</v>
      </c>
      <c r="B2013" s="1" t="s">
        <v>6142</v>
      </c>
      <c r="C2013" s="1" t="s">
        <v>21</v>
      </c>
      <c r="D2013" s="4" t="s">
        <v>6143</v>
      </c>
      <c r="E2013" s="1" t="s">
        <v>71</v>
      </c>
      <c r="F2013" s="1" t="s">
        <v>5441</v>
      </c>
      <c r="G2013" s="1" t="s">
        <v>5948</v>
      </c>
      <c r="H2013" s="1" t="s">
        <v>694</v>
      </c>
      <c r="I2013" s="1" t="str">
        <f t="shared" si="1"/>
        <v>31</v>
      </c>
      <c r="J2013" s="5"/>
      <c r="K2013" s="1" t="str">
        <f t="shared" si="2"/>
        <v>6</v>
      </c>
      <c r="L2013" s="5"/>
      <c r="M2013" s="2" t="str">
        <f t="shared" si="3"/>
        <v>1397</v>
      </c>
      <c r="N2013" s="5"/>
      <c r="O2013" s="13">
        <v>773.0</v>
      </c>
      <c r="P2013" s="5"/>
      <c r="Q2013" s="5"/>
      <c r="R2013" s="6" t="s">
        <v>694</v>
      </c>
      <c r="S2013" s="5"/>
      <c r="T2013" s="1" t="str">
        <f>IFERROR(__xludf.DUMMYFUNCTION("INDEX(SPLIT(A2013, ""/""), 2)"),"کانون‌های فرهنگی هنری")</f>
        <v>کانون‌های فرهنگی هنری</v>
      </c>
      <c r="U2013" s="1" t="str">
        <f>IFERROR(__xludf.DUMMYFUNCTION("INDEX(SPLIT(A2013, ""/""), 3)"),"روزنامه شریف")</f>
        <v>روزنامه شریف</v>
      </c>
      <c r="V2013" s="1" t="str">
        <f>IFERROR(__xludf.DUMMYFUNCTION("INDEX(SPLIT(A2013, ""/""), 4)"),"#REF!")</f>
        <v>#REF!</v>
      </c>
    </row>
    <row r="2014">
      <c r="A2014" s="1" t="s">
        <v>4070</v>
      </c>
      <c r="B2014" s="1" t="s">
        <v>6144</v>
      </c>
      <c r="C2014" s="1" t="s">
        <v>21</v>
      </c>
      <c r="D2014" s="4" t="s">
        <v>6145</v>
      </c>
      <c r="E2014" s="1" t="s">
        <v>71</v>
      </c>
      <c r="F2014" s="1" t="s">
        <v>5441</v>
      </c>
      <c r="G2014" s="1" t="s">
        <v>5948</v>
      </c>
      <c r="H2014" s="7" t="s">
        <v>6146</v>
      </c>
      <c r="I2014" s="1" t="str">
        <f t="shared" si="1"/>
        <v>3</v>
      </c>
      <c r="J2014" s="5"/>
      <c r="K2014" s="1" t="str">
        <f t="shared" si="2"/>
        <v>7</v>
      </c>
      <c r="L2014" s="5"/>
      <c r="M2014" s="2" t="str">
        <f t="shared" si="3"/>
        <v>1397</v>
      </c>
      <c r="N2014" s="5"/>
      <c r="O2014" s="13">
        <v>774.0</v>
      </c>
      <c r="P2014" s="5"/>
      <c r="Q2014" s="5"/>
      <c r="R2014" s="8" t="s">
        <v>6146</v>
      </c>
      <c r="S2014" s="5"/>
      <c r="T2014" s="1" t="str">
        <f>IFERROR(__xludf.DUMMYFUNCTION("INDEX(SPLIT(A2014, ""/""), 2)"),"کانون‌های فرهنگی هنری")</f>
        <v>کانون‌های فرهنگی هنری</v>
      </c>
      <c r="U2014" s="1" t="str">
        <f>IFERROR(__xludf.DUMMYFUNCTION("INDEX(SPLIT(A2014, ""/""), 3)"),"روزنامه شریف")</f>
        <v>روزنامه شریف</v>
      </c>
      <c r="V2014" s="1" t="str">
        <f>IFERROR(__xludf.DUMMYFUNCTION("INDEX(SPLIT(A2014, ""/""), 4)"),"#REF!")</f>
        <v>#REF!</v>
      </c>
    </row>
    <row r="2015">
      <c r="A2015" s="1" t="s">
        <v>4070</v>
      </c>
      <c r="B2015" s="1" t="s">
        <v>6147</v>
      </c>
      <c r="C2015" s="1" t="s">
        <v>21</v>
      </c>
      <c r="D2015" s="4" t="s">
        <v>6148</v>
      </c>
      <c r="E2015" s="1" t="s">
        <v>71</v>
      </c>
      <c r="F2015" s="1" t="s">
        <v>5441</v>
      </c>
      <c r="G2015" s="1" t="s">
        <v>5948</v>
      </c>
      <c r="H2015" s="7" t="s">
        <v>6149</v>
      </c>
      <c r="I2015" s="1" t="str">
        <f t="shared" si="1"/>
        <v>7</v>
      </c>
      <c r="J2015" s="5"/>
      <c r="K2015" s="1" t="str">
        <f t="shared" si="2"/>
        <v>7</v>
      </c>
      <c r="L2015" s="5"/>
      <c r="M2015" s="2" t="str">
        <f t="shared" si="3"/>
        <v>1397</v>
      </c>
      <c r="N2015" s="5"/>
      <c r="O2015" s="13">
        <v>775.0</v>
      </c>
      <c r="P2015" s="5"/>
      <c r="Q2015" s="5"/>
      <c r="R2015" s="8" t="s">
        <v>6149</v>
      </c>
      <c r="S2015" s="5"/>
      <c r="T2015" s="1" t="str">
        <f>IFERROR(__xludf.DUMMYFUNCTION("INDEX(SPLIT(A2015, ""/""), 2)"),"کانون‌های فرهنگی هنری")</f>
        <v>کانون‌های فرهنگی هنری</v>
      </c>
      <c r="U2015" s="1" t="str">
        <f>IFERROR(__xludf.DUMMYFUNCTION("INDEX(SPLIT(A2015, ""/""), 3)"),"روزنامه شریف")</f>
        <v>روزنامه شریف</v>
      </c>
      <c r="V2015" s="1" t="str">
        <f>IFERROR(__xludf.DUMMYFUNCTION("INDEX(SPLIT(A2015, ""/""), 4)"),"#REF!")</f>
        <v>#REF!</v>
      </c>
    </row>
    <row r="2016">
      <c r="A2016" s="1" t="s">
        <v>4070</v>
      </c>
      <c r="B2016" s="1" t="s">
        <v>6150</v>
      </c>
      <c r="C2016" s="1" t="s">
        <v>21</v>
      </c>
      <c r="D2016" s="4" t="s">
        <v>6151</v>
      </c>
      <c r="E2016" s="1" t="s">
        <v>71</v>
      </c>
      <c r="F2016" s="1" t="s">
        <v>5441</v>
      </c>
      <c r="G2016" s="1" t="s">
        <v>5948</v>
      </c>
      <c r="H2016" s="7" t="s">
        <v>3430</v>
      </c>
      <c r="I2016" s="1" t="str">
        <f t="shared" si="1"/>
        <v>10</v>
      </c>
      <c r="J2016" s="5"/>
      <c r="K2016" s="1" t="str">
        <f t="shared" si="2"/>
        <v>7</v>
      </c>
      <c r="L2016" s="5"/>
      <c r="M2016" s="2" t="str">
        <f t="shared" si="3"/>
        <v>1397</v>
      </c>
      <c r="N2016" s="5"/>
      <c r="O2016" s="13">
        <v>776.0</v>
      </c>
      <c r="P2016" s="5"/>
      <c r="Q2016" s="5"/>
      <c r="R2016" s="8" t="s">
        <v>3430</v>
      </c>
      <c r="S2016" s="5"/>
      <c r="T2016" s="1" t="str">
        <f>IFERROR(__xludf.DUMMYFUNCTION("INDEX(SPLIT(A2016, ""/""), 2)"),"کانون‌های فرهنگی هنری")</f>
        <v>کانون‌های فرهنگی هنری</v>
      </c>
      <c r="U2016" s="1" t="str">
        <f>IFERROR(__xludf.DUMMYFUNCTION("INDEX(SPLIT(A2016, ""/""), 3)"),"روزنامه شریف")</f>
        <v>روزنامه شریف</v>
      </c>
      <c r="V2016" s="1" t="str">
        <f>IFERROR(__xludf.DUMMYFUNCTION("INDEX(SPLIT(A2016, ""/""), 4)"),"#REF!")</f>
        <v>#REF!</v>
      </c>
    </row>
    <row r="2017">
      <c r="A2017" s="1" t="s">
        <v>4070</v>
      </c>
      <c r="B2017" s="1" t="s">
        <v>6152</v>
      </c>
      <c r="C2017" s="1" t="s">
        <v>21</v>
      </c>
      <c r="D2017" s="4" t="s">
        <v>6153</v>
      </c>
      <c r="E2017" s="1" t="s">
        <v>71</v>
      </c>
      <c r="F2017" s="1" t="s">
        <v>5441</v>
      </c>
      <c r="G2017" s="1" t="s">
        <v>5948</v>
      </c>
      <c r="H2017" s="1" t="s">
        <v>6154</v>
      </c>
      <c r="I2017" s="1" t="str">
        <f t="shared" si="1"/>
        <v>14</v>
      </c>
      <c r="J2017" s="5"/>
      <c r="K2017" s="1" t="str">
        <f t="shared" si="2"/>
        <v>7</v>
      </c>
      <c r="L2017" s="5"/>
      <c r="M2017" s="2" t="str">
        <f t="shared" si="3"/>
        <v>1397</v>
      </c>
      <c r="N2017" s="5"/>
      <c r="O2017" s="13">
        <v>777.0</v>
      </c>
      <c r="P2017" s="5"/>
      <c r="Q2017" s="5"/>
      <c r="R2017" s="6" t="s">
        <v>6154</v>
      </c>
      <c r="S2017" s="5"/>
      <c r="T2017" s="1" t="str">
        <f>IFERROR(__xludf.DUMMYFUNCTION("INDEX(SPLIT(A2017, ""/""), 2)"),"کانون‌های فرهنگی هنری")</f>
        <v>کانون‌های فرهنگی هنری</v>
      </c>
      <c r="U2017" s="1" t="str">
        <f>IFERROR(__xludf.DUMMYFUNCTION("INDEX(SPLIT(A2017, ""/""), 3)"),"روزنامه شریف")</f>
        <v>روزنامه شریف</v>
      </c>
      <c r="V2017" s="1" t="str">
        <f>IFERROR(__xludf.DUMMYFUNCTION("INDEX(SPLIT(A2017, ""/""), 4)"),"#REF!")</f>
        <v>#REF!</v>
      </c>
    </row>
    <row r="2018">
      <c r="A2018" s="1" t="s">
        <v>4070</v>
      </c>
      <c r="B2018" s="1" t="s">
        <v>6155</v>
      </c>
      <c r="C2018" s="1" t="s">
        <v>21</v>
      </c>
      <c r="D2018" s="4" t="s">
        <v>6156</v>
      </c>
      <c r="E2018" s="1" t="s">
        <v>71</v>
      </c>
      <c r="F2018" s="1" t="s">
        <v>5441</v>
      </c>
      <c r="G2018" s="1" t="s">
        <v>5948</v>
      </c>
      <c r="H2018" s="1" t="s">
        <v>6157</v>
      </c>
      <c r="I2018" s="1" t="str">
        <f t="shared" si="1"/>
        <v>17</v>
      </c>
      <c r="J2018" s="5"/>
      <c r="K2018" s="1" t="str">
        <f t="shared" si="2"/>
        <v>7</v>
      </c>
      <c r="L2018" s="5"/>
      <c r="M2018" s="2" t="str">
        <f t="shared" si="3"/>
        <v>1397</v>
      </c>
      <c r="N2018" s="5"/>
      <c r="O2018" s="13">
        <v>778.0</v>
      </c>
      <c r="P2018" s="5"/>
      <c r="Q2018" s="5"/>
      <c r="R2018" s="6" t="s">
        <v>6157</v>
      </c>
      <c r="S2018" s="5"/>
      <c r="T2018" s="1" t="str">
        <f>IFERROR(__xludf.DUMMYFUNCTION("INDEX(SPLIT(A2018, ""/""), 2)"),"کانون‌های فرهنگی هنری")</f>
        <v>کانون‌های فرهنگی هنری</v>
      </c>
      <c r="U2018" s="1" t="str">
        <f>IFERROR(__xludf.DUMMYFUNCTION("INDEX(SPLIT(A2018, ""/""), 3)"),"روزنامه شریف")</f>
        <v>روزنامه شریف</v>
      </c>
      <c r="V2018" s="1" t="str">
        <f>IFERROR(__xludf.DUMMYFUNCTION("INDEX(SPLIT(A2018, ""/""), 4)"),"#REF!")</f>
        <v>#REF!</v>
      </c>
    </row>
    <row r="2019">
      <c r="A2019" s="1" t="s">
        <v>4070</v>
      </c>
      <c r="B2019" s="1" t="s">
        <v>6158</v>
      </c>
      <c r="C2019" s="1" t="s">
        <v>21</v>
      </c>
      <c r="D2019" s="4" t="s">
        <v>6159</v>
      </c>
      <c r="E2019" s="1" t="s">
        <v>71</v>
      </c>
      <c r="F2019" s="1" t="s">
        <v>5441</v>
      </c>
      <c r="G2019" s="1" t="s">
        <v>5948</v>
      </c>
      <c r="H2019" s="1" t="s">
        <v>6160</v>
      </c>
      <c r="I2019" s="1" t="str">
        <f t="shared" si="1"/>
        <v>21</v>
      </c>
      <c r="J2019" s="5"/>
      <c r="K2019" s="1" t="str">
        <f t="shared" si="2"/>
        <v>7</v>
      </c>
      <c r="L2019" s="5"/>
      <c r="M2019" s="2" t="str">
        <f t="shared" si="3"/>
        <v>1397</v>
      </c>
      <c r="N2019" s="5"/>
      <c r="O2019" s="13">
        <v>779.0</v>
      </c>
      <c r="P2019" s="5"/>
      <c r="Q2019" s="5"/>
      <c r="R2019" s="6" t="s">
        <v>6160</v>
      </c>
      <c r="S2019" s="5"/>
      <c r="T2019" s="1" t="str">
        <f>IFERROR(__xludf.DUMMYFUNCTION("INDEX(SPLIT(A2019, ""/""), 2)"),"کانون‌های فرهنگی هنری")</f>
        <v>کانون‌های فرهنگی هنری</v>
      </c>
      <c r="U2019" s="1" t="str">
        <f>IFERROR(__xludf.DUMMYFUNCTION("INDEX(SPLIT(A2019, ""/""), 3)"),"روزنامه شریف")</f>
        <v>روزنامه شریف</v>
      </c>
      <c r="V2019" s="1" t="str">
        <f>IFERROR(__xludf.DUMMYFUNCTION("INDEX(SPLIT(A2019, ""/""), 4)"),"#REF!")</f>
        <v>#REF!</v>
      </c>
    </row>
    <row r="2020">
      <c r="A2020" s="1" t="s">
        <v>4070</v>
      </c>
      <c r="B2020" s="1" t="s">
        <v>6161</v>
      </c>
      <c r="C2020" s="1" t="s">
        <v>21</v>
      </c>
      <c r="D2020" s="4" t="s">
        <v>6162</v>
      </c>
      <c r="E2020" s="1" t="s">
        <v>71</v>
      </c>
      <c r="F2020" s="1" t="s">
        <v>5441</v>
      </c>
      <c r="G2020" s="1" t="s">
        <v>5948</v>
      </c>
      <c r="H2020" s="1" t="s">
        <v>6163</v>
      </c>
      <c r="I2020" s="1" t="str">
        <f t="shared" si="1"/>
        <v>24</v>
      </c>
      <c r="J2020" s="5"/>
      <c r="K2020" s="1" t="str">
        <f t="shared" si="2"/>
        <v>7</v>
      </c>
      <c r="L2020" s="5"/>
      <c r="M2020" s="2" t="str">
        <f t="shared" si="3"/>
        <v>1397</v>
      </c>
      <c r="N2020" s="5"/>
      <c r="O2020" s="13">
        <v>780.0</v>
      </c>
      <c r="P2020" s="5"/>
      <c r="Q2020" s="5"/>
      <c r="R2020" s="6" t="s">
        <v>6163</v>
      </c>
      <c r="S2020" s="5"/>
      <c r="T2020" s="1" t="str">
        <f>IFERROR(__xludf.DUMMYFUNCTION("INDEX(SPLIT(A2020, ""/""), 2)"),"کانون‌های فرهنگی هنری")</f>
        <v>کانون‌های فرهنگی هنری</v>
      </c>
      <c r="U2020" s="1" t="str">
        <f>IFERROR(__xludf.DUMMYFUNCTION("INDEX(SPLIT(A2020, ""/""), 3)"),"روزنامه شریف")</f>
        <v>روزنامه شریف</v>
      </c>
      <c r="V2020" s="1" t="str">
        <f>IFERROR(__xludf.DUMMYFUNCTION("INDEX(SPLIT(A2020, ""/""), 4)"),"#REF!")</f>
        <v>#REF!</v>
      </c>
    </row>
    <row r="2021">
      <c r="A2021" s="1" t="s">
        <v>4070</v>
      </c>
      <c r="B2021" s="1" t="s">
        <v>6164</v>
      </c>
      <c r="C2021" s="1" t="s">
        <v>21</v>
      </c>
      <c r="D2021" s="4" t="s">
        <v>6165</v>
      </c>
      <c r="E2021" s="1" t="s">
        <v>71</v>
      </c>
      <c r="F2021" s="1" t="s">
        <v>5441</v>
      </c>
      <c r="G2021" s="1" t="s">
        <v>5948</v>
      </c>
      <c r="H2021" s="1" t="s">
        <v>6166</v>
      </c>
      <c r="I2021" s="1" t="str">
        <f t="shared" si="1"/>
        <v>28</v>
      </c>
      <c r="J2021" s="5"/>
      <c r="K2021" s="1" t="str">
        <f t="shared" si="2"/>
        <v>7</v>
      </c>
      <c r="L2021" s="5"/>
      <c r="M2021" s="2" t="str">
        <f t="shared" si="3"/>
        <v>1397</v>
      </c>
      <c r="N2021" s="5"/>
      <c r="O2021" s="13">
        <v>781.0</v>
      </c>
      <c r="P2021" s="5"/>
      <c r="Q2021" s="5"/>
      <c r="R2021" s="6" t="s">
        <v>6166</v>
      </c>
      <c r="S2021" s="5"/>
      <c r="T2021" s="1" t="str">
        <f>IFERROR(__xludf.DUMMYFUNCTION("INDEX(SPLIT(A2021, ""/""), 2)"),"کانون‌های فرهنگی هنری")</f>
        <v>کانون‌های فرهنگی هنری</v>
      </c>
      <c r="U2021" s="1" t="str">
        <f>IFERROR(__xludf.DUMMYFUNCTION("INDEX(SPLIT(A2021, ""/""), 3)"),"روزنامه شریف")</f>
        <v>روزنامه شریف</v>
      </c>
      <c r="V2021" s="1" t="str">
        <f>IFERROR(__xludf.DUMMYFUNCTION("INDEX(SPLIT(A2021, ""/""), 4)"),"#REF!")</f>
        <v>#REF!</v>
      </c>
    </row>
    <row r="2022">
      <c r="A2022" s="1" t="s">
        <v>4070</v>
      </c>
      <c r="B2022" s="1" t="s">
        <v>6167</v>
      </c>
      <c r="C2022" s="1" t="s">
        <v>21</v>
      </c>
      <c r="D2022" s="4" t="s">
        <v>6168</v>
      </c>
      <c r="E2022" s="1" t="s">
        <v>71</v>
      </c>
      <c r="F2022" s="1" t="s">
        <v>5441</v>
      </c>
      <c r="G2022" s="1" t="s">
        <v>5948</v>
      </c>
      <c r="H2022" s="7" t="s">
        <v>6169</v>
      </c>
      <c r="I2022" s="1" t="str">
        <f t="shared" si="1"/>
        <v>1</v>
      </c>
      <c r="J2022" s="5"/>
      <c r="K2022" s="1" t="str">
        <f t="shared" si="2"/>
        <v>8</v>
      </c>
      <c r="L2022" s="5"/>
      <c r="M2022" s="2" t="str">
        <f t="shared" si="3"/>
        <v>1397</v>
      </c>
      <c r="N2022" s="5"/>
      <c r="O2022" s="13">
        <v>782.0</v>
      </c>
      <c r="P2022" s="5"/>
      <c r="Q2022" s="5"/>
      <c r="R2022" s="8" t="s">
        <v>6169</v>
      </c>
      <c r="S2022" s="5"/>
      <c r="T2022" s="1" t="str">
        <f>IFERROR(__xludf.DUMMYFUNCTION("INDEX(SPLIT(A2022, ""/""), 2)"),"کانون‌های فرهنگی هنری")</f>
        <v>کانون‌های فرهنگی هنری</v>
      </c>
      <c r="U2022" s="1" t="str">
        <f>IFERROR(__xludf.DUMMYFUNCTION("INDEX(SPLIT(A2022, ""/""), 3)"),"روزنامه شریف")</f>
        <v>روزنامه شریف</v>
      </c>
      <c r="V2022" s="1" t="str">
        <f>IFERROR(__xludf.DUMMYFUNCTION("INDEX(SPLIT(A2022, ""/""), 4)"),"#REF!")</f>
        <v>#REF!</v>
      </c>
    </row>
    <row r="2023">
      <c r="A2023" s="1" t="s">
        <v>4070</v>
      </c>
      <c r="B2023" s="1" t="s">
        <v>6170</v>
      </c>
      <c r="C2023" s="1" t="s">
        <v>21</v>
      </c>
      <c r="D2023" s="4" t="s">
        <v>6171</v>
      </c>
      <c r="E2023" s="1" t="s">
        <v>71</v>
      </c>
      <c r="F2023" s="1" t="s">
        <v>5441</v>
      </c>
      <c r="G2023" s="1" t="s">
        <v>5948</v>
      </c>
      <c r="H2023" s="7" t="s">
        <v>701</v>
      </c>
      <c r="I2023" s="1" t="str">
        <f t="shared" si="1"/>
        <v>5</v>
      </c>
      <c r="J2023" s="5"/>
      <c r="K2023" s="1" t="str">
        <f t="shared" si="2"/>
        <v>8</v>
      </c>
      <c r="L2023" s="5"/>
      <c r="M2023" s="2" t="str">
        <f t="shared" si="3"/>
        <v>1397</v>
      </c>
      <c r="N2023" s="5"/>
      <c r="O2023" s="13">
        <v>783.0</v>
      </c>
      <c r="P2023" s="5"/>
      <c r="Q2023" s="5"/>
      <c r="R2023" s="8" t="s">
        <v>701</v>
      </c>
      <c r="S2023" s="5"/>
      <c r="T2023" s="1" t="str">
        <f>IFERROR(__xludf.DUMMYFUNCTION("INDEX(SPLIT(A2023, ""/""), 2)"),"کانون‌های فرهنگی هنری")</f>
        <v>کانون‌های فرهنگی هنری</v>
      </c>
      <c r="U2023" s="1" t="str">
        <f>IFERROR(__xludf.DUMMYFUNCTION("INDEX(SPLIT(A2023, ""/""), 3)"),"روزنامه شریف")</f>
        <v>روزنامه شریف</v>
      </c>
      <c r="V2023" s="1" t="str">
        <f>IFERROR(__xludf.DUMMYFUNCTION("INDEX(SPLIT(A2023, ""/""), 4)"),"#REF!")</f>
        <v>#REF!</v>
      </c>
    </row>
    <row r="2024">
      <c r="A2024" s="1" t="s">
        <v>4070</v>
      </c>
      <c r="B2024" s="1" t="s">
        <v>6172</v>
      </c>
      <c r="C2024" s="1" t="s">
        <v>21</v>
      </c>
      <c r="D2024" s="4" t="s">
        <v>6173</v>
      </c>
      <c r="E2024" s="1" t="s">
        <v>71</v>
      </c>
      <c r="F2024" s="1" t="s">
        <v>5441</v>
      </c>
      <c r="G2024" s="1" t="s">
        <v>5948</v>
      </c>
      <c r="H2024" s="7" t="s">
        <v>6174</v>
      </c>
      <c r="I2024" s="1" t="str">
        <f t="shared" si="1"/>
        <v>12</v>
      </c>
      <c r="J2024" s="5"/>
      <c r="K2024" s="1" t="str">
        <f t="shared" si="2"/>
        <v>8</v>
      </c>
      <c r="L2024" s="5"/>
      <c r="M2024" s="2" t="str">
        <f t="shared" si="3"/>
        <v>1397</v>
      </c>
      <c r="N2024" s="5"/>
      <c r="O2024" s="13">
        <v>784.0</v>
      </c>
      <c r="P2024" s="5"/>
      <c r="Q2024" s="5"/>
      <c r="R2024" s="8" t="s">
        <v>6174</v>
      </c>
      <c r="S2024" s="5"/>
      <c r="T2024" s="1" t="str">
        <f>IFERROR(__xludf.DUMMYFUNCTION("INDEX(SPLIT(A2024, ""/""), 2)"),"کانون‌های فرهنگی هنری")</f>
        <v>کانون‌های فرهنگی هنری</v>
      </c>
      <c r="U2024" s="1" t="str">
        <f>IFERROR(__xludf.DUMMYFUNCTION("INDEX(SPLIT(A2024, ""/""), 3)"),"روزنامه شریف")</f>
        <v>روزنامه شریف</v>
      </c>
      <c r="V2024" s="1" t="str">
        <f>IFERROR(__xludf.DUMMYFUNCTION("INDEX(SPLIT(A2024, ""/""), 4)"),"#REF!")</f>
        <v>#REF!</v>
      </c>
    </row>
    <row r="2025">
      <c r="A2025" s="1" t="s">
        <v>4070</v>
      </c>
      <c r="B2025" s="1" t="s">
        <v>6175</v>
      </c>
      <c r="C2025" s="1" t="s">
        <v>21</v>
      </c>
      <c r="D2025" s="4" t="s">
        <v>6176</v>
      </c>
      <c r="E2025" s="1" t="s">
        <v>71</v>
      </c>
      <c r="F2025" s="1" t="s">
        <v>5441</v>
      </c>
      <c r="G2025" s="1" t="s">
        <v>5948</v>
      </c>
      <c r="H2025" s="1" t="s">
        <v>314</v>
      </c>
      <c r="I2025" s="1" t="str">
        <f t="shared" si="1"/>
        <v>15</v>
      </c>
      <c r="J2025" s="5"/>
      <c r="K2025" s="1" t="str">
        <f t="shared" si="2"/>
        <v>8</v>
      </c>
      <c r="L2025" s="5"/>
      <c r="M2025" s="2" t="str">
        <f t="shared" si="3"/>
        <v>1397</v>
      </c>
      <c r="N2025" s="5"/>
      <c r="O2025" s="13">
        <v>785.0</v>
      </c>
      <c r="P2025" s="5"/>
      <c r="Q2025" s="5"/>
      <c r="R2025" s="6" t="s">
        <v>314</v>
      </c>
      <c r="S2025" s="5"/>
      <c r="T2025" s="1" t="str">
        <f>IFERROR(__xludf.DUMMYFUNCTION("INDEX(SPLIT(A2025, ""/""), 2)"),"کانون‌های فرهنگی هنری")</f>
        <v>کانون‌های فرهنگی هنری</v>
      </c>
      <c r="U2025" s="1" t="str">
        <f>IFERROR(__xludf.DUMMYFUNCTION("INDEX(SPLIT(A2025, ""/""), 3)"),"روزنامه شریف")</f>
        <v>روزنامه شریف</v>
      </c>
      <c r="V2025" s="1" t="str">
        <f>IFERROR(__xludf.DUMMYFUNCTION("INDEX(SPLIT(A2025, ""/""), 4)"),"#REF!")</f>
        <v>#REF!</v>
      </c>
    </row>
    <row r="2026">
      <c r="A2026" s="1" t="s">
        <v>4070</v>
      </c>
      <c r="B2026" s="1" t="s">
        <v>6177</v>
      </c>
      <c r="C2026" s="1" t="s">
        <v>21</v>
      </c>
      <c r="D2026" s="4" t="s">
        <v>6178</v>
      </c>
      <c r="E2026" s="1" t="s">
        <v>71</v>
      </c>
      <c r="F2026" s="1" t="s">
        <v>5441</v>
      </c>
      <c r="G2026" s="1" t="s">
        <v>5948</v>
      </c>
      <c r="H2026" s="1" t="s">
        <v>6179</v>
      </c>
      <c r="I2026" s="1" t="str">
        <f t="shared" si="1"/>
        <v>19</v>
      </c>
      <c r="J2026" s="5"/>
      <c r="K2026" s="1" t="str">
        <f t="shared" si="2"/>
        <v>8</v>
      </c>
      <c r="L2026" s="5"/>
      <c r="M2026" s="2" t="str">
        <f t="shared" si="3"/>
        <v>1397</v>
      </c>
      <c r="N2026" s="5"/>
      <c r="O2026" s="13">
        <v>786.0</v>
      </c>
      <c r="P2026" s="5"/>
      <c r="Q2026" s="5"/>
      <c r="R2026" s="6" t="s">
        <v>6179</v>
      </c>
      <c r="S2026" s="5"/>
      <c r="T2026" s="1" t="str">
        <f>IFERROR(__xludf.DUMMYFUNCTION("INDEX(SPLIT(A2026, ""/""), 2)"),"کانون‌های فرهنگی هنری")</f>
        <v>کانون‌های فرهنگی هنری</v>
      </c>
      <c r="U2026" s="1" t="str">
        <f>IFERROR(__xludf.DUMMYFUNCTION("INDEX(SPLIT(A2026, ""/""), 3)"),"روزنامه شریف")</f>
        <v>روزنامه شریف</v>
      </c>
      <c r="V2026" s="1" t="str">
        <f>IFERROR(__xludf.DUMMYFUNCTION("INDEX(SPLIT(A2026, ""/""), 4)"),"#REF!")</f>
        <v>#REF!</v>
      </c>
    </row>
    <row r="2027">
      <c r="A2027" s="1" t="s">
        <v>4070</v>
      </c>
      <c r="B2027" s="1" t="s">
        <v>6180</v>
      </c>
      <c r="C2027" s="1" t="s">
        <v>21</v>
      </c>
      <c r="D2027" s="4" t="s">
        <v>6181</v>
      </c>
      <c r="E2027" s="1" t="s">
        <v>71</v>
      </c>
      <c r="F2027" s="1" t="s">
        <v>5441</v>
      </c>
      <c r="G2027" s="1" t="s">
        <v>5948</v>
      </c>
      <c r="H2027" s="1" t="s">
        <v>1282</v>
      </c>
      <c r="I2027" s="1" t="str">
        <f t="shared" si="1"/>
        <v>22</v>
      </c>
      <c r="J2027" s="5"/>
      <c r="K2027" s="1" t="str">
        <f t="shared" si="2"/>
        <v>8</v>
      </c>
      <c r="L2027" s="5"/>
      <c r="M2027" s="2" t="str">
        <f t="shared" si="3"/>
        <v>1397</v>
      </c>
      <c r="N2027" s="5"/>
      <c r="O2027" s="13">
        <v>787.0</v>
      </c>
      <c r="P2027" s="5"/>
      <c r="Q2027" s="5"/>
      <c r="R2027" s="6" t="s">
        <v>1282</v>
      </c>
      <c r="S2027" s="5"/>
      <c r="T2027" s="1" t="str">
        <f>IFERROR(__xludf.DUMMYFUNCTION("INDEX(SPLIT(A2027, ""/""), 2)"),"کانون‌های فرهنگی هنری")</f>
        <v>کانون‌های فرهنگی هنری</v>
      </c>
      <c r="U2027" s="1" t="str">
        <f>IFERROR(__xludf.DUMMYFUNCTION("INDEX(SPLIT(A2027, ""/""), 3)"),"روزنامه شریف")</f>
        <v>روزنامه شریف</v>
      </c>
      <c r="V2027" s="1" t="str">
        <f>IFERROR(__xludf.DUMMYFUNCTION("INDEX(SPLIT(A2027, ""/""), 4)"),"#REF!")</f>
        <v>#REF!</v>
      </c>
    </row>
    <row r="2028">
      <c r="A2028" s="1" t="s">
        <v>4070</v>
      </c>
      <c r="B2028" s="1" t="s">
        <v>6182</v>
      </c>
      <c r="C2028" s="1" t="s">
        <v>21</v>
      </c>
      <c r="D2028" s="4" t="s">
        <v>6183</v>
      </c>
      <c r="E2028" s="1" t="s">
        <v>71</v>
      </c>
      <c r="F2028" s="1" t="s">
        <v>5285</v>
      </c>
      <c r="G2028" s="1" t="s">
        <v>5948</v>
      </c>
      <c r="H2028" s="1" t="s">
        <v>6184</v>
      </c>
      <c r="I2028" s="1" t="str">
        <f t="shared" si="1"/>
        <v>26</v>
      </c>
      <c r="J2028" s="5"/>
      <c r="K2028" s="1" t="str">
        <f t="shared" si="2"/>
        <v>8</v>
      </c>
      <c r="L2028" s="5"/>
      <c r="M2028" s="2" t="str">
        <f t="shared" si="3"/>
        <v>1397</v>
      </c>
      <c r="N2028" s="5"/>
      <c r="O2028" s="13">
        <v>788.0</v>
      </c>
      <c r="P2028" s="5"/>
      <c r="Q2028" s="5"/>
      <c r="R2028" s="6" t="s">
        <v>6184</v>
      </c>
      <c r="S2028" s="5"/>
      <c r="T2028" s="1" t="str">
        <f>IFERROR(__xludf.DUMMYFUNCTION("INDEX(SPLIT(A2028, ""/""), 2)"),"کانون‌های فرهنگی هنری")</f>
        <v>کانون‌های فرهنگی هنری</v>
      </c>
      <c r="U2028" s="1" t="str">
        <f>IFERROR(__xludf.DUMMYFUNCTION("INDEX(SPLIT(A2028, ""/""), 3)"),"روزنامه شریف")</f>
        <v>روزنامه شریف</v>
      </c>
      <c r="V2028" s="1" t="str">
        <f>IFERROR(__xludf.DUMMYFUNCTION("INDEX(SPLIT(A2028, ""/""), 4)"),"#REF!")</f>
        <v>#REF!</v>
      </c>
    </row>
    <row r="2029">
      <c r="A2029" s="1" t="s">
        <v>4070</v>
      </c>
      <c r="B2029" s="1" t="s">
        <v>6185</v>
      </c>
      <c r="C2029" s="1" t="s">
        <v>21</v>
      </c>
      <c r="D2029" s="4" t="s">
        <v>6186</v>
      </c>
      <c r="E2029" s="1" t="s">
        <v>71</v>
      </c>
      <c r="F2029" s="1" t="s">
        <v>5285</v>
      </c>
      <c r="G2029" s="1" t="s">
        <v>5948</v>
      </c>
      <c r="H2029" s="1" t="s">
        <v>6187</v>
      </c>
      <c r="I2029" s="1" t="str">
        <f t="shared" si="1"/>
        <v>29</v>
      </c>
      <c r="J2029" s="5"/>
      <c r="K2029" s="1" t="str">
        <f t="shared" si="2"/>
        <v>8</v>
      </c>
      <c r="L2029" s="5"/>
      <c r="M2029" s="2" t="str">
        <f t="shared" si="3"/>
        <v>1397</v>
      </c>
      <c r="N2029" s="5"/>
      <c r="O2029" s="13">
        <v>789.0</v>
      </c>
      <c r="P2029" s="5"/>
      <c r="Q2029" s="5"/>
      <c r="R2029" s="6" t="s">
        <v>6187</v>
      </c>
      <c r="S2029" s="5"/>
      <c r="T2029" s="1" t="str">
        <f>IFERROR(__xludf.DUMMYFUNCTION("INDEX(SPLIT(A2029, ""/""), 2)"),"کانون‌های فرهنگی هنری")</f>
        <v>کانون‌های فرهنگی هنری</v>
      </c>
      <c r="U2029" s="1" t="str">
        <f>IFERROR(__xludf.DUMMYFUNCTION("INDEX(SPLIT(A2029, ""/""), 3)"),"روزنامه شریف")</f>
        <v>روزنامه شریف</v>
      </c>
      <c r="V2029" s="1" t="str">
        <f>IFERROR(__xludf.DUMMYFUNCTION("INDEX(SPLIT(A2029, ""/""), 4)"),"#REF!")</f>
        <v>#REF!</v>
      </c>
    </row>
    <row r="2030">
      <c r="A2030" s="1" t="s">
        <v>4070</v>
      </c>
      <c r="B2030" s="1" t="s">
        <v>6188</v>
      </c>
      <c r="C2030" s="1" t="s">
        <v>21</v>
      </c>
      <c r="D2030" s="4" t="s">
        <v>6189</v>
      </c>
      <c r="E2030" s="1" t="s">
        <v>71</v>
      </c>
      <c r="F2030" s="1" t="s">
        <v>5285</v>
      </c>
      <c r="G2030" s="1" t="s">
        <v>5948</v>
      </c>
      <c r="H2030" s="7" t="s">
        <v>704</v>
      </c>
      <c r="I2030" s="1" t="str">
        <f t="shared" si="1"/>
        <v>6</v>
      </c>
      <c r="J2030" s="5"/>
      <c r="K2030" s="1" t="str">
        <f t="shared" si="2"/>
        <v>9</v>
      </c>
      <c r="L2030" s="5"/>
      <c r="M2030" s="2" t="str">
        <f t="shared" si="3"/>
        <v>1397</v>
      </c>
      <c r="N2030" s="5"/>
      <c r="O2030" s="13">
        <v>790.0</v>
      </c>
      <c r="P2030" s="5"/>
      <c r="Q2030" s="5"/>
      <c r="R2030" s="8" t="s">
        <v>704</v>
      </c>
      <c r="S2030" s="5"/>
      <c r="T2030" s="1" t="str">
        <f>IFERROR(__xludf.DUMMYFUNCTION("INDEX(SPLIT(A2030, ""/""), 2)"),"کانون‌های فرهنگی هنری")</f>
        <v>کانون‌های فرهنگی هنری</v>
      </c>
      <c r="U2030" s="1" t="str">
        <f>IFERROR(__xludf.DUMMYFUNCTION("INDEX(SPLIT(A2030, ""/""), 3)"),"روزنامه شریف")</f>
        <v>روزنامه شریف</v>
      </c>
      <c r="V2030" s="1" t="str">
        <f>IFERROR(__xludf.DUMMYFUNCTION("INDEX(SPLIT(A2030, ""/""), 4)"),"#REF!")</f>
        <v>#REF!</v>
      </c>
    </row>
    <row r="2031">
      <c r="A2031" s="1" t="s">
        <v>4070</v>
      </c>
      <c r="B2031" s="1" t="s">
        <v>6190</v>
      </c>
      <c r="C2031" s="1" t="s">
        <v>21</v>
      </c>
      <c r="D2031" s="4" t="s">
        <v>6191</v>
      </c>
      <c r="E2031" s="1" t="s">
        <v>71</v>
      </c>
      <c r="F2031" s="1" t="s">
        <v>5285</v>
      </c>
      <c r="G2031" s="1" t="s">
        <v>5948</v>
      </c>
      <c r="H2031" s="7" t="s">
        <v>3236</v>
      </c>
      <c r="I2031" s="1" t="str">
        <f t="shared" si="1"/>
        <v>10</v>
      </c>
      <c r="J2031" s="5"/>
      <c r="K2031" s="1" t="str">
        <f t="shared" si="2"/>
        <v>9</v>
      </c>
      <c r="L2031" s="5"/>
      <c r="M2031" s="2" t="str">
        <f t="shared" si="3"/>
        <v>1397</v>
      </c>
      <c r="N2031" s="5"/>
      <c r="O2031" s="13">
        <v>791.0</v>
      </c>
      <c r="P2031" s="5"/>
      <c r="Q2031" s="5"/>
      <c r="R2031" s="8" t="s">
        <v>3236</v>
      </c>
      <c r="S2031" s="5"/>
      <c r="T2031" s="1" t="str">
        <f>IFERROR(__xludf.DUMMYFUNCTION("INDEX(SPLIT(A2031, ""/""), 2)"),"کانون‌های فرهنگی هنری")</f>
        <v>کانون‌های فرهنگی هنری</v>
      </c>
      <c r="U2031" s="1" t="str">
        <f>IFERROR(__xludf.DUMMYFUNCTION("INDEX(SPLIT(A2031, ""/""), 3)"),"روزنامه شریف")</f>
        <v>روزنامه شریف</v>
      </c>
      <c r="V2031" s="1" t="str">
        <f>IFERROR(__xludf.DUMMYFUNCTION("INDEX(SPLIT(A2031, ""/""), 4)"),"#REF!")</f>
        <v>#REF!</v>
      </c>
    </row>
    <row r="2032">
      <c r="A2032" s="1" t="s">
        <v>4070</v>
      </c>
      <c r="B2032" s="1" t="s">
        <v>6192</v>
      </c>
      <c r="C2032" s="1" t="s">
        <v>21</v>
      </c>
      <c r="D2032" s="4" t="s">
        <v>6193</v>
      </c>
      <c r="E2032" s="1" t="s">
        <v>71</v>
      </c>
      <c r="F2032" s="1" t="s">
        <v>5285</v>
      </c>
      <c r="G2032" s="1" t="s">
        <v>5948</v>
      </c>
      <c r="H2032" s="1" t="s">
        <v>3433</v>
      </c>
      <c r="I2032" s="1" t="str">
        <f t="shared" si="1"/>
        <v>13</v>
      </c>
      <c r="J2032" s="5"/>
      <c r="K2032" s="1" t="str">
        <f t="shared" si="2"/>
        <v>9</v>
      </c>
      <c r="L2032" s="5"/>
      <c r="M2032" s="2" t="str">
        <f t="shared" si="3"/>
        <v>1397</v>
      </c>
      <c r="N2032" s="5"/>
      <c r="O2032" s="13">
        <v>792.0</v>
      </c>
      <c r="P2032" s="5"/>
      <c r="Q2032" s="5"/>
      <c r="R2032" s="6" t="s">
        <v>3433</v>
      </c>
      <c r="S2032" s="5"/>
      <c r="T2032" s="1" t="str">
        <f>IFERROR(__xludf.DUMMYFUNCTION("INDEX(SPLIT(A2032, ""/""), 2)"),"کانون‌های فرهنگی هنری")</f>
        <v>کانون‌های فرهنگی هنری</v>
      </c>
      <c r="U2032" s="1" t="str">
        <f>IFERROR(__xludf.DUMMYFUNCTION("INDEX(SPLIT(A2032, ""/""), 3)"),"روزنامه شریف")</f>
        <v>روزنامه شریف</v>
      </c>
      <c r="V2032" s="1" t="str">
        <f>IFERROR(__xludf.DUMMYFUNCTION("INDEX(SPLIT(A2032, ""/""), 4)"),"#REF!")</f>
        <v>#REF!</v>
      </c>
    </row>
    <row r="2033">
      <c r="A2033" s="1" t="s">
        <v>4070</v>
      </c>
      <c r="B2033" s="1" t="s">
        <v>6194</v>
      </c>
      <c r="C2033" s="1" t="s">
        <v>21</v>
      </c>
      <c r="D2033" s="4" t="s">
        <v>6195</v>
      </c>
      <c r="E2033" s="1" t="s">
        <v>71</v>
      </c>
      <c r="F2033" s="1" t="s">
        <v>5285</v>
      </c>
      <c r="G2033" s="1" t="s">
        <v>5948</v>
      </c>
      <c r="H2033" s="1" t="s">
        <v>1287</v>
      </c>
      <c r="I2033" s="1" t="str">
        <f t="shared" si="1"/>
        <v>17</v>
      </c>
      <c r="J2033" s="5"/>
      <c r="K2033" s="1" t="str">
        <f t="shared" si="2"/>
        <v>9</v>
      </c>
      <c r="L2033" s="5"/>
      <c r="M2033" s="2" t="str">
        <f t="shared" si="3"/>
        <v>1397</v>
      </c>
      <c r="N2033" s="5"/>
      <c r="O2033" s="13">
        <v>793.0</v>
      </c>
      <c r="P2033" s="5"/>
      <c r="Q2033" s="5"/>
      <c r="R2033" s="6" t="s">
        <v>1287</v>
      </c>
      <c r="S2033" s="5"/>
      <c r="T2033" s="1" t="str">
        <f>IFERROR(__xludf.DUMMYFUNCTION("INDEX(SPLIT(A2033, ""/""), 2)"),"کانون‌های فرهنگی هنری")</f>
        <v>کانون‌های فرهنگی هنری</v>
      </c>
      <c r="U2033" s="1" t="str">
        <f>IFERROR(__xludf.DUMMYFUNCTION("INDEX(SPLIT(A2033, ""/""), 3)"),"روزنامه شریف")</f>
        <v>روزنامه شریف</v>
      </c>
      <c r="V2033" s="1" t="str">
        <f>IFERROR(__xludf.DUMMYFUNCTION("INDEX(SPLIT(A2033, ""/""), 4)"),"#REF!")</f>
        <v>#REF!</v>
      </c>
    </row>
    <row r="2034">
      <c r="A2034" s="1" t="s">
        <v>4070</v>
      </c>
      <c r="B2034" s="1" t="s">
        <v>6196</v>
      </c>
      <c r="C2034" s="1" t="s">
        <v>21</v>
      </c>
      <c r="D2034" s="4" t="s">
        <v>6197</v>
      </c>
      <c r="E2034" s="1" t="s">
        <v>71</v>
      </c>
      <c r="F2034" s="1" t="s">
        <v>5285</v>
      </c>
      <c r="G2034" s="1" t="s">
        <v>5948</v>
      </c>
      <c r="H2034" s="1" t="s">
        <v>6198</v>
      </c>
      <c r="I2034" s="1" t="str">
        <f t="shared" si="1"/>
        <v>20</v>
      </c>
      <c r="J2034" s="5"/>
      <c r="K2034" s="1" t="str">
        <f t="shared" si="2"/>
        <v>9</v>
      </c>
      <c r="L2034" s="5"/>
      <c r="M2034" s="2" t="str">
        <f t="shared" si="3"/>
        <v>1397</v>
      </c>
      <c r="N2034" s="5"/>
      <c r="O2034" s="13">
        <v>794.0</v>
      </c>
      <c r="P2034" s="5"/>
      <c r="Q2034" s="5"/>
      <c r="R2034" s="6" t="s">
        <v>6198</v>
      </c>
      <c r="S2034" s="5"/>
      <c r="T2034" s="1" t="str">
        <f>IFERROR(__xludf.DUMMYFUNCTION("INDEX(SPLIT(A2034, ""/""), 2)"),"کانون‌های فرهنگی هنری")</f>
        <v>کانون‌های فرهنگی هنری</v>
      </c>
      <c r="U2034" s="1" t="str">
        <f>IFERROR(__xludf.DUMMYFUNCTION("INDEX(SPLIT(A2034, ""/""), 3)"),"روزنامه شریف")</f>
        <v>روزنامه شریف</v>
      </c>
      <c r="V2034" s="1" t="str">
        <f>IFERROR(__xludf.DUMMYFUNCTION("INDEX(SPLIT(A2034, ""/""), 4)"),"#REF!")</f>
        <v>#REF!</v>
      </c>
    </row>
    <row r="2035">
      <c r="A2035" s="1" t="s">
        <v>4070</v>
      </c>
      <c r="B2035" s="1" t="s">
        <v>6199</v>
      </c>
      <c r="C2035" s="1" t="s">
        <v>21</v>
      </c>
      <c r="D2035" s="4" t="s">
        <v>6200</v>
      </c>
      <c r="E2035" s="1" t="s">
        <v>71</v>
      </c>
      <c r="F2035" s="1" t="s">
        <v>5285</v>
      </c>
      <c r="G2035" s="1" t="s">
        <v>5948</v>
      </c>
      <c r="H2035" s="1" t="s">
        <v>6201</v>
      </c>
      <c r="I2035" s="1" t="str">
        <f t="shared" si="1"/>
        <v>24</v>
      </c>
      <c r="J2035" s="5"/>
      <c r="K2035" s="1" t="str">
        <f t="shared" si="2"/>
        <v>9</v>
      </c>
      <c r="L2035" s="5"/>
      <c r="M2035" s="2" t="str">
        <f t="shared" si="3"/>
        <v>1397</v>
      </c>
      <c r="N2035" s="5"/>
      <c r="O2035" s="13">
        <v>795.0</v>
      </c>
      <c r="P2035" s="5"/>
      <c r="Q2035" s="5"/>
      <c r="R2035" s="6" t="s">
        <v>6201</v>
      </c>
      <c r="S2035" s="5"/>
      <c r="T2035" s="1" t="str">
        <f>IFERROR(__xludf.DUMMYFUNCTION("INDEX(SPLIT(A2035, ""/""), 2)"),"کانون‌های فرهنگی هنری")</f>
        <v>کانون‌های فرهنگی هنری</v>
      </c>
      <c r="U2035" s="1" t="str">
        <f>IFERROR(__xludf.DUMMYFUNCTION("INDEX(SPLIT(A2035, ""/""), 3)"),"روزنامه شریف")</f>
        <v>روزنامه شریف</v>
      </c>
      <c r="V2035" s="1" t="str">
        <f>IFERROR(__xludf.DUMMYFUNCTION("INDEX(SPLIT(A2035, ""/""), 4)"),"#REF!")</f>
        <v>#REF!</v>
      </c>
    </row>
    <row r="2036">
      <c r="A2036" s="1" t="s">
        <v>4070</v>
      </c>
      <c r="B2036" s="1" t="s">
        <v>6202</v>
      </c>
      <c r="C2036" s="1" t="s">
        <v>21</v>
      </c>
      <c r="D2036" s="4" t="s">
        <v>6203</v>
      </c>
      <c r="E2036" s="1" t="s">
        <v>71</v>
      </c>
      <c r="F2036" s="1" t="s">
        <v>5285</v>
      </c>
      <c r="G2036" s="1" t="s">
        <v>5948</v>
      </c>
      <c r="H2036" s="1" t="s">
        <v>6204</v>
      </c>
      <c r="I2036" s="1" t="str">
        <f t="shared" si="1"/>
        <v>27</v>
      </c>
      <c r="J2036" s="5"/>
      <c r="K2036" s="1" t="str">
        <f t="shared" si="2"/>
        <v>9</v>
      </c>
      <c r="L2036" s="5"/>
      <c r="M2036" s="2" t="str">
        <f t="shared" si="3"/>
        <v>1397</v>
      </c>
      <c r="N2036" s="5"/>
      <c r="O2036" s="13">
        <v>796.0</v>
      </c>
      <c r="P2036" s="5"/>
      <c r="Q2036" s="5"/>
      <c r="R2036" s="6" t="s">
        <v>6204</v>
      </c>
      <c r="S2036" s="5"/>
      <c r="T2036" s="1" t="str">
        <f>IFERROR(__xludf.DUMMYFUNCTION("INDEX(SPLIT(A2036, ""/""), 2)"),"کانون‌های فرهنگی هنری")</f>
        <v>کانون‌های فرهنگی هنری</v>
      </c>
      <c r="U2036" s="1" t="str">
        <f>IFERROR(__xludf.DUMMYFUNCTION("INDEX(SPLIT(A2036, ""/""), 3)"),"روزنامه شریف")</f>
        <v>روزنامه شریف</v>
      </c>
      <c r="V2036" s="1" t="str">
        <f>IFERROR(__xludf.DUMMYFUNCTION("INDEX(SPLIT(A2036, ""/""), 4)"),"#REF!")</f>
        <v>#REF!</v>
      </c>
    </row>
    <row r="2037">
      <c r="A2037" s="1" t="s">
        <v>4070</v>
      </c>
      <c r="B2037" s="1" t="s">
        <v>6205</v>
      </c>
      <c r="C2037" s="1" t="s">
        <v>21</v>
      </c>
      <c r="D2037" s="4" t="s">
        <v>6206</v>
      </c>
      <c r="E2037" s="1" t="s">
        <v>71</v>
      </c>
      <c r="F2037" s="1" t="s">
        <v>5285</v>
      </c>
      <c r="G2037" s="1" t="s">
        <v>5948</v>
      </c>
      <c r="H2037" s="7" t="s">
        <v>2716</v>
      </c>
      <c r="I2037" s="1" t="str">
        <f t="shared" si="1"/>
        <v>1</v>
      </c>
      <c r="J2037" s="5"/>
      <c r="K2037" s="1" t="str">
        <f t="shared" si="2"/>
        <v>10</v>
      </c>
      <c r="L2037" s="5"/>
      <c r="M2037" s="2" t="str">
        <f t="shared" si="3"/>
        <v>1397</v>
      </c>
      <c r="N2037" s="5"/>
      <c r="O2037" s="13">
        <v>797.0</v>
      </c>
      <c r="P2037" s="5"/>
      <c r="Q2037" s="5"/>
      <c r="R2037" s="8" t="s">
        <v>2716</v>
      </c>
      <c r="S2037" s="5"/>
      <c r="T2037" s="1" t="str">
        <f>IFERROR(__xludf.DUMMYFUNCTION("INDEX(SPLIT(A2037, ""/""), 2)"),"کانون‌های فرهنگی هنری")</f>
        <v>کانون‌های فرهنگی هنری</v>
      </c>
      <c r="U2037" s="1" t="str">
        <f>IFERROR(__xludf.DUMMYFUNCTION("INDEX(SPLIT(A2037, ""/""), 3)"),"روزنامه شریف")</f>
        <v>روزنامه شریف</v>
      </c>
      <c r="V2037" s="1" t="str">
        <f>IFERROR(__xludf.DUMMYFUNCTION("INDEX(SPLIT(A2037, ""/""), 4)"),"#REF!")</f>
        <v>#REF!</v>
      </c>
    </row>
    <row r="2038">
      <c r="A2038" s="1" t="s">
        <v>4070</v>
      </c>
      <c r="B2038" s="1" t="s">
        <v>6207</v>
      </c>
      <c r="C2038" s="1" t="s">
        <v>21</v>
      </c>
      <c r="D2038" s="4" t="s">
        <v>6208</v>
      </c>
      <c r="E2038" s="1" t="s">
        <v>71</v>
      </c>
      <c r="F2038" s="1" t="s">
        <v>5285</v>
      </c>
      <c r="G2038" s="1" t="s">
        <v>5948</v>
      </c>
      <c r="H2038" s="7" t="s">
        <v>6209</v>
      </c>
      <c r="I2038" s="1" t="str">
        <f t="shared" si="1"/>
        <v>4</v>
      </c>
      <c r="J2038" s="5"/>
      <c r="K2038" s="1" t="str">
        <f t="shared" si="2"/>
        <v>10</v>
      </c>
      <c r="L2038" s="5"/>
      <c r="M2038" s="2" t="str">
        <f t="shared" si="3"/>
        <v>1397</v>
      </c>
      <c r="N2038" s="5"/>
      <c r="O2038" s="13">
        <v>798.0</v>
      </c>
      <c r="P2038" s="5"/>
      <c r="Q2038" s="5"/>
      <c r="R2038" s="8" t="s">
        <v>6209</v>
      </c>
      <c r="S2038" s="5"/>
      <c r="T2038" s="1" t="str">
        <f>IFERROR(__xludf.DUMMYFUNCTION("INDEX(SPLIT(A2038, ""/""), 2)"),"کانون‌های فرهنگی هنری")</f>
        <v>کانون‌های فرهنگی هنری</v>
      </c>
      <c r="U2038" s="1" t="str">
        <f>IFERROR(__xludf.DUMMYFUNCTION("INDEX(SPLIT(A2038, ""/""), 3)"),"روزنامه شریف")</f>
        <v>روزنامه شریف</v>
      </c>
      <c r="V2038" s="1" t="str">
        <f>IFERROR(__xludf.DUMMYFUNCTION("INDEX(SPLIT(A2038, ""/""), 4)"),"#REF!")</f>
        <v>#REF!</v>
      </c>
    </row>
    <row r="2039">
      <c r="A2039" s="1" t="s">
        <v>4070</v>
      </c>
      <c r="B2039" s="1" t="s">
        <v>6210</v>
      </c>
      <c r="C2039" s="1" t="s">
        <v>21</v>
      </c>
      <c r="D2039" s="4" t="s">
        <v>6211</v>
      </c>
      <c r="E2039" s="1" t="s">
        <v>71</v>
      </c>
      <c r="F2039" s="1" t="s">
        <v>5285</v>
      </c>
      <c r="G2039" s="1" t="s">
        <v>5948</v>
      </c>
      <c r="H2039" s="1" t="s">
        <v>6212</v>
      </c>
      <c r="I2039" s="1" t="str">
        <f t="shared" si="1"/>
        <v>16</v>
      </c>
      <c r="J2039" s="5"/>
      <c r="K2039" s="1" t="str">
        <f t="shared" si="2"/>
        <v>11</v>
      </c>
      <c r="L2039" s="5"/>
      <c r="M2039" s="2" t="str">
        <f t="shared" si="3"/>
        <v>1397</v>
      </c>
      <c r="N2039" s="5"/>
      <c r="O2039" s="13">
        <v>799.0</v>
      </c>
      <c r="P2039" s="5"/>
      <c r="Q2039" s="5"/>
      <c r="R2039" s="6" t="s">
        <v>6212</v>
      </c>
      <c r="S2039" s="5"/>
      <c r="T2039" s="1" t="str">
        <f>IFERROR(__xludf.DUMMYFUNCTION("INDEX(SPLIT(A2039, ""/""), 2)"),"کانون‌های فرهنگی هنری")</f>
        <v>کانون‌های فرهنگی هنری</v>
      </c>
      <c r="U2039" s="1" t="str">
        <f>IFERROR(__xludf.DUMMYFUNCTION("INDEX(SPLIT(A2039, ""/""), 3)"),"روزنامه شریف")</f>
        <v>روزنامه شریف</v>
      </c>
      <c r="V2039" s="1" t="str">
        <f>IFERROR(__xludf.DUMMYFUNCTION("INDEX(SPLIT(A2039, ""/""), 4)"),"#REF!")</f>
        <v>#REF!</v>
      </c>
    </row>
    <row r="2040">
      <c r="A2040" s="1" t="s">
        <v>4070</v>
      </c>
      <c r="B2040" s="1" t="s">
        <v>6213</v>
      </c>
      <c r="C2040" s="1" t="s">
        <v>21</v>
      </c>
      <c r="D2040" s="4" t="s">
        <v>6214</v>
      </c>
      <c r="E2040" s="1" t="s">
        <v>71</v>
      </c>
      <c r="F2040" s="1" t="s">
        <v>5285</v>
      </c>
      <c r="G2040" s="1" t="s">
        <v>5948</v>
      </c>
      <c r="H2040" s="1" t="s">
        <v>6215</v>
      </c>
      <c r="I2040" s="1" t="str">
        <f t="shared" si="1"/>
        <v>27</v>
      </c>
      <c r="J2040" s="5"/>
      <c r="K2040" s="1" t="str">
        <f t="shared" si="2"/>
        <v>11</v>
      </c>
      <c r="L2040" s="5"/>
      <c r="M2040" s="2" t="str">
        <f t="shared" si="3"/>
        <v>1397</v>
      </c>
      <c r="N2040" s="5"/>
      <c r="O2040" s="13">
        <v>800.0</v>
      </c>
      <c r="P2040" s="5"/>
      <c r="Q2040" s="5"/>
      <c r="R2040" s="6" t="s">
        <v>6215</v>
      </c>
      <c r="S2040" s="5"/>
      <c r="T2040" s="1" t="str">
        <f>IFERROR(__xludf.DUMMYFUNCTION("INDEX(SPLIT(A2040, ""/""), 2)"),"کانون‌های فرهنگی هنری")</f>
        <v>کانون‌های فرهنگی هنری</v>
      </c>
      <c r="U2040" s="1" t="str">
        <f>IFERROR(__xludf.DUMMYFUNCTION("INDEX(SPLIT(A2040, ""/""), 3)"),"روزنامه شریف")</f>
        <v>روزنامه شریف</v>
      </c>
      <c r="V2040" s="1" t="str">
        <f>IFERROR(__xludf.DUMMYFUNCTION("INDEX(SPLIT(A2040, ""/""), 4)"),"#REF!")</f>
        <v>#REF!</v>
      </c>
    </row>
    <row r="2041">
      <c r="A2041" s="1" t="s">
        <v>4070</v>
      </c>
      <c r="B2041" s="1" t="s">
        <v>6216</v>
      </c>
      <c r="C2041" s="1" t="s">
        <v>21</v>
      </c>
      <c r="D2041" s="4" t="s">
        <v>6217</v>
      </c>
      <c r="E2041" s="1" t="s">
        <v>71</v>
      </c>
      <c r="F2041" s="1" t="s">
        <v>5285</v>
      </c>
      <c r="G2041" s="1" t="s">
        <v>5948</v>
      </c>
      <c r="H2041" s="1" t="s">
        <v>1297</v>
      </c>
      <c r="I2041" s="1" t="str">
        <f t="shared" si="1"/>
        <v>30</v>
      </c>
      <c r="J2041" s="5"/>
      <c r="K2041" s="1" t="str">
        <f t="shared" si="2"/>
        <v>11</v>
      </c>
      <c r="L2041" s="5"/>
      <c r="M2041" s="2" t="str">
        <f t="shared" si="3"/>
        <v>1397</v>
      </c>
      <c r="N2041" s="5"/>
      <c r="O2041" s="13">
        <v>801.0</v>
      </c>
      <c r="P2041" s="5"/>
      <c r="Q2041" s="5"/>
      <c r="R2041" s="6" t="s">
        <v>1297</v>
      </c>
      <c r="S2041" s="5"/>
      <c r="T2041" s="1" t="str">
        <f>IFERROR(__xludf.DUMMYFUNCTION("INDEX(SPLIT(A2041, ""/""), 2)"),"کانون‌های فرهنگی هنری")</f>
        <v>کانون‌های فرهنگی هنری</v>
      </c>
      <c r="U2041" s="1" t="str">
        <f>IFERROR(__xludf.DUMMYFUNCTION("INDEX(SPLIT(A2041, ""/""), 3)"),"روزنامه شریف")</f>
        <v>روزنامه شریف</v>
      </c>
      <c r="V2041" s="1" t="str">
        <f>IFERROR(__xludf.DUMMYFUNCTION("INDEX(SPLIT(A2041, ""/""), 4)"),"#REF!")</f>
        <v>#REF!</v>
      </c>
    </row>
    <row r="2042">
      <c r="A2042" s="1" t="s">
        <v>4070</v>
      </c>
      <c r="B2042" s="1" t="s">
        <v>6218</v>
      </c>
      <c r="C2042" s="1" t="s">
        <v>21</v>
      </c>
      <c r="D2042" s="4" t="s">
        <v>6219</v>
      </c>
      <c r="E2042" s="1" t="s">
        <v>71</v>
      </c>
      <c r="F2042" s="1" t="s">
        <v>5285</v>
      </c>
      <c r="G2042" s="1" t="s">
        <v>5948</v>
      </c>
      <c r="H2042" s="7" t="s">
        <v>6220</v>
      </c>
      <c r="I2042" s="1" t="str">
        <f t="shared" si="1"/>
        <v>4</v>
      </c>
      <c r="J2042" s="5"/>
      <c r="K2042" s="1" t="str">
        <f t="shared" si="2"/>
        <v>12</v>
      </c>
      <c r="L2042" s="5"/>
      <c r="M2042" s="2" t="str">
        <f t="shared" si="3"/>
        <v>1397</v>
      </c>
      <c r="N2042" s="5"/>
      <c r="O2042" s="13">
        <v>802.0</v>
      </c>
      <c r="P2042" s="5"/>
      <c r="Q2042" s="5"/>
      <c r="R2042" s="8" t="s">
        <v>6220</v>
      </c>
      <c r="S2042" s="5"/>
      <c r="T2042" s="1" t="str">
        <f>IFERROR(__xludf.DUMMYFUNCTION("INDEX(SPLIT(A2042, ""/""), 2)"),"کانون‌های فرهنگی هنری")</f>
        <v>کانون‌های فرهنگی هنری</v>
      </c>
      <c r="U2042" s="1" t="str">
        <f>IFERROR(__xludf.DUMMYFUNCTION("INDEX(SPLIT(A2042, ""/""), 3)"),"روزنامه شریف")</f>
        <v>روزنامه شریف</v>
      </c>
      <c r="V2042" s="1" t="str">
        <f>IFERROR(__xludf.DUMMYFUNCTION("INDEX(SPLIT(A2042, ""/""), 4)"),"#REF!")</f>
        <v>#REF!</v>
      </c>
    </row>
    <row r="2043">
      <c r="A2043" s="1" t="s">
        <v>4070</v>
      </c>
      <c r="B2043" s="1" t="s">
        <v>6221</v>
      </c>
      <c r="C2043" s="1" t="s">
        <v>21</v>
      </c>
      <c r="D2043" s="4" t="s">
        <v>6222</v>
      </c>
      <c r="E2043" s="1" t="s">
        <v>71</v>
      </c>
      <c r="F2043" s="1" t="s">
        <v>5285</v>
      </c>
      <c r="G2043" s="1" t="s">
        <v>5948</v>
      </c>
      <c r="H2043" s="7" t="s">
        <v>6223</v>
      </c>
      <c r="I2043" s="1" t="str">
        <f t="shared" si="1"/>
        <v>7</v>
      </c>
      <c r="J2043" s="5"/>
      <c r="K2043" s="1" t="str">
        <f t="shared" si="2"/>
        <v>12</v>
      </c>
      <c r="L2043" s="5"/>
      <c r="M2043" s="2" t="str">
        <f t="shared" si="3"/>
        <v>1397</v>
      </c>
      <c r="N2043" s="5"/>
      <c r="O2043" s="13">
        <v>803.0</v>
      </c>
      <c r="P2043" s="5"/>
      <c r="Q2043" s="5"/>
      <c r="R2043" s="8" t="s">
        <v>6223</v>
      </c>
      <c r="S2043" s="5"/>
      <c r="T2043" s="1" t="str">
        <f>IFERROR(__xludf.DUMMYFUNCTION("INDEX(SPLIT(A2043, ""/""), 2)"),"کانون‌های فرهنگی هنری")</f>
        <v>کانون‌های فرهنگی هنری</v>
      </c>
      <c r="U2043" s="1" t="str">
        <f>IFERROR(__xludf.DUMMYFUNCTION("INDEX(SPLIT(A2043, ""/""), 3)"),"روزنامه شریف")</f>
        <v>روزنامه شریف</v>
      </c>
      <c r="V2043" s="1" t="str">
        <f>IFERROR(__xludf.DUMMYFUNCTION("INDEX(SPLIT(A2043, ""/""), 4)"),"#REF!")</f>
        <v>#REF!</v>
      </c>
    </row>
    <row r="2044">
      <c r="A2044" s="1" t="s">
        <v>4070</v>
      </c>
      <c r="B2044" s="1" t="s">
        <v>6224</v>
      </c>
      <c r="C2044" s="1" t="s">
        <v>21</v>
      </c>
      <c r="D2044" s="4" t="s">
        <v>6225</v>
      </c>
      <c r="E2044" s="1" t="s">
        <v>71</v>
      </c>
      <c r="F2044" s="1" t="s">
        <v>5285</v>
      </c>
      <c r="G2044" s="1" t="s">
        <v>5948</v>
      </c>
      <c r="H2044" s="7" t="s">
        <v>6226</v>
      </c>
      <c r="I2044" s="1" t="str">
        <f t="shared" si="1"/>
        <v>11</v>
      </c>
      <c r="J2044" s="5"/>
      <c r="K2044" s="1" t="str">
        <f t="shared" si="2"/>
        <v>12</v>
      </c>
      <c r="L2044" s="5"/>
      <c r="M2044" s="2" t="str">
        <f t="shared" si="3"/>
        <v>1397</v>
      </c>
      <c r="N2044" s="5"/>
      <c r="O2044" s="13">
        <v>804.0</v>
      </c>
      <c r="P2044" s="5"/>
      <c r="Q2044" s="5"/>
      <c r="R2044" s="8" t="s">
        <v>6226</v>
      </c>
      <c r="S2044" s="5"/>
      <c r="T2044" s="1" t="str">
        <f>IFERROR(__xludf.DUMMYFUNCTION("INDEX(SPLIT(A2044, ""/""), 2)"),"کانون‌های فرهنگی هنری")</f>
        <v>کانون‌های فرهنگی هنری</v>
      </c>
      <c r="U2044" s="1" t="str">
        <f>IFERROR(__xludf.DUMMYFUNCTION("INDEX(SPLIT(A2044, ""/""), 3)"),"روزنامه شریف")</f>
        <v>روزنامه شریف</v>
      </c>
      <c r="V2044" s="1" t="str">
        <f>IFERROR(__xludf.DUMMYFUNCTION("INDEX(SPLIT(A2044, ""/""), 4)"),"#REF!")</f>
        <v>#REF!</v>
      </c>
    </row>
    <row r="2045">
      <c r="A2045" s="1" t="s">
        <v>4070</v>
      </c>
      <c r="B2045" s="1" t="s">
        <v>6227</v>
      </c>
      <c r="C2045" s="1" t="s">
        <v>21</v>
      </c>
      <c r="D2045" s="4" t="s">
        <v>6228</v>
      </c>
      <c r="E2045" s="1" t="s">
        <v>71</v>
      </c>
      <c r="F2045" s="1" t="s">
        <v>5285</v>
      </c>
      <c r="G2045" s="1" t="s">
        <v>5948</v>
      </c>
      <c r="H2045" s="1" t="s">
        <v>6229</v>
      </c>
      <c r="I2045" s="1" t="str">
        <f t="shared" si="1"/>
        <v>14</v>
      </c>
      <c r="J2045" s="5"/>
      <c r="K2045" s="1" t="str">
        <f t="shared" si="2"/>
        <v>12</v>
      </c>
      <c r="L2045" s="5"/>
      <c r="M2045" s="2" t="str">
        <f t="shared" si="3"/>
        <v>1397</v>
      </c>
      <c r="N2045" s="5"/>
      <c r="O2045" s="13">
        <v>805.0</v>
      </c>
      <c r="P2045" s="5"/>
      <c r="Q2045" s="5"/>
      <c r="R2045" s="6" t="s">
        <v>6229</v>
      </c>
      <c r="S2045" s="5"/>
      <c r="T2045" s="1" t="str">
        <f>IFERROR(__xludf.DUMMYFUNCTION("INDEX(SPLIT(A2045, ""/""), 2)"),"کانون‌های فرهنگی هنری")</f>
        <v>کانون‌های فرهنگی هنری</v>
      </c>
      <c r="U2045" s="1" t="str">
        <f>IFERROR(__xludf.DUMMYFUNCTION("INDEX(SPLIT(A2045, ""/""), 3)"),"روزنامه شریف")</f>
        <v>روزنامه شریف</v>
      </c>
      <c r="V2045" s="1" t="str">
        <f>IFERROR(__xludf.DUMMYFUNCTION("INDEX(SPLIT(A2045, ""/""), 4)"),"#REF!")</f>
        <v>#REF!</v>
      </c>
    </row>
    <row r="2046">
      <c r="A2046" s="1" t="s">
        <v>4070</v>
      </c>
      <c r="B2046" s="1" t="s">
        <v>6230</v>
      </c>
      <c r="C2046" s="1" t="s">
        <v>21</v>
      </c>
      <c r="D2046" s="4" t="s">
        <v>6231</v>
      </c>
      <c r="E2046" s="1" t="s">
        <v>71</v>
      </c>
      <c r="F2046" s="1" t="s">
        <v>5285</v>
      </c>
      <c r="G2046" s="1" t="s">
        <v>5948</v>
      </c>
      <c r="H2046" s="1" t="s">
        <v>6232</v>
      </c>
      <c r="I2046" s="1" t="str">
        <f t="shared" si="1"/>
        <v>18</v>
      </c>
      <c r="J2046" s="5"/>
      <c r="K2046" s="1" t="str">
        <f t="shared" si="2"/>
        <v>12</v>
      </c>
      <c r="L2046" s="5"/>
      <c r="M2046" s="2" t="str">
        <f t="shared" si="3"/>
        <v>1397</v>
      </c>
      <c r="N2046" s="5"/>
      <c r="O2046" s="13">
        <v>806.0</v>
      </c>
      <c r="P2046" s="5"/>
      <c r="Q2046" s="5"/>
      <c r="R2046" s="6" t="s">
        <v>6232</v>
      </c>
      <c r="S2046" s="5"/>
      <c r="T2046" s="1" t="str">
        <f>IFERROR(__xludf.DUMMYFUNCTION("INDEX(SPLIT(A2046, ""/""), 2)"),"کانون‌های فرهنگی هنری")</f>
        <v>کانون‌های فرهنگی هنری</v>
      </c>
      <c r="U2046" s="1" t="str">
        <f>IFERROR(__xludf.DUMMYFUNCTION("INDEX(SPLIT(A2046, ""/""), 3)"),"روزنامه شریف")</f>
        <v>روزنامه شریف</v>
      </c>
      <c r="V2046" s="1" t="str">
        <f>IFERROR(__xludf.DUMMYFUNCTION("INDEX(SPLIT(A2046, ""/""), 4)"),"#REF!")</f>
        <v>#REF!</v>
      </c>
    </row>
    <row r="2047">
      <c r="A2047" s="1" t="s">
        <v>4070</v>
      </c>
      <c r="B2047" s="1" t="s">
        <v>6233</v>
      </c>
      <c r="C2047" s="1" t="s">
        <v>21</v>
      </c>
      <c r="D2047" s="4" t="s">
        <v>6234</v>
      </c>
      <c r="E2047" s="1" t="s">
        <v>71</v>
      </c>
      <c r="F2047" s="1" t="s">
        <v>5285</v>
      </c>
      <c r="G2047" s="1" t="s">
        <v>5948</v>
      </c>
      <c r="H2047" s="1" t="s">
        <v>1300</v>
      </c>
      <c r="I2047" s="1" t="str">
        <f t="shared" si="1"/>
        <v>21</v>
      </c>
      <c r="J2047" s="5"/>
      <c r="K2047" s="1" t="str">
        <f t="shared" si="2"/>
        <v>12</v>
      </c>
      <c r="L2047" s="5"/>
      <c r="M2047" s="2" t="str">
        <f t="shared" si="3"/>
        <v>1397</v>
      </c>
      <c r="N2047" s="5"/>
      <c r="O2047" s="13">
        <v>807.0</v>
      </c>
      <c r="P2047" s="5"/>
      <c r="Q2047" s="5"/>
      <c r="R2047" s="6" t="s">
        <v>1300</v>
      </c>
      <c r="S2047" s="5"/>
      <c r="T2047" s="1" t="str">
        <f>IFERROR(__xludf.DUMMYFUNCTION("INDEX(SPLIT(A2047, ""/""), 2)"),"کانون‌های فرهنگی هنری")</f>
        <v>کانون‌های فرهنگی هنری</v>
      </c>
      <c r="U2047" s="1" t="str">
        <f>IFERROR(__xludf.DUMMYFUNCTION("INDEX(SPLIT(A2047, ""/""), 3)"),"روزنامه شریف")</f>
        <v>روزنامه شریف</v>
      </c>
      <c r="V2047" s="1" t="str">
        <f>IFERROR(__xludf.DUMMYFUNCTION("INDEX(SPLIT(A2047, ""/""), 4)"),"#REF!")</f>
        <v>#REF!</v>
      </c>
    </row>
    <row r="2048">
      <c r="A2048" s="1" t="s">
        <v>4070</v>
      </c>
      <c r="B2048" s="1" t="s">
        <v>6235</v>
      </c>
      <c r="C2048" s="1" t="s">
        <v>21</v>
      </c>
      <c r="D2048" s="4" t="s">
        <v>6236</v>
      </c>
      <c r="E2048" s="1" t="s">
        <v>71</v>
      </c>
      <c r="F2048" s="1" t="s">
        <v>5285</v>
      </c>
      <c r="G2048" s="1" t="s">
        <v>5948</v>
      </c>
      <c r="H2048" s="1" t="s">
        <v>6237</v>
      </c>
      <c r="I2048" s="1" t="str">
        <f t="shared" si="1"/>
        <v>20</v>
      </c>
      <c r="J2048" s="5"/>
      <c r="K2048" s="1" t="str">
        <f t="shared" si="2"/>
        <v>1</v>
      </c>
      <c r="L2048" s="5"/>
      <c r="M2048" s="2" t="str">
        <f t="shared" si="3"/>
        <v>1398</v>
      </c>
      <c r="N2048" s="5"/>
      <c r="O2048" s="13">
        <v>808.0</v>
      </c>
      <c r="P2048" s="5"/>
      <c r="Q2048" s="5"/>
      <c r="R2048" s="6" t="s">
        <v>6237</v>
      </c>
      <c r="S2048" s="5"/>
      <c r="T2048" s="1" t="str">
        <f>IFERROR(__xludf.DUMMYFUNCTION("INDEX(SPLIT(A2048, ""/""), 2)"),"کانون‌های فرهنگی هنری")</f>
        <v>کانون‌های فرهنگی هنری</v>
      </c>
      <c r="U2048" s="1" t="str">
        <f>IFERROR(__xludf.DUMMYFUNCTION("INDEX(SPLIT(A2048, ""/""), 3)"),"روزنامه شریف")</f>
        <v>روزنامه شریف</v>
      </c>
      <c r="V2048" s="1" t="str">
        <f>IFERROR(__xludf.DUMMYFUNCTION("INDEX(SPLIT(A2048, ""/""), 4)"),"#REF!")</f>
        <v>#REF!</v>
      </c>
    </row>
    <row r="2049">
      <c r="A2049" s="1" t="s">
        <v>4070</v>
      </c>
      <c r="B2049" s="1" t="s">
        <v>6238</v>
      </c>
      <c r="C2049" s="1" t="s">
        <v>21</v>
      </c>
      <c r="D2049" s="4" t="s">
        <v>6239</v>
      </c>
      <c r="E2049" s="1" t="s">
        <v>71</v>
      </c>
      <c r="F2049" s="1" t="s">
        <v>5285</v>
      </c>
      <c r="G2049" s="1" t="s">
        <v>5948</v>
      </c>
      <c r="H2049" s="1" t="s">
        <v>6240</v>
      </c>
      <c r="I2049" s="1" t="str">
        <f t="shared" si="1"/>
        <v>24</v>
      </c>
      <c r="J2049" s="5"/>
      <c r="K2049" s="1" t="str">
        <f t="shared" si="2"/>
        <v>1</v>
      </c>
      <c r="L2049" s="5"/>
      <c r="M2049" s="2" t="str">
        <f t="shared" si="3"/>
        <v>1398</v>
      </c>
      <c r="N2049" s="5"/>
      <c r="O2049" s="13">
        <v>809.0</v>
      </c>
      <c r="P2049" s="5"/>
      <c r="Q2049" s="5"/>
      <c r="R2049" s="6" t="s">
        <v>6240</v>
      </c>
      <c r="S2049" s="5"/>
      <c r="T2049" s="1" t="str">
        <f>IFERROR(__xludf.DUMMYFUNCTION("INDEX(SPLIT(A2049, ""/""), 2)"),"کانون‌های فرهنگی هنری")</f>
        <v>کانون‌های فرهنگی هنری</v>
      </c>
      <c r="U2049" s="1" t="str">
        <f>IFERROR(__xludf.DUMMYFUNCTION("INDEX(SPLIT(A2049, ""/""), 3)"),"روزنامه شریف")</f>
        <v>روزنامه شریف</v>
      </c>
      <c r="V2049" s="1" t="str">
        <f>IFERROR(__xludf.DUMMYFUNCTION("INDEX(SPLIT(A2049, ""/""), 4)"),"#REF!")</f>
        <v>#REF!</v>
      </c>
    </row>
    <row r="2050">
      <c r="A2050" s="1" t="s">
        <v>4070</v>
      </c>
      <c r="B2050" s="1" t="s">
        <v>6241</v>
      </c>
      <c r="C2050" s="1" t="s">
        <v>21</v>
      </c>
      <c r="D2050" s="4" t="s">
        <v>6242</v>
      </c>
      <c r="E2050" s="1" t="s">
        <v>71</v>
      </c>
      <c r="F2050" s="1" t="s">
        <v>5285</v>
      </c>
      <c r="G2050" s="1" t="s">
        <v>5948</v>
      </c>
      <c r="H2050" s="1" t="s">
        <v>6243</v>
      </c>
      <c r="I2050" s="1" t="str">
        <f t="shared" si="1"/>
        <v>27</v>
      </c>
      <c r="J2050" s="5"/>
      <c r="K2050" s="1" t="str">
        <f t="shared" si="2"/>
        <v>1</v>
      </c>
      <c r="L2050" s="5"/>
      <c r="M2050" s="2" t="str">
        <f t="shared" si="3"/>
        <v>1398</v>
      </c>
      <c r="N2050" s="5"/>
      <c r="O2050" s="13">
        <v>810.0</v>
      </c>
      <c r="P2050" s="5"/>
      <c r="Q2050" s="5"/>
      <c r="R2050" s="6" t="s">
        <v>6243</v>
      </c>
      <c r="S2050" s="5"/>
      <c r="T2050" s="1" t="str">
        <f>IFERROR(__xludf.DUMMYFUNCTION("INDEX(SPLIT(A2050, ""/""), 2)"),"کانون‌های فرهنگی هنری")</f>
        <v>کانون‌های فرهنگی هنری</v>
      </c>
      <c r="U2050" s="1" t="str">
        <f>IFERROR(__xludf.DUMMYFUNCTION("INDEX(SPLIT(A2050, ""/""), 3)"),"روزنامه شریف")</f>
        <v>روزنامه شریف</v>
      </c>
      <c r="V2050" s="1" t="str">
        <f>IFERROR(__xludf.DUMMYFUNCTION("INDEX(SPLIT(A2050, ""/""), 4)"),"#REF!")</f>
        <v>#REF!</v>
      </c>
    </row>
    <row r="2051">
      <c r="A2051" s="1" t="s">
        <v>4070</v>
      </c>
      <c r="B2051" s="1" t="s">
        <v>6244</v>
      </c>
      <c r="C2051" s="1" t="s">
        <v>21</v>
      </c>
      <c r="D2051" s="4" t="s">
        <v>6245</v>
      </c>
      <c r="E2051" s="1" t="s">
        <v>71</v>
      </c>
      <c r="F2051" s="1" t="s">
        <v>5285</v>
      </c>
      <c r="G2051" s="1" t="s">
        <v>5948</v>
      </c>
      <c r="H2051" s="7" t="s">
        <v>6246</v>
      </c>
      <c r="I2051" s="1" t="str">
        <f t="shared" si="1"/>
        <v>3</v>
      </c>
      <c r="J2051" s="5"/>
      <c r="K2051" s="1" t="str">
        <f t="shared" si="2"/>
        <v>2</v>
      </c>
      <c r="L2051" s="5"/>
      <c r="M2051" s="2" t="str">
        <f t="shared" si="3"/>
        <v>1398</v>
      </c>
      <c r="N2051" s="5"/>
      <c r="O2051" s="13">
        <v>811.0</v>
      </c>
      <c r="P2051" s="5"/>
      <c r="Q2051" s="5"/>
      <c r="R2051" s="8" t="s">
        <v>6246</v>
      </c>
      <c r="S2051" s="5"/>
      <c r="T2051" s="1" t="str">
        <f>IFERROR(__xludf.DUMMYFUNCTION("INDEX(SPLIT(A2051, ""/""), 2)"),"کانون‌های فرهنگی هنری")</f>
        <v>کانون‌های فرهنگی هنری</v>
      </c>
      <c r="U2051" s="1" t="str">
        <f>IFERROR(__xludf.DUMMYFUNCTION("INDEX(SPLIT(A2051, ""/""), 3)"),"روزنامه شریف")</f>
        <v>روزنامه شریف</v>
      </c>
      <c r="V2051" s="1" t="str">
        <f>IFERROR(__xludf.DUMMYFUNCTION("INDEX(SPLIT(A2051, ""/""), 4)"),"#REF!")</f>
        <v>#REF!</v>
      </c>
    </row>
    <row r="2052">
      <c r="A2052" s="1" t="s">
        <v>4070</v>
      </c>
      <c r="B2052" s="1" t="s">
        <v>6247</v>
      </c>
      <c r="C2052" s="1" t="s">
        <v>21</v>
      </c>
      <c r="D2052" s="4" t="s">
        <v>6248</v>
      </c>
      <c r="E2052" s="1" t="s">
        <v>71</v>
      </c>
      <c r="F2052" s="1" t="s">
        <v>5285</v>
      </c>
      <c r="G2052" s="1" t="s">
        <v>5948</v>
      </c>
      <c r="H2052" s="7" t="s">
        <v>6249</v>
      </c>
      <c r="I2052" s="1" t="str">
        <f t="shared" si="1"/>
        <v>7</v>
      </c>
      <c r="J2052" s="5"/>
      <c r="K2052" s="1" t="str">
        <f t="shared" si="2"/>
        <v>2</v>
      </c>
      <c r="L2052" s="5"/>
      <c r="M2052" s="2" t="str">
        <f t="shared" si="3"/>
        <v>1398</v>
      </c>
      <c r="N2052" s="5"/>
      <c r="O2052" s="13">
        <v>812.0</v>
      </c>
      <c r="P2052" s="5"/>
      <c r="Q2052" s="5"/>
      <c r="R2052" s="8" t="s">
        <v>6249</v>
      </c>
      <c r="S2052" s="5"/>
      <c r="T2052" s="1" t="str">
        <f>IFERROR(__xludf.DUMMYFUNCTION("INDEX(SPLIT(A2052, ""/""), 2)"),"کانون‌های فرهنگی هنری")</f>
        <v>کانون‌های فرهنگی هنری</v>
      </c>
      <c r="U2052" s="1" t="str">
        <f>IFERROR(__xludf.DUMMYFUNCTION("INDEX(SPLIT(A2052, ""/""), 3)"),"روزنامه شریف")</f>
        <v>روزنامه شریف</v>
      </c>
      <c r="V2052" s="1" t="str">
        <f>IFERROR(__xludf.DUMMYFUNCTION("INDEX(SPLIT(A2052, ""/""), 4)"),"#REF!")</f>
        <v>#REF!</v>
      </c>
    </row>
    <row r="2053">
      <c r="A2053" s="1" t="s">
        <v>4070</v>
      </c>
      <c r="B2053" s="1" t="s">
        <v>6250</v>
      </c>
      <c r="C2053" s="1" t="s">
        <v>21</v>
      </c>
      <c r="D2053" s="4" t="s">
        <v>6251</v>
      </c>
      <c r="E2053" s="1" t="s">
        <v>71</v>
      </c>
      <c r="F2053" s="1" t="s">
        <v>5285</v>
      </c>
      <c r="G2053" s="1" t="s">
        <v>5948</v>
      </c>
      <c r="H2053" s="7" t="s">
        <v>2060</v>
      </c>
      <c r="I2053" s="1" t="str">
        <f t="shared" si="1"/>
        <v>10</v>
      </c>
      <c r="J2053" s="5"/>
      <c r="K2053" s="1" t="str">
        <f t="shared" si="2"/>
        <v>2</v>
      </c>
      <c r="L2053" s="5"/>
      <c r="M2053" s="2" t="str">
        <f t="shared" si="3"/>
        <v>1398</v>
      </c>
      <c r="N2053" s="5"/>
      <c r="O2053" s="13">
        <v>813.0</v>
      </c>
      <c r="P2053" s="5"/>
      <c r="Q2053" s="5"/>
      <c r="R2053" s="8" t="s">
        <v>2060</v>
      </c>
      <c r="S2053" s="5"/>
      <c r="T2053" s="1" t="str">
        <f>IFERROR(__xludf.DUMMYFUNCTION("INDEX(SPLIT(A2053, ""/""), 2)"),"کانون‌های فرهنگی هنری")</f>
        <v>کانون‌های فرهنگی هنری</v>
      </c>
      <c r="U2053" s="1" t="str">
        <f>IFERROR(__xludf.DUMMYFUNCTION("INDEX(SPLIT(A2053, ""/""), 3)"),"روزنامه شریف")</f>
        <v>روزنامه شریف</v>
      </c>
      <c r="V2053" s="1" t="str">
        <f>IFERROR(__xludf.DUMMYFUNCTION("INDEX(SPLIT(A2053, ""/""), 4)"),"#REF!")</f>
        <v>#REF!</v>
      </c>
    </row>
    <row r="2054">
      <c r="A2054" s="1" t="s">
        <v>4070</v>
      </c>
      <c r="B2054" s="1" t="s">
        <v>6252</v>
      </c>
      <c r="C2054" s="1" t="s">
        <v>21</v>
      </c>
      <c r="D2054" s="4" t="s">
        <v>6253</v>
      </c>
      <c r="E2054" s="1" t="s">
        <v>71</v>
      </c>
      <c r="F2054" s="1" t="s">
        <v>5285</v>
      </c>
      <c r="G2054" s="1" t="s">
        <v>5948</v>
      </c>
      <c r="H2054" s="1" t="s">
        <v>6254</v>
      </c>
      <c r="I2054" s="1" t="str">
        <f t="shared" si="1"/>
        <v>14</v>
      </c>
      <c r="J2054" s="5"/>
      <c r="K2054" s="1" t="str">
        <f t="shared" si="2"/>
        <v>2</v>
      </c>
      <c r="L2054" s="5"/>
      <c r="M2054" s="2" t="str">
        <f t="shared" si="3"/>
        <v>1398</v>
      </c>
      <c r="N2054" s="5"/>
      <c r="O2054" s="13">
        <v>814.0</v>
      </c>
      <c r="P2054" s="5"/>
      <c r="Q2054" s="5"/>
      <c r="R2054" s="6" t="s">
        <v>6254</v>
      </c>
      <c r="S2054" s="5"/>
      <c r="T2054" s="1" t="str">
        <f>IFERROR(__xludf.DUMMYFUNCTION("INDEX(SPLIT(A2054, ""/""), 2)"),"کانون‌های فرهنگی هنری")</f>
        <v>کانون‌های فرهنگی هنری</v>
      </c>
      <c r="U2054" s="1" t="str">
        <f>IFERROR(__xludf.DUMMYFUNCTION("INDEX(SPLIT(A2054, ""/""), 3)"),"روزنامه شریف")</f>
        <v>روزنامه شریف</v>
      </c>
      <c r="V2054" s="1" t="str">
        <f>IFERROR(__xludf.DUMMYFUNCTION("INDEX(SPLIT(A2054, ""/""), 4)"),"#REF!")</f>
        <v>#REF!</v>
      </c>
    </row>
    <row r="2055">
      <c r="A2055" s="1" t="s">
        <v>4070</v>
      </c>
      <c r="B2055" s="1" t="s">
        <v>6255</v>
      </c>
      <c r="C2055" s="1" t="s">
        <v>21</v>
      </c>
      <c r="D2055" s="4" t="s">
        <v>6256</v>
      </c>
      <c r="E2055" s="1" t="s">
        <v>71</v>
      </c>
      <c r="F2055" s="1" t="s">
        <v>5285</v>
      </c>
      <c r="G2055" s="1" t="s">
        <v>5948</v>
      </c>
      <c r="H2055" s="1" t="s">
        <v>3446</v>
      </c>
      <c r="I2055" s="1" t="str">
        <f t="shared" si="1"/>
        <v>17</v>
      </c>
      <c r="J2055" s="5"/>
      <c r="K2055" s="1" t="str">
        <f t="shared" si="2"/>
        <v>2</v>
      </c>
      <c r="L2055" s="5"/>
      <c r="M2055" s="2" t="str">
        <f t="shared" si="3"/>
        <v>1398</v>
      </c>
      <c r="N2055" s="5"/>
      <c r="O2055" s="13">
        <v>815.0</v>
      </c>
      <c r="P2055" s="5"/>
      <c r="Q2055" s="5"/>
      <c r="R2055" s="6" t="s">
        <v>3446</v>
      </c>
      <c r="S2055" s="5"/>
      <c r="T2055" s="1" t="str">
        <f>IFERROR(__xludf.DUMMYFUNCTION("INDEX(SPLIT(A2055, ""/""), 2)"),"کانون‌های فرهنگی هنری")</f>
        <v>کانون‌های فرهنگی هنری</v>
      </c>
      <c r="U2055" s="1" t="str">
        <f>IFERROR(__xludf.DUMMYFUNCTION("INDEX(SPLIT(A2055, ""/""), 3)"),"روزنامه شریف")</f>
        <v>روزنامه شریف</v>
      </c>
      <c r="V2055" s="1" t="str">
        <f>IFERROR(__xludf.DUMMYFUNCTION("INDEX(SPLIT(A2055, ""/""), 4)"),"#REF!")</f>
        <v>#REF!</v>
      </c>
    </row>
    <row r="2056">
      <c r="A2056" s="1" t="s">
        <v>4070</v>
      </c>
      <c r="B2056" s="1" t="s">
        <v>6257</v>
      </c>
      <c r="C2056" s="1" t="s">
        <v>21</v>
      </c>
      <c r="D2056" s="4" t="s">
        <v>6258</v>
      </c>
      <c r="E2056" s="1" t="s">
        <v>71</v>
      </c>
      <c r="F2056" s="1" t="s">
        <v>5285</v>
      </c>
      <c r="G2056" s="1" t="s">
        <v>5948</v>
      </c>
      <c r="H2056" s="1" t="s">
        <v>6259</v>
      </c>
      <c r="I2056" s="1" t="str">
        <f t="shared" si="1"/>
        <v>21</v>
      </c>
      <c r="J2056" s="5"/>
      <c r="K2056" s="1" t="str">
        <f t="shared" si="2"/>
        <v>2</v>
      </c>
      <c r="L2056" s="5"/>
      <c r="M2056" s="2" t="str">
        <f t="shared" si="3"/>
        <v>1398</v>
      </c>
      <c r="N2056" s="5"/>
      <c r="O2056" s="13">
        <v>816.0</v>
      </c>
      <c r="P2056" s="5"/>
      <c r="Q2056" s="5"/>
      <c r="R2056" s="6" t="s">
        <v>6259</v>
      </c>
      <c r="S2056" s="5"/>
      <c r="T2056" s="1" t="str">
        <f>IFERROR(__xludf.DUMMYFUNCTION("INDEX(SPLIT(A2056, ""/""), 2)"),"کانون‌های فرهنگی هنری")</f>
        <v>کانون‌های فرهنگی هنری</v>
      </c>
      <c r="U2056" s="1" t="str">
        <f>IFERROR(__xludf.DUMMYFUNCTION("INDEX(SPLIT(A2056, ""/""), 3)"),"روزنامه شریف")</f>
        <v>روزنامه شریف</v>
      </c>
      <c r="V2056" s="1" t="str">
        <f>IFERROR(__xludf.DUMMYFUNCTION("INDEX(SPLIT(A2056, ""/""), 4)"),"#REF!")</f>
        <v>#REF!</v>
      </c>
    </row>
    <row r="2057">
      <c r="A2057" s="1" t="s">
        <v>4070</v>
      </c>
      <c r="B2057" s="1" t="s">
        <v>6260</v>
      </c>
      <c r="C2057" s="1" t="s">
        <v>21</v>
      </c>
      <c r="D2057" s="4" t="s">
        <v>6261</v>
      </c>
      <c r="E2057" s="1" t="s">
        <v>71</v>
      </c>
      <c r="F2057" s="1" t="s">
        <v>5285</v>
      </c>
      <c r="G2057" s="1" t="s">
        <v>5948</v>
      </c>
      <c r="H2057" s="1" t="s">
        <v>6262</v>
      </c>
      <c r="I2057" s="1" t="str">
        <f t="shared" si="1"/>
        <v>24</v>
      </c>
      <c r="J2057" s="5"/>
      <c r="K2057" s="1" t="str">
        <f t="shared" si="2"/>
        <v>2</v>
      </c>
      <c r="L2057" s="5"/>
      <c r="M2057" s="2" t="str">
        <f t="shared" si="3"/>
        <v>1398</v>
      </c>
      <c r="N2057" s="5"/>
      <c r="O2057" s="13">
        <v>817.0</v>
      </c>
      <c r="P2057" s="5"/>
      <c r="Q2057" s="5"/>
      <c r="R2057" s="6" t="s">
        <v>6262</v>
      </c>
      <c r="S2057" s="5"/>
      <c r="T2057" s="1" t="str">
        <f>IFERROR(__xludf.DUMMYFUNCTION("INDEX(SPLIT(A2057, ""/""), 2)"),"کانون‌های فرهنگی هنری")</f>
        <v>کانون‌های فرهنگی هنری</v>
      </c>
      <c r="U2057" s="1" t="str">
        <f>IFERROR(__xludf.DUMMYFUNCTION("INDEX(SPLIT(A2057, ""/""), 3)"),"روزنامه شریف")</f>
        <v>روزنامه شریف</v>
      </c>
      <c r="V2057" s="1" t="str">
        <f>IFERROR(__xludf.DUMMYFUNCTION("INDEX(SPLIT(A2057, ""/""), 4)"),"#REF!")</f>
        <v>#REF!</v>
      </c>
    </row>
    <row r="2058">
      <c r="A2058" s="1" t="s">
        <v>4070</v>
      </c>
      <c r="B2058" s="1" t="s">
        <v>6263</v>
      </c>
      <c r="C2058" s="1" t="s">
        <v>21</v>
      </c>
      <c r="D2058" s="4" t="s">
        <v>6264</v>
      </c>
      <c r="E2058" s="1" t="s">
        <v>71</v>
      </c>
      <c r="F2058" s="1" t="s">
        <v>5285</v>
      </c>
      <c r="G2058" s="1" t="s">
        <v>5948</v>
      </c>
      <c r="H2058" s="1" t="s">
        <v>6265</v>
      </c>
      <c r="I2058" s="1" t="str">
        <f t="shared" si="1"/>
        <v>28</v>
      </c>
      <c r="J2058" s="5"/>
      <c r="K2058" s="1" t="str">
        <f t="shared" si="2"/>
        <v>2</v>
      </c>
      <c r="L2058" s="5"/>
      <c r="M2058" s="2" t="str">
        <f t="shared" si="3"/>
        <v>1398</v>
      </c>
      <c r="N2058" s="5"/>
      <c r="O2058" s="13">
        <v>818.0</v>
      </c>
      <c r="P2058" s="5"/>
      <c r="Q2058" s="5"/>
      <c r="R2058" s="6" t="s">
        <v>6265</v>
      </c>
      <c r="S2058" s="5"/>
      <c r="T2058" s="1" t="str">
        <f>IFERROR(__xludf.DUMMYFUNCTION("INDEX(SPLIT(A2058, ""/""), 2)"),"کانون‌های فرهنگی هنری")</f>
        <v>کانون‌های فرهنگی هنری</v>
      </c>
      <c r="U2058" s="1" t="str">
        <f>IFERROR(__xludf.DUMMYFUNCTION("INDEX(SPLIT(A2058, ""/""), 3)"),"روزنامه شریف")</f>
        <v>روزنامه شریف</v>
      </c>
      <c r="V2058" s="1" t="str">
        <f>IFERROR(__xludf.DUMMYFUNCTION("INDEX(SPLIT(A2058, ""/""), 4)"),"#REF!")</f>
        <v>#REF!</v>
      </c>
    </row>
    <row r="2059">
      <c r="A2059" s="1" t="s">
        <v>4070</v>
      </c>
      <c r="B2059" s="1" t="s">
        <v>6266</v>
      </c>
      <c r="C2059" s="1" t="s">
        <v>21</v>
      </c>
      <c r="D2059" s="4" t="s">
        <v>6267</v>
      </c>
      <c r="E2059" s="1" t="s">
        <v>71</v>
      </c>
      <c r="F2059" s="1" t="s">
        <v>5285</v>
      </c>
      <c r="G2059" s="1" t="s">
        <v>5948</v>
      </c>
      <c r="H2059" s="1" t="s">
        <v>6268</v>
      </c>
      <c r="I2059" s="1" t="str">
        <f t="shared" si="1"/>
        <v>31</v>
      </c>
      <c r="J2059" s="5"/>
      <c r="K2059" s="1" t="str">
        <f t="shared" si="2"/>
        <v>2</v>
      </c>
      <c r="L2059" s="5"/>
      <c r="M2059" s="2" t="str">
        <f t="shared" si="3"/>
        <v>1398</v>
      </c>
      <c r="N2059" s="5"/>
      <c r="O2059" s="13">
        <v>819.0</v>
      </c>
      <c r="P2059" s="5"/>
      <c r="Q2059" s="5"/>
      <c r="R2059" s="6" t="s">
        <v>6268</v>
      </c>
      <c r="S2059" s="5"/>
      <c r="T2059" s="1" t="str">
        <f>IFERROR(__xludf.DUMMYFUNCTION("INDEX(SPLIT(A2059, ""/""), 2)"),"کانون‌های فرهنگی هنری")</f>
        <v>کانون‌های فرهنگی هنری</v>
      </c>
      <c r="U2059" s="1" t="str">
        <f>IFERROR(__xludf.DUMMYFUNCTION("INDEX(SPLIT(A2059, ""/""), 3)"),"روزنامه شریف")</f>
        <v>روزنامه شریف</v>
      </c>
      <c r="V2059" s="1" t="str">
        <f>IFERROR(__xludf.DUMMYFUNCTION("INDEX(SPLIT(A2059, ""/""), 4)"),"#REF!")</f>
        <v>#REF!</v>
      </c>
    </row>
    <row r="2060">
      <c r="A2060" s="1" t="s">
        <v>4070</v>
      </c>
      <c r="B2060" s="1" t="s">
        <v>6269</v>
      </c>
      <c r="C2060" s="1" t="s">
        <v>21</v>
      </c>
      <c r="D2060" s="4" t="s">
        <v>6270</v>
      </c>
      <c r="E2060" s="1" t="s">
        <v>71</v>
      </c>
      <c r="F2060" s="1" t="s">
        <v>5285</v>
      </c>
      <c r="G2060" s="1" t="s">
        <v>5948</v>
      </c>
      <c r="H2060" s="7" t="s">
        <v>1499</v>
      </c>
      <c r="I2060" s="1" t="str">
        <f t="shared" si="1"/>
        <v>4</v>
      </c>
      <c r="J2060" s="5"/>
      <c r="K2060" s="1" t="str">
        <f t="shared" si="2"/>
        <v>3</v>
      </c>
      <c r="L2060" s="5"/>
      <c r="M2060" s="2" t="str">
        <f t="shared" si="3"/>
        <v>1398</v>
      </c>
      <c r="N2060" s="5"/>
      <c r="O2060" s="13">
        <v>820.0</v>
      </c>
      <c r="P2060" s="5"/>
      <c r="Q2060" s="5"/>
      <c r="R2060" s="8" t="s">
        <v>1499</v>
      </c>
      <c r="S2060" s="5"/>
      <c r="T2060" s="1" t="str">
        <f>IFERROR(__xludf.DUMMYFUNCTION("INDEX(SPLIT(A2060, ""/""), 2)"),"کانون‌های فرهنگی هنری")</f>
        <v>کانون‌های فرهنگی هنری</v>
      </c>
      <c r="U2060" s="1" t="str">
        <f>IFERROR(__xludf.DUMMYFUNCTION("INDEX(SPLIT(A2060, ""/""), 3)"),"روزنامه شریف")</f>
        <v>روزنامه شریف</v>
      </c>
      <c r="V2060" s="1" t="str">
        <f>IFERROR(__xludf.DUMMYFUNCTION("INDEX(SPLIT(A2060, ""/""), 4)"),"#REF!")</f>
        <v>#REF!</v>
      </c>
    </row>
    <row r="2061">
      <c r="A2061" s="1" t="s">
        <v>4070</v>
      </c>
      <c r="B2061" s="1" t="s">
        <v>6271</v>
      </c>
      <c r="C2061" s="1" t="s">
        <v>21</v>
      </c>
      <c r="D2061" s="4" t="s">
        <v>6272</v>
      </c>
      <c r="E2061" s="1" t="s">
        <v>71</v>
      </c>
      <c r="F2061" s="1" t="s">
        <v>5285</v>
      </c>
      <c r="G2061" s="1" t="s">
        <v>5286</v>
      </c>
      <c r="H2061" s="7" t="s">
        <v>6273</v>
      </c>
      <c r="I2061" s="1" t="str">
        <f t="shared" si="1"/>
        <v>2</v>
      </c>
      <c r="J2061" s="5"/>
      <c r="K2061" s="1" t="str">
        <f t="shared" si="2"/>
        <v>7</v>
      </c>
      <c r="L2061" s="5"/>
      <c r="M2061" s="2" t="str">
        <f t="shared" si="3"/>
        <v>1398</v>
      </c>
      <c r="N2061" s="5"/>
      <c r="O2061" s="13">
        <v>821.0</v>
      </c>
      <c r="P2061" s="5"/>
      <c r="Q2061" s="5"/>
      <c r="R2061" s="8" t="s">
        <v>6273</v>
      </c>
      <c r="S2061" s="5"/>
      <c r="T2061" s="1" t="str">
        <f>IFERROR(__xludf.DUMMYFUNCTION("INDEX(SPLIT(A2061, ""/""), 2)"),"کانون‌های فرهنگی هنری")</f>
        <v>کانون‌های فرهنگی هنری</v>
      </c>
      <c r="U2061" s="1" t="str">
        <f>IFERROR(__xludf.DUMMYFUNCTION("INDEX(SPLIT(A2061, ""/""), 3)"),"روزنامه شریف")</f>
        <v>روزنامه شریف</v>
      </c>
      <c r="V2061" s="1" t="str">
        <f>IFERROR(__xludf.DUMMYFUNCTION("INDEX(SPLIT(A2061, ""/""), 4)"),"#REF!")</f>
        <v>#REF!</v>
      </c>
    </row>
    <row r="2062">
      <c r="A2062" s="1" t="s">
        <v>4070</v>
      </c>
      <c r="B2062" s="1" t="s">
        <v>6274</v>
      </c>
      <c r="C2062" s="1" t="s">
        <v>21</v>
      </c>
      <c r="D2062" s="4" t="s">
        <v>6275</v>
      </c>
      <c r="E2062" s="1" t="s">
        <v>71</v>
      </c>
      <c r="F2062" s="1" t="s">
        <v>5285</v>
      </c>
      <c r="G2062" s="1" t="s">
        <v>5286</v>
      </c>
      <c r="H2062" s="7" t="s">
        <v>6276</v>
      </c>
      <c r="I2062" s="1" t="str">
        <f t="shared" si="1"/>
        <v>6</v>
      </c>
      <c r="J2062" s="5"/>
      <c r="K2062" s="1" t="str">
        <f t="shared" si="2"/>
        <v>7</v>
      </c>
      <c r="L2062" s="5"/>
      <c r="M2062" s="2" t="str">
        <f t="shared" si="3"/>
        <v>1398</v>
      </c>
      <c r="N2062" s="5"/>
      <c r="O2062" s="13">
        <v>822.0</v>
      </c>
      <c r="P2062" s="5"/>
      <c r="Q2062" s="5"/>
      <c r="R2062" s="8" t="s">
        <v>6276</v>
      </c>
      <c r="S2062" s="5"/>
      <c r="T2062" s="1" t="str">
        <f>IFERROR(__xludf.DUMMYFUNCTION("INDEX(SPLIT(A2062, ""/""), 2)"),"کانون‌های فرهنگی هنری")</f>
        <v>کانون‌های فرهنگی هنری</v>
      </c>
      <c r="U2062" s="1" t="str">
        <f>IFERROR(__xludf.DUMMYFUNCTION("INDEX(SPLIT(A2062, ""/""), 3)"),"روزنامه شریف")</f>
        <v>روزنامه شریف</v>
      </c>
      <c r="V2062" s="1" t="str">
        <f>IFERROR(__xludf.DUMMYFUNCTION("INDEX(SPLIT(A2062, ""/""), 4)"),"#REF!")</f>
        <v>#REF!</v>
      </c>
    </row>
    <row r="2063">
      <c r="A2063" s="1" t="s">
        <v>4070</v>
      </c>
      <c r="B2063" s="1" t="s">
        <v>6277</v>
      </c>
      <c r="C2063" s="1" t="s">
        <v>21</v>
      </c>
      <c r="D2063" s="4" t="s">
        <v>6278</v>
      </c>
      <c r="E2063" s="1" t="s">
        <v>71</v>
      </c>
      <c r="F2063" s="1" t="s">
        <v>5285</v>
      </c>
      <c r="G2063" s="1" t="s">
        <v>5286</v>
      </c>
      <c r="H2063" s="7" t="s">
        <v>6279</v>
      </c>
      <c r="I2063" s="1" t="str">
        <f t="shared" si="1"/>
        <v>9</v>
      </c>
      <c r="J2063" s="5"/>
      <c r="K2063" s="1" t="str">
        <f t="shared" si="2"/>
        <v>7</v>
      </c>
      <c r="L2063" s="5"/>
      <c r="M2063" s="2" t="str">
        <f t="shared" si="3"/>
        <v>1398</v>
      </c>
      <c r="N2063" s="5"/>
      <c r="O2063" s="13">
        <v>823.0</v>
      </c>
      <c r="P2063" s="5"/>
      <c r="Q2063" s="5"/>
      <c r="R2063" s="8" t="s">
        <v>6279</v>
      </c>
      <c r="S2063" s="5"/>
      <c r="T2063" s="1" t="str">
        <f>IFERROR(__xludf.DUMMYFUNCTION("INDEX(SPLIT(A2063, ""/""), 2)"),"کانون‌های فرهنگی هنری")</f>
        <v>کانون‌های فرهنگی هنری</v>
      </c>
      <c r="U2063" s="1" t="str">
        <f>IFERROR(__xludf.DUMMYFUNCTION("INDEX(SPLIT(A2063, ""/""), 3)"),"روزنامه شریف")</f>
        <v>روزنامه شریف</v>
      </c>
      <c r="V2063" s="1" t="str">
        <f>IFERROR(__xludf.DUMMYFUNCTION("INDEX(SPLIT(A2063, ""/""), 4)"),"#REF!")</f>
        <v>#REF!</v>
      </c>
    </row>
    <row r="2064">
      <c r="A2064" s="1" t="s">
        <v>4070</v>
      </c>
      <c r="B2064" s="1" t="s">
        <v>6280</v>
      </c>
      <c r="C2064" s="1" t="s">
        <v>21</v>
      </c>
      <c r="D2064" s="4" t="s">
        <v>6281</v>
      </c>
      <c r="E2064" s="1" t="s">
        <v>71</v>
      </c>
      <c r="F2064" s="1" t="s">
        <v>5285</v>
      </c>
      <c r="G2064" s="1" t="s">
        <v>5286</v>
      </c>
      <c r="H2064" s="1" t="s">
        <v>785</v>
      </c>
      <c r="I2064" s="1" t="str">
        <f t="shared" si="1"/>
        <v>13</v>
      </c>
      <c r="J2064" s="5"/>
      <c r="K2064" s="1" t="str">
        <f t="shared" si="2"/>
        <v>7</v>
      </c>
      <c r="L2064" s="5"/>
      <c r="M2064" s="2" t="str">
        <f t="shared" si="3"/>
        <v>1398</v>
      </c>
      <c r="N2064" s="5"/>
      <c r="O2064" s="13">
        <v>824.0</v>
      </c>
      <c r="P2064" s="5"/>
      <c r="Q2064" s="5"/>
      <c r="R2064" s="6" t="s">
        <v>785</v>
      </c>
      <c r="S2064" s="5"/>
      <c r="T2064" s="1" t="str">
        <f>IFERROR(__xludf.DUMMYFUNCTION("INDEX(SPLIT(A2064, ""/""), 2)"),"کانون‌های فرهنگی هنری")</f>
        <v>کانون‌های فرهنگی هنری</v>
      </c>
      <c r="U2064" s="1" t="str">
        <f>IFERROR(__xludf.DUMMYFUNCTION("INDEX(SPLIT(A2064, ""/""), 3)"),"روزنامه شریف")</f>
        <v>روزنامه شریف</v>
      </c>
      <c r="V2064" s="1" t="str">
        <f>IFERROR(__xludf.DUMMYFUNCTION("INDEX(SPLIT(A2064, ""/""), 4)"),"#REF!")</f>
        <v>#REF!</v>
      </c>
    </row>
    <row r="2065">
      <c r="A2065" s="1" t="s">
        <v>4070</v>
      </c>
      <c r="B2065" s="1" t="s">
        <v>6282</v>
      </c>
      <c r="C2065" s="1" t="s">
        <v>21</v>
      </c>
      <c r="D2065" s="4" t="s">
        <v>6283</v>
      </c>
      <c r="E2065" s="1" t="s">
        <v>71</v>
      </c>
      <c r="F2065" s="1" t="s">
        <v>5285</v>
      </c>
      <c r="G2065" s="1" t="s">
        <v>5286</v>
      </c>
      <c r="H2065" s="1" t="s">
        <v>6284</v>
      </c>
      <c r="I2065" s="1" t="str">
        <f t="shared" si="1"/>
        <v>16</v>
      </c>
      <c r="J2065" s="5"/>
      <c r="K2065" s="1" t="str">
        <f t="shared" si="2"/>
        <v>7</v>
      </c>
      <c r="L2065" s="5"/>
      <c r="M2065" s="2" t="str">
        <f t="shared" si="3"/>
        <v>1398</v>
      </c>
      <c r="N2065" s="5"/>
      <c r="O2065" s="13">
        <v>825.0</v>
      </c>
      <c r="P2065" s="5"/>
      <c r="Q2065" s="5"/>
      <c r="R2065" s="6" t="s">
        <v>6284</v>
      </c>
      <c r="S2065" s="5"/>
      <c r="T2065" s="1" t="str">
        <f>IFERROR(__xludf.DUMMYFUNCTION("INDEX(SPLIT(A2065, ""/""), 2)"),"کانون‌های فرهنگی هنری")</f>
        <v>کانون‌های فرهنگی هنری</v>
      </c>
      <c r="U2065" s="1" t="str">
        <f>IFERROR(__xludf.DUMMYFUNCTION("INDEX(SPLIT(A2065, ""/""), 3)"),"روزنامه شریف")</f>
        <v>روزنامه شریف</v>
      </c>
      <c r="V2065" s="1" t="str">
        <f>IFERROR(__xludf.DUMMYFUNCTION("INDEX(SPLIT(A2065, ""/""), 4)"),"#REF!")</f>
        <v>#REF!</v>
      </c>
    </row>
    <row r="2066">
      <c r="A2066" s="1" t="s">
        <v>4070</v>
      </c>
      <c r="B2066" s="1" t="s">
        <v>6285</v>
      </c>
      <c r="C2066" s="1" t="s">
        <v>21</v>
      </c>
      <c r="D2066" s="4" t="s">
        <v>6286</v>
      </c>
      <c r="E2066" s="1" t="s">
        <v>71</v>
      </c>
      <c r="F2066" s="1" t="s">
        <v>5285</v>
      </c>
      <c r="G2066" s="1" t="s">
        <v>5286</v>
      </c>
      <c r="H2066" s="1" t="s">
        <v>6287</v>
      </c>
      <c r="I2066" s="1" t="str">
        <f t="shared" si="1"/>
        <v>20</v>
      </c>
      <c r="J2066" s="5"/>
      <c r="K2066" s="1" t="str">
        <f t="shared" si="2"/>
        <v>7</v>
      </c>
      <c r="L2066" s="5"/>
      <c r="M2066" s="2" t="str">
        <f t="shared" si="3"/>
        <v>1398</v>
      </c>
      <c r="N2066" s="5"/>
      <c r="O2066" s="13">
        <v>826.0</v>
      </c>
      <c r="P2066" s="5"/>
      <c r="Q2066" s="5"/>
      <c r="R2066" s="6" t="s">
        <v>6287</v>
      </c>
      <c r="S2066" s="5"/>
      <c r="T2066" s="1" t="str">
        <f>IFERROR(__xludf.DUMMYFUNCTION("INDEX(SPLIT(A2066, ""/""), 2)"),"کانون‌های فرهنگی هنری")</f>
        <v>کانون‌های فرهنگی هنری</v>
      </c>
      <c r="U2066" s="1" t="str">
        <f>IFERROR(__xludf.DUMMYFUNCTION("INDEX(SPLIT(A2066, ""/""), 3)"),"روزنامه شریف")</f>
        <v>روزنامه شریف</v>
      </c>
      <c r="V2066" s="1" t="str">
        <f>IFERROR(__xludf.DUMMYFUNCTION("INDEX(SPLIT(A2066, ""/""), 4)"),"#REF!")</f>
        <v>#REF!</v>
      </c>
    </row>
    <row r="2067">
      <c r="A2067" s="1" t="s">
        <v>4070</v>
      </c>
      <c r="B2067" s="1" t="s">
        <v>6288</v>
      </c>
      <c r="C2067" s="1" t="s">
        <v>21</v>
      </c>
      <c r="D2067" s="4" t="s">
        <v>6289</v>
      </c>
      <c r="E2067" s="1" t="s">
        <v>71</v>
      </c>
      <c r="F2067" s="1" t="s">
        <v>5285</v>
      </c>
      <c r="G2067" s="1" t="s">
        <v>5286</v>
      </c>
      <c r="H2067" s="1" t="s">
        <v>6290</v>
      </c>
      <c r="I2067" s="1" t="str">
        <f t="shared" si="1"/>
        <v>23</v>
      </c>
      <c r="J2067" s="5"/>
      <c r="K2067" s="1" t="str">
        <f t="shared" si="2"/>
        <v>7</v>
      </c>
      <c r="L2067" s="5"/>
      <c r="M2067" s="2" t="str">
        <f t="shared" si="3"/>
        <v>1398</v>
      </c>
      <c r="N2067" s="5"/>
      <c r="O2067" s="13">
        <v>827.0</v>
      </c>
      <c r="P2067" s="5"/>
      <c r="Q2067" s="5"/>
      <c r="R2067" s="6" t="s">
        <v>6290</v>
      </c>
      <c r="S2067" s="5"/>
      <c r="T2067" s="1" t="str">
        <f>IFERROR(__xludf.DUMMYFUNCTION("INDEX(SPLIT(A2067, ""/""), 2)"),"کانون‌های فرهنگی هنری")</f>
        <v>کانون‌های فرهنگی هنری</v>
      </c>
      <c r="U2067" s="1" t="str">
        <f>IFERROR(__xludf.DUMMYFUNCTION("INDEX(SPLIT(A2067, ""/""), 3)"),"روزنامه شریف")</f>
        <v>روزنامه شریف</v>
      </c>
      <c r="V2067" s="1" t="str">
        <f>IFERROR(__xludf.DUMMYFUNCTION("INDEX(SPLIT(A2067, ""/""), 4)"),"#REF!")</f>
        <v>#REF!</v>
      </c>
    </row>
    <row r="2068">
      <c r="A2068" s="1" t="s">
        <v>4070</v>
      </c>
      <c r="B2068" s="1" t="s">
        <v>6291</v>
      </c>
      <c r="C2068" s="1" t="s">
        <v>21</v>
      </c>
      <c r="D2068" s="4" t="s">
        <v>6292</v>
      </c>
      <c r="E2068" s="1" t="s">
        <v>71</v>
      </c>
      <c r="F2068" s="1" t="s">
        <v>5285</v>
      </c>
      <c r="G2068" s="1" t="s">
        <v>5286</v>
      </c>
      <c r="H2068" s="7" t="s">
        <v>6293</v>
      </c>
      <c r="I2068" s="1" t="str">
        <f t="shared" si="1"/>
        <v>4</v>
      </c>
      <c r="J2068" s="5"/>
      <c r="K2068" s="1" t="str">
        <f t="shared" si="2"/>
        <v>8</v>
      </c>
      <c r="L2068" s="5"/>
      <c r="M2068" s="2" t="str">
        <f t="shared" si="3"/>
        <v>1398</v>
      </c>
      <c r="N2068" s="5"/>
      <c r="O2068" s="13">
        <v>828.0</v>
      </c>
      <c r="P2068" s="5"/>
      <c r="Q2068" s="5"/>
      <c r="R2068" s="8" t="s">
        <v>6293</v>
      </c>
      <c r="S2068" s="5"/>
      <c r="T2068" s="1" t="str">
        <f>IFERROR(__xludf.DUMMYFUNCTION("INDEX(SPLIT(A2068, ""/""), 2)"),"کانون‌های فرهنگی هنری")</f>
        <v>کانون‌های فرهنگی هنری</v>
      </c>
      <c r="U2068" s="1" t="str">
        <f>IFERROR(__xludf.DUMMYFUNCTION("INDEX(SPLIT(A2068, ""/""), 3)"),"روزنامه شریف")</f>
        <v>روزنامه شریف</v>
      </c>
      <c r="V2068" s="1" t="str">
        <f>IFERROR(__xludf.DUMMYFUNCTION("INDEX(SPLIT(A2068, ""/""), 4)"),"#REF!")</f>
        <v>#REF!</v>
      </c>
    </row>
    <row r="2069">
      <c r="A2069" s="1" t="s">
        <v>4070</v>
      </c>
      <c r="B2069" s="1" t="s">
        <v>6294</v>
      </c>
      <c r="C2069" s="1" t="s">
        <v>21</v>
      </c>
      <c r="D2069" s="4" t="s">
        <v>6295</v>
      </c>
      <c r="E2069" s="1" t="s">
        <v>71</v>
      </c>
      <c r="F2069" s="1" t="s">
        <v>5285</v>
      </c>
      <c r="G2069" s="1" t="s">
        <v>5286</v>
      </c>
      <c r="H2069" s="7" t="s">
        <v>6296</v>
      </c>
      <c r="I2069" s="1" t="str">
        <f t="shared" si="1"/>
        <v>11</v>
      </c>
      <c r="J2069" s="5"/>
      <c r="K2069" s="1" t="str">
        <f t="shared" si="2"/>
        <v>8</v>
      </c>
      <c r="L2069" s="5"/>
      <c r="M2069" s="2" t="str">
        <f t="shared" si="3"/>
        <v>1398</v>
      </c>
      <c r="N2069" s="5"/>
      <c r="O2069" s="13">
        <v>829.0</v>
      </c>
      <c r="P2069" s="5"/>
      <c r="Q2069" s="5"/>
      <c r="R2069" s="8" t="s">
        <v>6296</v>
      </c>
      <c r="S2069" s="5"/>
      <c r="T2069" s="1" t="str">
        <f>IFERROR(__xludf.DUMMYFUNCTION("INDEX(SPLIT(A2069, ""/""), 2)"),"کانون‌های فرهنگی هنری")</f>
        <v>کانون‌های فرهنگی هنری</v>
      </c>
      <c r="U2069" s="1" t="str">
        <f>IFERROR(__xludf.DUMMYFUNCTION("INDEX(SPLIT(A2069, ""/""), 3)"),"روزنامه شریف")</f>
        <v>روزنامه شریف</v>
      </c>
      <c r="V2069" s="1" t="str">
        <f>IFERROR(__xludf.DUMMYFUNCTION("INDEX(SPLIT(A2069, ""/""), 4)"),"#REF!")</f>
        <v>#REF!</v>
      </c>
    </row>
    <row r="2070">
      <c r="A2070" s="1" t="s">
        <v>4070</v>
      </c>
      <c r="B2070" s="1" t="s">
        <v>6297</v>
      </c>
      <c r="C2070" s="1" t="s">
        <v>21</v>
      </c>
      <c r="D2070" s="4" t="s">
        <v>6298</v>
      </c>
      <c r="E2070" s="1" t="s">
        <v>71</v>
      </c>
      <c r="F2070" s="1" t="s">
        <v>5285</v>
      </c>
      <c r="G2070" s="1" t="s">
        <v>5286</v>
      </c>
      <c r="H2070" s="1" t="s">
        <v>1315</v>
      </c>
      <c r="I2070" s="1" t="str">
        <f t="shared" si="1"/>
        <v>14</v>
      </c>
      <c r="J2070" s="5"/>
      <c r="K2070" s="1" t="str">
        <f t="shared" si="2"/>
        <v>8</v>
      </c>
      <c r="L2070" s="5"/>
      <c r="M2070" s="2" t="str">
        <f t="shared" si="3"/>
        <v>1398</v>
      </c>
      <c r="N2070" s="5"/>
      <c r="O2070" s="13">
        <v>830.0</v>
      </c>
      <c r="P2070" s="5"/>
      <c r="Q2070" s="5"/>
      <c r="R2070" s="6" t="s">
        <v>1315</v>
      </c>
      <c r="S2070" s="5"/>
      <c r="T2070" s="1" t="str">
        <f>IFERROR(__xludf.DUMMYFUNCTION("INDEX(SPLIT(A2070, ""/""), 2)"),"کانون‌های فرهنگی هنری")</f>
        <v>کانون‌های فرهنگی هنری</v>
      </c>
      <c r="U2070" s="1" t="str">
        <f>IFERROR(__xludf.DUMMYFUNCTION("INDEX(SPLIT(A2070, ""/""), 3)"),"روزنامه شریف")</f>
        <v>روزنامه شریف</v>
      </c>
      <c r="V2070" s="1" t="str">
        <f>IFERROR(__xludf.DUMMYFUNCTION("INDEX(SPLIT(A2070, ""/""), 4)"),"#REF!")</f>
        <v>#REF!</v>
      </c>
    </row>
    <row r="2071">
      <c r="A2071" s="1" t="s">
        <v>4070</v>
      </c>
      <c r="B2071" s="1" t="s">
        <v>6299</v>
      </c>
      <c r="C2071" s="1" t="s">
        <v>21</v>
      </c>
      <c r="D2071" s="4" t="s">
        <v>6300</v>
      </c>
      <c r="E2071" s="1" t="s">
        <v>71</v>
      </c>
      <c r="F2071" s="1" t="s">
        <v>5285</v>
      </c>
      <c r="G2071" s="1" t="s">
        <v>5286</v>
      </c>
      <c r="H2071" s="1" t="s">
        <v>6301</v>
      </c>
      <c r="I2071" s="1" t="str">
        <f t="shared" si="1"/>
        <v>18</v>
      </c>
      <c r="J2071" s="5"/>
      <c r="K2071" s="1" t="str">
        <f t="shared" si="2"/>
        <v>8</v>
      </c>
      <c r="L2071" s="5"/>
      <c r="M2071" s="2" t="str">
        <f t="shared" si="3"/>
        <v>1398</v>
      </c>
      <c r="N2071" s="5"/>
      <c r="O2071" s="13">
        <v>831.0</v>
      </c>
      <c r="P2071" s="5"/>
      <c r="Q2071" s="5"/>
      <c r="R2071" s="6" t="s">
        <v>6301</v>
      </c>
      <c r="S2071" s="5"/>
      <c r="T2071" s="1" t="str">
        <f>IFERROR(__xludf.DUMMYFUNCTION("INDEX(SPLIT(A2071, ""/""), 2)"),"کانون‌های فرهنگی هنری")</f>
        <v>کانون‌های فرهنگی هنری</v>
      </c>
      <c r="U2071" s="1" t="str">
        <f>IFERROR(__xludf.DUMMYFUNCTION("INDEX(SPLIT(A2071, ""/""), 3)"),"روزنامه شریف")</f>
        <v>روزنامه شریف</v>
      </c>
      <c r="V2071" s="1" t="str">
        <f>IFERROR(__xludf.DUMMYFUNCTION("INDEX(SPLIT(A2071, ""/""), 4)"),"#REF!")</f>
        <v>#REF!</v>
      </c>
    </row>
    <row r="2072">
      <c r="A2072" s="1" t="s">
        <v>4070</v>
      </c>
      <c r="B2072" s="1" t="s">
        <v>6302</v>
      </c>
      <c r="C2072" s="1" t="s">
        <v>21</v>
      </c>
      <c r="D2072" s="4" t="s">
        <v>6303</v>
      </c>
      <c r="E2072" s="1" t="s">
        <v>71</v>
      </c>
      <c r="F2072" s="1" t="s">
        <v>5285</v>
      </c>
      <c r="G2072" s="1" t="s">
        <v>5286</v>
      </c>
      <c r="H2072" s="1" t="s">
        <v>6304</v>
      </c>
      <c r="I2072" s="1" t="str">
        <f t="shared" si="1"/>
        <v>21</v>
      </c>
      <c r="J2072" s="5"/>
      <c r="K2072" s="1" t="str">
        <f t="shared" si="2"/>
        <v>8</v>
      </c>
      <c r="L2072" s="5"/>
      <c r="M2072" s="2" t="str">
        <f t="shared" si="3"/>
        <v>1398</v>
      </c>
      <c r="N2072" s="5"/>
      <c r="O2072" s="13">
        <v>832.0</v>
      </c>
      <c r="P2072" s="5"/>
      <c r="Q2072" s="5"/>
      <c r="R2072" s="6" t="s">
        <v>6304</v>
      </c>
      <c r="S2072" s="5"/>
      <c r="T2072" s="1" t="str">
        <f>IFERROR(__xludf.DUMMYFUNCTION("INDEX(SPLIT(A2072, ""/""), 2)"),"کانون‌های فرهنگی هنری")</f>
        <v>کانون‌های فرهنگی هنری</v>
      </c>
      <c r="U2072" s="1" t="str">
        <f>IFERROR(__xludf.DUMMYFUNCTION("INDEX(SPLIT(A2072, ""/""), 3)"),"روزنامه شریف")</f>
        <v>روزنامه شریف</v>
      </c>
      <c r="V2072" s="1" t="str">
        <f>IFERROR(__xludf.DUMMYFUNCTION("INDEX(SPLIT(A2072, ""/""), 4)"),"#REF!")</f>
        <v>#REF!</v>
      </c>
    </row>
    <row r="2073">
      <c r="A2073" s="1" t="s">
        <v>4070</v>
      </c>
      <c r="B2073" s="1" t="s">
        <v>6305</v>
      </c>
      <c r="C2073" s="1" t="s">
        <v>21</v>
      </c>
      <c r="D2073" s="4" t="s">
        <v>6306</v>
      </c>
      <c r="E2073" s="1" t="s">
        <v>71</v>
      </c>
      <c r="F2073" s="1" t="s">
        <v>5285</v>
      </c>
      <c r="G2073" s="1" t="s">
        <v>5286</v>
      </c>
      <c r="H2073" s="1" t="s">
        <v>6307</v>
      </c>
      <c r="I2073" s="1" t="str">
        <f t="shared" si="1"/>
        <v>25</v>
      </c>
      <c r="J2073" s="5"/>
      <c r="K2073" s="1" t="str">
        <f t="shared" si="2"/>
        <v>8</v>
      </c>
      <c r="L2073" s="5"/>
      <c r="M2073" s="2" t="str">
        <f t="shared" si="3"/>
        <v>1398</v>
      </c>
      <c r="N2073" s="5"/>
      <c r="O2073" s="13">
        <v>833.0</v>
      </c>
      <c r="P2073" s="5"/>
      <c r="Q2073" s="5"/>
      <c r="R2073" s="6" t="s">
        <v>6307</v>
      </c>
      <c r="S2073" s="5"/>
      <c r="T2073" s="1" t="str">
        <f>IFERROR(__xludf.DUMMYFUNCTION("INDEX(SPLIT(A2073, ""/""), 2)"),"کانون‌های فرهنگی هنری")</f>
        <v>کانون‌های فرهنگی هنری</v>
      </c>
      <c r="U2073" s="1" t="str">
        <f>IFERROR(__xludf.DUMMYFUNCTION("INDEX(SPLIT(A2073, ""/""), 3)"),"روزنامه شریف")</f>
        <v>روزنامه شریف</v>
      </c>
      <c r="V2073" s="1" t="str">
        <f>IFERROR(__xludf.DUMMYFUNCTION("INDEX(SPLIT(A2073, ""/""), 4)"),"#REF!")</f>
        <v>#REF!</v>
      </c>
    </row>
    <row r="2074">
      <c r="A2074" s="1" t="s">
        <v>4070</v>
      </c>
      <c r="B2074" s="1" t="s">
        <v>6308</v>
      </c>
      <c r="C2074" s="1" t="s">
        <v>21</v>
      </c>
      <c r="D2074" s="4" t="s">
        <v>6309</v>
      </c>
      <c r="E2074" s="1" t="s">
        <v>71</v>
      </c>
      <c r="F2074" s="1" t="s">
        <v>5285</v>
      </c>
      <c r="G2074" s="1" t="s">
        <v>5286</v>
      </c>
      <c r="H2074" s="1" t="s">
        <v>6310</v>
      </c>
      <c r="I2074" s="1" t="str">
        <f t="shared" si="1"/>
        <v>28</v>
      </c>
      <c r="J2074" s="5"/>
      <c r="K2074" s="1" t="str">
        <f t="shared" si="2"/>
        <v>8</v>
      </c>
      <c r="L2074" s="5"/>
      <c r="M2074" s="2" t="str">
        <f t="shared" si="3"/>
        <v>1398</v>
      </c>
      <c r="N2074" s="5"/>
      <c r="O2074" s="13">
        <v>834.0</v>
      </c>
      <c r="P2074" s="5"/>
      <c r="Q2074" s="5"/>
      <c r="R2074" s="6" t="s">
        <v>6310</v>
      </c>
      <c r="S2074" s="5"/>
      <c r="T2074" s="1" t="str">
        <f>IFERROR(__xludf.DUMMYFUNCTION("INDEX(SPLIT(A2074, ""/""), 2)"),"کانون‌های فرهنگی هنری")</f>
        <v>کانون‌های فرهنگی هنری</v>
      </c>
      <c r="U2074" s="1" t="str">
        <f>IFERROR(__xludf.DUMMYFUNCTION("INDEX(SPLIT(A2074, ""/""), 3)"),"روزنامه شریف")</f>
        <v>روزنامه شریف</v>
      </c>
      <c r="V2074" s="1" t="str">
        <f>IFERROR(__xludf.DUMMYFUNCTION("INDEX(SPLIT(A2074, ""/""), 4)"),"#REF!")</f>
        <v>#REF!</v>
      </c>
    </row>
    <row r="2075">
      <c r="A2075" s="1" t="s">
        <v>4070</v>
      </c>
      <c r="B2075" s="1" t="s">
        <v>6311</v>
      </c>
      <c r="C2075" s="1" t="s">
        <v>21</v>
      </c>
      <c r="D2075" s="4" t="s">
        <v>6312</v>
      </c>
      <c r="E2075" s="1" t="s">
        <v>71</v>
      </c>
      <c r="F2075" s="1" t="s">
        <v>5285</v>
      </c>
      <c r="G2075" s="1" t="s">
        <v>5286</v>
      </c>
      <c r="H2075" s="7" t="s">
        <v>6313</v>
      </c>
      <c r="I2075" s="1" t="str">
        <f t="shared" si="1"/>
        <v>2</v>
      </c>
      <c r="J2075" s="5"/>
      <c r="K2075" s="1" t="str">
        <f t="shared" si="2"/>
        <v>9</v>
      </c>
      <c r="L2075" s="5"/>
      <c r="M2075" s="2" t="str">
        <f t="shared" si="3"/>
        <v>1398</v>
      </c>
      <c r="N2075" s="5"/>
      <c r="O2075" s="13">
        <v>835.0</v>
      </c>
      <c r="P2075" s="5"/>
      <c r="Q2075" s="5"/>
      <c r="R2075" s="8" t="s">
        <v>6313</v>
      </c>
      <c r="S2075" s="5"/>
      <c r="T2075" s="1" t="str">
        <f>IFERROR(__xludf.DUMMYFUNCTION("INDEX(SPLIT(A2075, ""/""), 2)"),"کانون‌های فرهنگی هنری")</f>
        <v>کانون‌های فرهنگی هنری</v>
      </c>
      <c r="U2075" s="1" t="str">
        <f>IFERROR(__xludf.DUMMYFUNCTION("INDEX(SPLIT(A2075, ""/""), 3)"),"روزنامه شریف")</f>
        <v>روزنامه شریف</v>
      </c>
      <c r="V2075" s="1" t="str">
        <f>IFERROR(__xludf.DUMMYFUNCTION("INDEX(SPLIT(A2075, ""/""), 4)"),"#REF!")</f>
        <v>#REF!</v>
      </c>
    </row>
    <row r="2076">
      <c r="A2076" s="1" t="s">
        <v>4070</v>
      </c>
      <c r="B2076" s="1" t="s">
        <v>6314</v>
      </c>
      <c r="C2076" s="1" t="s">
        <v>21</v>
      </c>
      <c r="D2076" s="4" t="s">
        <v>6315</v>
      </c>
      <c r="E2076" s="1" t="s">
        <v>71</v>
      </c>
      <c r="F2076" s="1" t="s">
        <v>5285</v>
      </c>
      <c r="G2076" s="1" t="s">
        <v>5286</v>
      </c>
      <c r="H2076" s="7" t="s">
        <v>6316</v>
      </c>
      <c r="I2076" s="1" t="str">
        <f t="shared" si="1"/>
        <v>5</v>
      </c>
      <c r="J2076" s="5"/>
      <c r="K2076" s="1" t="str">
        <f t="shared" si="2"/>
        <v>9</v>
      </c>
      <c r="L2076" s="5"/>
      <c r="M2076" s="2" t="str">
        <f t="shared" si="3"/>
        <v>1398</v>
      </c>
      <c r="N2076" s="5"/>
      <c r="O2076" s="13">
        <v>836.0</v>
      </c>
      <c r="P2076" s="5"/>
      <c r="Q2076" s="5"/>
      <c r="R2076" s="8" t="s">
        <v>6316</v>
      </c>
      <c r="S2076" s="5"/>
      <c r="T2076" s="1" t="str">
        <f>IFERROR(__xludf.DUMMYFUNCTION("INDEX(SPLIT(A2076, ""/""), 2)"),"کانون‌های فرهنگی هنری")</f>
        <v>کانون‌های فرهنگی هنری</v>
      </c>
      <c r="U2076" s="1" t="str">
        <f>IFERROR(__xludf.DUMMYFUNCTION("INDEX(SPLIT(A2076, ""/""), 3)"),"روزنامه شریف")</f>
        <v>روزنامه شریف</v>
      </c>
      <c r="V2076" s="1" t="str">
        <f>IFERROR(__xludf.DUMMYFUNCTION("INDEX(SPLIT(A2076, ""/""), 4)"),"#REF!")</f>
        <v>#REF!</v>
      </c>
    </row>
    <row r="2077">
      <c r="A2077" s="1" t="s">
        <v>4070</v>
      </c>
      <c r="B2077" s="1" t="s">
        <v>6317</v>
      </c>
      <c r="C2077" s="1" t="s">
        <v>21</v>
      </c>
      <c r="D2077" s="4" t="s">
        <v>6318</v>
      </c>
      <c r="E2077" s="1" t="s">
        <v>71</v>
      </c>
      <c r="F2077" s="1" t="s">
        <v>5285</v>
      </c>
      <c r="G2077" s="1" t="s">
        <v>5286</v>
      </c>
      <c r="H2077" s="7" t="s">
        <v>6319</v>
      </c>
      <c r="I2077" s="1" t="str">
        <f t="shared" si="1"/>
        <v>9</v>
      </c>
      <c r="J2077" s="5"/>
      <c r="K2077" s="1" t="str">
        <f t="shared" si="2"/>
        <v>9</v>
      </c>
      <c r="L2077" s="5"/>
      <c r="M2077" s="2" t="str">
        <f t="shared" si="3"/>
        <v>1398</v>
      </c>
      <c r="N2077" s="5"/>
      <c r="O2077" s="13">
        <v>837.0</v>
      </c>
      <c r="P2077" s="5"/>
      <c r="Q2077" s="5"/>
      <c r="R2077" s="8" t="s">
        <v>6319</v>
      </c>
      <c r="S2077" s="5"/>
      <c r="T2077" s="1" t="str">
        <f>IFERROR(__xludf.DUMMYFUNCTION("INDEX(SPLIT(A2077, ""/""), 2)"),"کانون‌های فرهنگی هنری")</f>
        <v>کانون‌های فرهنگی هنری</v>
      </c>
      <c r="U2077" s="1" t="str">
        <f>IFERROR(__xludf.DUMMYFUNCTION("INDEX(SPLIT(A2077, ""/""), 3)"),"روزنامه شریف")</f>
        <v>روزنامه شریف</v>
      </c>
      <c r="V2077" s="1" t="str">
        <f>IFERROR(__xludf.DUMMYFUNCTION("INDEX(SPLIT(A2077, ""/""), 4)"),"#REF!")</f>
        <v>#REF!</v>
      </c>
    </row>
    <row r="2078">
      <c r="A2078" s="1" t="s">
        <v>4070</v>
      </c>
      <c r="B2078" s="1" t="s">
        <v>6320</v>
      </c>
      <c r="C2078" s="1" t="s">
        <v>21</v>
      </c>
      <c r="D2078" s="4" t="s">
        <v>6321</v>
      </c>
      <c r="E2078" s="1" t="s">
        <v>71</v>
      </c>
      <c r="F2078" s="1" t="s">
        <v>5285</v>
      </c>
      <c r="G2078" s="1" t="s">
        <v>5286</v>
      </c>
      <c r="H2078" s="7" t="s">
        <v>1318</v>
      </c>
      <c r="I2078" s="1" t="str">
        <f t="shared" si="1"/>
        <v>12</v>
      </c>
      <c r="J2078" s="5"/>
      <c r="K2078" s="1" t="str">
        <f t="shared" si="2"/>
        <v>9</v>
      </c>
      <c r="L2078" s="5"/>
      <c r="M2078" s="2" t="str">
        <f t="shared" si="3"/>
        <v>1398</v>
      </c>
      <c r="N2078" s="5"/>
      <c r="O2078" s="13">
        <v>838.0</v>
      </c>
      <c r="P2078" s="5"/>
      <c r="Q2078" s="5"/>
      <c r="R2078" s="8" t="s">
        <v>1318</v>
      </c>
      <c r="S2078" s="5"/>
      <c r="T2078" s="1" t="str">
        <f>IFERROR(__xludf.DUMMYFUNCTION("INDEX(SPLIT(A2078, ""/""), 2)"),"کانون‌های فرهنگی هنری")</f>
        <v>کانون‌های فرهنگی هنری</v>
      </c>
      <c r="U2078" s="1" t="str">
        <f>IFERROR(__xludf.DUMMYFUNCTION("INDEX(SPLIT(A2078, ""/""), 3)"),"روزنامه شریف")</f>
        <v>روزنامه شریف</v>
      </c>
      <c r="V2078" s="1" t="str">
        <f>IFERROR(__xludf.DUMMYFUNCTION("INDEX(SPLIT(A2078, ""/""), 4)"),"#REF!")</f>
        <v>#REF!</v>
      </c>
    </row>
    <row r="2079">
      <c r="A2079" s="1" t="s">
        <v>4070</v>
      </c>
      <c r="B2079" s="1" t="s">
        <v>6322</v>
      </c>
      <c r="C2079" s="1" t="s">
        <v>21</v>
      </c>
      <c r="D2079" s="4" t="s">
        <v>6323</v>
      </c>
      <c r="E2079" s="1" t="s">
        <v>71</v>
      </c>
      <c r="F2079" s="1" t="s">
        <v>5285</v>
      </c>
      <c r="G2079" s="1" t="s">
        <v>5286</v>
      </c>
      <c r="H2079" s="1" t="s">
        <v>709</v>
      </c>
      <c r="I2079" s="1" t="str">
        <f t="shared" si="1"/>
        <v>16</v>
      </c>
      <c r="J2079" s="5"/>
      <c r="K2079" s="1" t="str">
        <f t="shared" si="2"/>
        <v>9</v>
      </c>
      <c r="L2079" s="5"/>
      <c r="M2079" s="2" t="str">
        <f t="shared" si="3"/>
        <v>1398</v>
      </c>
      <c r="N2079" s="5"/>
      <c r="O2079" s="13">
        <v>839.0</v>
      </c>
      <c r="P2079" s="5"/>
      <c r="Q2079" s="5"/>
      <c r="R2079" s="6" t="s">
        <v>709</v>
      </c>
      <c r="S2079" s="5"/>
      <c r="T2079" s="1" t="str">
        <f>IFERROR(__xludf.DUMMYFUNCTION("INDEX(SPLIT(A2079, ""/""), 2)"),"کانون‌های فرهنگی هنری")</f>
        <v>کانون‌های فرهنگی هنری</v>
      </c>
      <c r="U2079" s="1" t="str">
        <f>IFERROR(__xludf.DUMMYFUNCTION("INDEX(SPLIT(A2079, ""/""), 3)"),"روزنامه شریف")</f>
        <v>روزنامه شریف</v>
      </c>
      <c r="V2079" s="1" t="str">
        <f>IFERROR(__xludf.DUMMYFUNCTION("INDEX(SPLIT(A2079, ""/""), 4)"),"#REF!")</f>
        <v>#REF!</v>
      </c>
    </row>
    <row r="2080">
      <c r="A2080" s="1" t="s">
        <v>4070</v>
      </c>
      <c r="B2080" s="1" t="s">
        <v>6324</v>
      </c>
      <c r="C2080" s="1" t="s">
        <v>21</v>
      </c>
      <c r="D2080" s="4" t="s">
        <v>6325</v>
      </c>
      <c r="E2080" s="1" t="s">
        <v>71</v>
      </c>
      <c r="F2080" s="1" t="s">
        <v>5285</v>
      </c>
      <c r="G2080" s="1" t="s">
        <v>5286</v>
      </c>
      <c r="H2080" s="1" t="s">
        <v>2078</v>
      </c>
      <c r="I2080" s="1" t="str">
        <f t="shared" si="1"/>
        <v>19</v>
      </c>
      <c r="J2080" s="5"/>
      <c r="K2080" s="1" t="str">
        <f t="shared" si="2"/>
        <v>9</v>
      </c>
      <c r="L2080" s="5"/>
      <c r="M2080" s="2" t="str">
        <f t="shared" si="3"/>
        <v>1398</v>
      </c>
      <c r="N2080" s="5"/>
      <c r="O2080" s="13">
        <v>840.0</v>
      </c>
      <c r="P2080" s="5"/>
      <c r="Q2080" s="5"/>
      <c r="R2080" s="6" t="s">
        <v>2078</v>
      </c>
      <c r="S2080" s="5"/>
      <c r="T2080" s="1" t="str">
        <f>IFERROR(__xludf.DUMMYFUNCTION("INDEX(SPLIT(A2080, ""/""), 2)"),"کانون‌های فرهنگی هنری")</f>
        <v>کانون‌های فرهنگی هنری</v>
      </c>
      <c r="U2080" s="1" t="str">
        <f>IFERROR(__xludf.DUMMYFUNCTION("INDEX(SPLIT(A2080, ""/""), 3)"),"روزنامه شریف")</f>
        <v>روزنامه شریف</v>
      </c>
      <c r="V2080" s="1" t="str">
        <f>IFERROR(__xludf.DUMMYFUNCTION("INDEX(SPLIT(A2080, ""/""), 4)"),"#REF!")</f>
        <v>#REF!</v>
      </c>
    </row>
    <row r="2081">
      <c r="A2081" s="1" t="s">
        <v>4070</v>
      </c>
      <c r="B2081" s="1" t="s">
        <v>6326</v>
      </c>
      <c r="C2081" s="1" t="s">
        <v>21</v>
      </c>
      <c r="D2081" s="4" t="s">
        <v>6327</v>
      </c>
      <c r="E2081" s="1" t="s">
        <v>71</v>
      </c>
      <c r="F2081" s="1" t="s">
        <v>5285</v>
      </c>
      <c r="G2081" s="1" t="s">
        <v>5286</v>
      </c>
      <c r="H2081" s="1" t="s">
        <v>6328</v>
      </c>
      <c r="I2081" s="1" t="str">
        <f t="shared" si="1"/>
        <v>23</v>
      </c>
      <c r="J2081" s="5"/>
      <c r="K2081" s="1" t="str">
        <f t="shared" si="2"/>
        <v>9</v>
      </c>
      <c r="L2081" s="5"/>
      <c r="M2081" s="2" t="str">
        <f t="shared" si="3"/>
        <v>1398</v>
      </c>
      <c r="N2081" s="5"/>
      <c r="O2081" s="13">
        <v>841.0</v>
      </c>
      <c r="P2081" s="5"/>
      <c r="Q2081" s="5"/>
      <c r="R2081" s="6" t="s">
        <v>6328</v>
      </c>
      <c r="S2081" s="5"/>
      <c r="T2081" s="1" t="str">
        <f>IFERROR(__xludf.DUMMYFUNCTION("INDEX(SPLIT(A2081, ""/""), 2)"),"کانون‌های فرهنگی هنری")</f>
        <v>کانون‌های فرهنگی هنری</v>
      </c>
      <c r="U2081" s="1" t="str">
        <f>IFERROR(__xludf.DUMMYFUNCTION("INDEX(SPLIT(A2081, ""/""), 3)"),"روزنامه شریف")</f>
        <v>روزنامه شریف</v>
      </c>
      <c r="V2081" s="1" t="str">
        <f>IFERROR(__xludf.DUMMYFUNCTION("INDEX(SPLIT(A2081, ""/""), 4)"),"#REF!")</f>
        <v>#REF!</v>
      </c>
    </row>
    <row r="2082">
      <c r="A2082" s="1" t="s">
        <v>4070</v>
      </c>
      <c r="B2082" s="1" t="s">
        <v>6329</v>
      </c>
      <c r="C2082" s="1" t="s">
        <v>21</v>
      </c>
      <c r="D2082" s="4" t="s">
        <v>6330</v>
      </c>
      <c r="E2082" s="1" t="s">
        <v>71</v>
      </c>
      <c r="F2082" s="1" t="s">
        <v>5285</v>
      </c>
      <c r="G2082" s="1" t="s">
        <v>5286</v>
      </c>
      <c r="H2082" s="1" t="s">
        <v>6331</v>
      </c>
      <c r="I2082" s="1" t="str">
        <f t="shared" si="1"/>
        <v>26</v>
      </c>
      <c r="J2082" s="5"/>
      <c r="K2082" s="1" t="str">
        <f t="shared" si="2"/>
        <v>9</v>
      </c>
      <c r="L2082" s="5"/>
      <c r="M2082" s="2" t="str">
        <f t="shared" si="3"/>
        <v>1398</v>
      </c>
      <c r="N2082" s="5"/>
      <c r="O2082" s="13">
        <v>842.0</v>
      </c>
      <c r="P2082" s="5"/>
      <c r="Q2082" s="5"/>
      <c r="R2082" s="6" t="s">
        <v>6331</v>
      </c>
      <c r="S2082" s="5"/>
      <c r="T2082" s="1" t="str">
        <f>IFERROR(__xludf.DUMMYFUNCTION("INDEX(SPLIT(A2082, ""/""), 2)"),"کانون‌های فرهنگی هنری")</f>
        <v>کانون‌های فرهنگی هنری</v>
      </c>
      <c r="U2082" s="1" t="str">
        <f>IFERROR(__xludf.DUMMYFUNCTION("INDEX(SPLIT(A2082, ""/""), 3)"),"روزنامه شریف")</f>
        <v>روزنامه شریف</v>
      </c>
      <c r="V2082" s="1" t="str">
        <f>IFERROR(__xludf.DUMMYFUNCTION("INDEX(SPLIT(A2082, ""/""), 4)"),"#REF!")</f>
        <v>#REF!</v>
      </c>
    </row>
    <row r="2083">
      <c r="A2083" s="1" t="s">
        <v>4070</v>
      </c>
      <c r="B2083" s="1" t="s">
        <v>6332</v>
      </c>
      <c r="C2083" s="1" t="s">
        <v>21</v>
      </c>
      <c r="D2083" s="4" t="s">
        <v>6333</v>
      </c>
      <c r="E2083" s="1" t="s">
        <v>71</v>
      </c>
      <c r="F2083" s="1" t="s">
        <v>5285</v>
      </c>
      <c r="G2083" s="1" t="s">
        <v>5286</v>
      </c>
      <c r="H2083" s="7" t="s">
        <v>6334</v>
      </c>
      <c r="I2083" s="1" t="str">
        <f t="shared" si="1"/>
        <v>3</v>
      </c>
      <c r="J2083" s="5"/>
      <c r="K2083" s="1" t="str">
        <f t="shared" si="2"/>
        <v>10</v>
      </c>
      <c r="L2083" s="5"/>
      <c r="M2083" s="2" t="str">
        <f t="shared" si="3"/>
        <v>1398</v>
      </c>
      <c r="N2083" s="5"/>
      <c r="O2083" s="13">
        <v>843.0</v>
      </c>
      <c r="P2083" s="5"/>
      <c r="Q2083" s="5"/>
      <c r="R2083" s="8" t="s">
        <v>6334</v>
      </c>
      <c r="S2083" s="5"/>
      <c r="T2083" s="1" t="str">
        <f>IFERROR(__xludf.DUMMYFUNCTION("INDEX(SPLIT(A2083, ""/""), 2)"),"کانون‌های فرهنگی هنری")</f>
        <v>کانون‌های فرهنگی هنری</v>
      </c>
      <c r="U2083" s="1" t="str">
        <f>IFERROR(__xludf.DUMMYFUNCTION("INDEX(SPLIT(A2083, ""/""), 3)"),"روزنامه شریف")</f>
        <v>روزنامه شریف</v>
      </c>
      <c r="V2083" s="1" t="str">
        <f>IFERROR(__xludf.DUMMYFUNCTION("INDEX(SPLIT(A2083, ""/""), 4)"),"#REF!")</f>
        <v>#REF!</v>
      </c>
    </row>
    <row r="2084">
      <c r="A2084" s="1" t="s">
        <v>4070</v>
      </c>
      <c r="B2084" s="1" t="s">
        <v>6335</v>
      </c>
      <c r="C2084" s="1" t="s">
        <v>21</v>
      </c>
      <c r="D2084" s="4" t="s">
        <v>6336</v>
      </c>
      <c r="E2084" s="1" t="s">
        <v>71</v>
      </c>
      <c r="F2084" s="1" t="s">
        <v>5285</v>
      </c>
      <c r="G2084" s="1" t="s">
        <v>5286</v>
      </c>
      <c r="H2084" s="7" t="s">
        <v>6337</v>
      </c>
      <c r="I2084" s="1" t="str">
        <f t="shared" si="1"/>
        <v>7</v>
      </c>
      <c r="J2084" s="5"/>
      <c r="K2084" s="1" t="str">
        <f t="shared" si="2"/>
        <v>10</v>
      </c>
      <c r="L2084" s="5"/>
      <c r="M2084" s="2" t="str">
        <f t="shared" si="3"/>
        <v>1398</v>
      </c>
      <c r="N2084" s="5"/>
      <c r="O2084" s="13">
        <v>844.0</v>
      </c>
      <c r="P2084" s="5"/>
      <c r="Q2084" s="5"/>
      <c r="R2084" s="8" t="s">
        <v>6337</v>
      </c>
      <c r="S2084" s="5"/>
      <c r="T2084" s="1" t="str">
        <f>IFERROR(__xludf.DUMMYFUNCTION("INDEX(SPLIT(A2084, ""/""), 2)"),"کانون‌های فرهنگی هنری")</f>
        <v>کانون‌های فرهنگی هنری</v>
      </c>
      <c r="U2084" s="1" t="str">
        <f>IFERROR(__xludf.DUMMYFUNCTION("INDEX(SPLIT(A2084, ""/""), 3)"),"روزنامه شریف")</f>
        <v>روزنامه شریف</v>
      </c>
      <c r="V2084" s="1" t="str">
        <f>IFERROR(__xludf.DUMMYFUNCTION("INDEX(SPLIT(A2084, ""/""), 4)"),"#REF!")</f>
        <v>#REF!</v>
      </c>
    </row>
    <row r="2085">
      <c r="A2085" s="1" t="s">
        <v>4070</v>
      </c>
      <c r="B2085" s="1" t="s">
        <v>6338</v>
      </c>
      <c r="C2085" s="1" t="s">
        <v>21</v>
      </c>
      <c r="D2085" s="4" t="s">
        <v>6339</v>
      </c>
      <c r="E2085" s="1" t="s">
        <v>71</v>
      </c>
      <c r="F2085" s="1" t="s">
        <v>5285</v>
      </c>
      <c r="G2085" s="1" t="s">
        <v>5286</v>
      </c>
      <c r="H2085" s="7" t="s">
        <v>6340</v>
      </c>
      <c r="I2085" s="1" t="str">
        <f t="shared" si="1"/>
        <v>10</v>
      </c>
      <c r="J2085" s="5"/>
      <c r="K2085" s="1" t="str">
        <f t="shared" si="2"/>
        <v>10</v>
      </c>
      <c r="L2085" s="5"/>
      <c r="M2085" s="2" t="str">
        <f t="shared" si="3"/>
        <v>1398</v>
      </c>
      <c r="N2085" s="5"/>
      <c r="O2085" s="13">
        <v>845.0</v>
      </c>
      <c r="P2085" s="5"/>
      <c r="Q2085" s="5"/>
      <c r="R2085" s="8" t="s">
        <v>6340</v>
      </c>
      <c r="S2085" s="5"/>
      <c r="T2085" s="1" t="str">
        <f>IFERROR(__xludf.DUMMYFUNCTION("INDEX(SPLIT(A2085, ""/""), 2)"),"کانون‌های فرهنگی هنری")</f>
        <v>کانون‌های فرهنگی هنری</v>
      </c>
      <c r="U2085" s="1" t="str">
        <f>IFERROR(__xludf.DUMMYFUNCTION("INDEX(SPLIT(A2085, ""/""), 3)"),"روزنامه شریف")</f>
        <v>روزنامه شریف</v>
      </c>
      <c r="V2085" s="1" t="str">
        <f>IFERROR(__xludf.DUMMYFUNCTION("INDEX(SPLIT(A2085, ""/""), 4)"),"#REF!")</f>
        <v>#REF!</v>
      </c>
    </row>
    <row r="2086">
      <c r="A2086" s="1" t="s">
        <v>4070</v>
      </c>
      <c r="B2086" s="1" t="s">
        <v>6341</v>
      </c>
      <c r="C2086" s="1" t="s">
        <v>21</v>
      </c>
      <c r="D2086" s="4" t="s">
        <v>6342</v>
      </c>
      <c r="E2086" s="1" t="s">
        <v>71</v>
      </c>
      <c r="F2086" s="1" t="s">
        <v>5285</v>
      </c>
      <c r="G2086" s="1" t="s">
        <v>5286</v>
      </c>
      <c r="H2086" s="1" t="s">
        <v>6343</v>
      </c>
      <c r="I2086" s="1" t="str">
        <f t="shared" si="1"/>
        <v>14</v>
      </c>
      <c r="J2086" s="5"/>
      <c r="K2086" s="1" t="str">
        <f t="shared" si="2"/>
        <v>10</v>
      </c>
      <c r="L2086" s="5"/>
      <c r="M2086" s="2" t="str">
        <f t="shared" si="3"/>
        <v>1398</v>
      </c>
      <c r="N2086" s="5"/>
      <c r="O2086" s="13">
        <v>846.0</v>
      </c>
      <c r="P2086" s="5"/>
      <c r="Q2086" s="5"/>
      <c r="R2086" s="6" t="s">
        <v>6343</v>
      </c>
      <c r="S2086" s="5"/>
      <c r="T2086" s="1" t="str">
        <f>IFERROR(__xludf.DUMMYFUNCTION("INDEX(SPLIT(A2086, ""/""), 2)"),"کانون‌های فرهنگی هنری")</f>
        <v>کانون‌های فرهنگی هنری</v>
      </c>
      <c r="U2086" s="1" t="str">
        <f>IFERROR(__xludf.DUMMYFUNCTION("INDEX(SPLIT(A2086, ""/""), 3)"),"روزنامه شریف")</f>
        <v>روزنامه شریف</v>
      </c>
      <c r="V2086" s="1" t="str">
        <f>IFERROR(__xludf.DUMMYFUNCTION("INDEX(SPLIT(A2086, ""/""), 4)"),"#REF!")</f>
        <v>#REF!</v>
      </c>
    </row>
    <row r="2087">
      <c r="A2087" s="1" t="s">
        <v>4070</v>
      </c>
      <c r="B2087" s="1" t="s">
        <v>6344</v>
      </c>
      <c r="C2087" s="1" t="s">
        <v>21</v>
      </c>
      <c r="D2087" s="4" t="s">
        <v>6345</v>
      </c>
      <c r="E2087" s="1" t="s">
        <v>71</v>
      </c>
      <c r="F2087" s="1" t="s">
        <v>5285</v>
      </c>
      <c r="G2087" s="1" t="s">
        <v>5286</v>
      </c>
      <c r="H2087" s="7" t="s">
        <v>6346</v>
      </c>
      <c r="I2087" s="1" t="str">
        <f t="shared" si="1"/>
        <v>1</v>
      </c>
      <c r="J2087" s="5"/>
      <c r="K2087" s="1" t="str">
        <f t="shared" si="2"/>
        <v>11</v>
      </c>
      <c r="L2087" s="5"/>
      <c r="M2087" s="2" t="str">
        <f t="shared" si="3"/>
        <v>1398</v>
      </c>
      <c r="N2087" s="5"/>
      <c r="O2087" s="13">
        <v>847.0</v>
      </c>
      <c r="P2087" s="5"/>
      <c r="Q2087" s="5"/>
      <c r="R2087" s="8" t="s">
        <v>6346</v>
      </c>
      <c r="S2087" s="5"/>
      <c r="T2087" s="1" t="str">
        <f>IFERROR(__xludf.DUMMYFUNCTION("INDEX(SPLIT(A2087, ""/""), 2)"),"کانون‌های فرهنگی هنری")</f>
        <v>کانون‌های فرهنگی هنری</v>
      </c>
      <c r="U2087" s="1" t="str">
        <f>IFERROR(__xludf.DUMMYFUNCTION("INDEX(SPLIT(A2087, ""/""), 3)"),"روزنامه شریف")</f>
        <v>روزنامه شریف</v>
      </c>
      <c r="V2087" s="1" t="str">
        <f>IFERROR(__xludf.DUMMYFUNCTION("INDEX(SPLIT(A2087, ""/""), 4)"),"#REF!")</f>
        <v>#REF!</v>
      </c>
    </row>
    <row r="2088">
      <c r="A2088" s="1" t="s">
        <v>4070</v>
      </c>
      <c r="B2088" s="1" t="s">
        <v>6347</v>
      </c>
      <c r="C2088" s="1" t="s">
        <v>21</v>
      </c>
      <c r="D2088" s="4" t="s">
        <v>6348</v>
      </c>
      <c r="E2088" s="1" t="s">
        <v>71</v>
      </c>
      <c r="F2088" s="1" t="s">
        <v>5285</v>
      </c>
      <c r="G2088" s="1" t="s">
        <v>5286</v>
      </c>
      <c r="H2088" s="1" t="s">
        <v>6349</v>
      </c>
      <c r="I2088" s="1" t="str">
        <f t="shared" si="1"/>
        <v>26</v>
      </c>
      <c r="J2088" s="5"/>
      <c r="K2088" s="1" t="str">
        <f t="shared" si="2"/>
        <v>11</v>
      </c>
      <c r="L2088" s="5"/>
      <c r="M2088" s="2" t="str">
        <f t="shared" si="3"/>
        <v>1398</v>
      </c>
      <c r="N2088" s="5"/>
      <c r="O2088" s="13">
        <v>848.0</v>
      </c>
      <c r="P2088" s="5"/>
      <c r="Q2088" s="5"/>
      <c r="R2088" s="6" t="s">
        <v>6349</v>
      </c>
      <c r="S2088" s="5"/>
      <c r="T2088" s="1" t="str">
        <f>IFERROR(__xludf.DUMMYFUNCTION("INDEX(SPLIT(A2088, ""/""), 2)"),"کانون‌های فرهنگی هنری")</f>
        <v>کانون‌های فرهنگی هنری</v>
      </c>
      <c r="U2088" s="1" t="str">
        <f>IFERROR(__xludf.DUMMYFUNCTION("INDEX(SPLIT(A2088, ""/""), 3)"),"روزنامه شریف")</f>
        <v>روزنامه شریف</v>
      </c>
      <c r="V2088" s="1" t="str">
        <f>IFERROR(__xludf.DUMMYFUNCTION("INDEX(SPLIT(A2088, ""/""), 4)"),"#REF!")</f>
        <v>#REF!</v>
      </c>
    </row>
    <row r="2089">
      <c r="A2089" s="1" t="s">
        <v>4070</v>
      </c>
      <c r="B2089" s="1" t="s">
        <v>6350</v>
      </c>
      <c r="C2089" s="1" t="s">
        <v>21</v>
      </c>
      <c r="D2089" s="4" t="s">
        <v>6351</v>
      </c>
      <c r="E2089" s="1" t="s">
        <v>71</v>
      </c>
      <c r="F2089" s="1" t="s">
        <v>5285</v>
      </c>
      <c r="G2089" s="1" t="s">
        <v>5286</v>
      </c>
      <c r="H2089" s="1" t="s">
        <v>2088</v>
      </c>
      <c r="I2089" s="1" t="str">
        <f t="shared" si="1"/>
        <v>29</v>
      </c>
      <c r="J2089" s="5"/>
      <c r="K2089" s="1" t="str">
        <f t="shared" si="2"/>
        <v>11</v>
      </c>
      <c r="L2089" s="5"/>
      <c r="M2089" s="2" t="str">
        <f t="shared" si="3"/>
        <v>1398</v>
      </c>
      <c r="N2089" s="5"/>
      <c r="O2089" s="13">
        <v>849.0</v>
      </c>
      <c r="P2089" s="5"/>
      <c r="Q2089" s="5"/>
      <c r="R2089" s="6" t="s">
        <v>2088</v>
      </c>
      <c r="S2089" s="5"/>
      <c r="T2089" s="1" t="str">
        <f>IFERROR(__xludf.DUMMYFUNCTION("INDEX(SPLIT(A2089, ""/""), 2)"),"کانون‌های فرهنگی هنری")</f>
        <v>کانون‌های فرهنگی هنری</v>
      </c>
      <c r="U2089" s="1" t="str">
        <f>IFERROR(__xludf.DUMMYFUNCTION("INDEX(SPLIT(A2089, ""/""), 3)"),"روزنامه شریف")</f>
        <v>روزنامه شریف</v>
      </c>
      <c r="V2089" s="1" t="str">
        <f>IFERROR(__xludf.DUMMYFUNCTION("INDEX(SPLIT(A2089, ""/""), 4)"),"#REF!")</f>
        <v>#REF!</v>
      </c>
    </row>
    <row r="2090">
      <c r="A2090" s="1" t="s">
        <v>4070</v>
      </c>
      <c r="B2090" s="1" t="s">
        <v>6352</v>
      </c>
      <c r="C2090" s="1" t="s">
        <v>21</v>
      </c>
      <c r="D2090" s="4" t="s">
        <v>6353</v>
      </c>
      <c r="E2090" s="1" t="s">
        <v>71</v>
      </c>
      <c r="F2090" s="1" t="s">
        <v>5285</v>
      </c>
      <c r="G2090" s="1" t="s">
        <v>5286</v>
      </c>
      <c r="H2090" s="7" t="s">
        <v>6354</v>
      </c>
      <c r="I2090" s="1" t="str">
        <f t="shared" si="1"/>
        <v>3</v>
      </c>
      <c r="J2090" s="5"/>
      <c r="K2090" s="1" t="str">
        <f t="shared" si="2"/>
        <v>12</v>
      </c>
      <c r="L2090" s="5"/>
      <c r="M2090" s="2" t="str">
        <f t="shared" si="3"/>
        <v>1398</v>
      </c>
      <c r="N2090" s="5"/>
      <c r="O2090" s="13">
        <v>850.0</v>
      </c>
      <c r="P2090" s="5"/>
      <c r="Q2090" s="5"/>
      <c r="R2090" s="8" t="s">
        <v>6354</v>
      </c>
      <c r="S2090" s="5"/>
      <c r="T2090" s="1" t="str">
        <f>IFERROR(__xludf.DUMMYFUNCTION("INDEX(SPLIT(A2090, ""/""), 2)"),"کانون‌های فرهنگی هنری")</f>
        <v>کانون‌های فرهنگی هنری</v>
      </c>
      <c r="U2090" s="1" t="str">
        <f>IFERROR(__xludf.DUMMYFUNCTION("INDEX(SPLIT(A2090, ""/""), 3)"),"روزنامه شریف")</f>
        <v>روزنامه شریف</v>
      </c>
      <c r="V2090" s="1" t="str">
        <f>IFERROR(__xludf.DUMMYFUNCTION("INDEX(SPLIT(A2090, ""/""), 4)"),"#REF!")</f>
        <v>#REF!</v>
      </c>
    </row>
    <row r="2091">
      <c r="A2091" s="1" t="s">
        <v>4070</v>
      </c>
      <c r="B2091" s="1" t="s">
        <v>6355</v>
      </c>
      <c r="C2091" s="1" t="s">
        <v>21</v>
      </c>
      <c r="D2091" s="4" t="s">
        <v>6356</v>
      </c>
      <c r="E2091" s="1" t="s">
        <v>71</v>
      </c>
      <c r="F2091" s="1" t="s">
        <v>5285</v>
      </c>
      <c r="G2091" s="1" t="s">
        <v>5286</v>
      </c>
      <c r="H2091" s="1" t="s">
        <v>1825</v>
      </c>
      <c r="I2091" s="1" t="str">
        <f t="shared" si="1"/>
        <v>29</v>
      </c>
      <c r="J2091" s="5"/>
      <c r="K2091" s="1" t="str">
        <f t="shared" si="2"/>
        <v>12</v>
      </c>
      <c r="L2091" s="5"/>
      <c r="M2091" s="2" t="str">
        <f t="shared" si="3"/>
        <v>1398</v>
      </c>
      <c r="N2091" s="5"/>
      <c r="O2091" s="13">
        <v>851.0</v>
      </c>
      <c r="P2091" s="5"/>
      <c r="Q2091" s="5"/>
      <c r="R2091" s="6" t="s">
        <v>1825</v>
      </c>
      <c r="S2091" s="5"/>
      <c r="T2091" s="1" t="str">
        <f>IFERROR(__xludf.DUMMYFUNCTION("INDEX(SPLIT(A2091, ""/""), 2)"),"کانون‌های فرهنگی هنری")</f>
        <v>کانون‌های فرهنگی هنری</v>
      </c>
      <c r="U2091" s="1" t="str">
        <f>IFERROR(__xludf.DUMMYFUNCTION("INDEX(SPLIT(A2091, ""/""), 3)"),"روزنامه شریف")</f>
        <v>روزنامه شریف</v>
      </c>
      <c r="V2091" s="1" t="str">
        <f>IFERROR(__xludf.DUMMYFUNCTION("INDEX(SPLIT(A2091, ""/""), 4)"),"#REF!")</f>
        <v>#REF!</v>
      </c>
    </row>
    <row r="2092">
      <c r="A2092" s="1" t="s">
        <v>4070</v>
      </c>
      <c r="B2092" s="1" t="s">
        <v>6357</v>
      </c>
      <c r="C2092" s="1" t="s">
        <v>21</v>
      </c>
      <c r="D2092" s="4" t="s">
        <v>6358</v>
      </c>
      <c r="E2092" s="1" t="s">
        <v>71</v>
      </c>
      <c r="F2092" s="1" t="s">
        <v>5285</v>
      </c>
      <c r="G2092" s="1" t="s">
        <v>5286</v>
      </c>
      <c r="H2092" s="1" t="s">
        <v>6359</v>
      </c>
      <c r="I2092" s="1" t="str">
        <f t="shared" si="1"/>
        <v>24</v>
      </c>
      <c r="J2092" s="5"/>
      <c r="K2092" s="1" t="str">
        <f t="shared" si="2"/>
        <v>1</v>
      </c>
      <c r="L2092" s="5"/>
      <c r="M2092" s="2" t="str">
        <f t="shared" si="3"/>
        <v>1399</v>
      </c>
      <c r="N2092" s="5"/>
      <c r="O2092" s="13">
        <v>852.0</v>
      </c>
      <c r="P2092" s="5"/>
      <c r="Q2092" s="5"/>
      <c r="R2092" s="6" t="s">
        <v>6359</v>
      </c>
      <c r="S2092" s="5"/>
      <c r="T2092" s="1" t="str">
        <f>IFERROR(__xludf.DUMMYFUNCTION("INDEX(SPLIT(A2092, ""/""), 2)"),"کانون‌های فرهنگی هنری")</f>
        <v>کانون‌های فرهنگی هنری</v>
      </c>
      <c r="U2092" s="1" t="str">
        <f>IFERROR(__xludf.DUMMYFUNCTION("INDEX(SPLIT(A2092, ""/""), 3)"),"روزنامه شریف")</f>
        <v>روزنامه شریف</v>
      </c>
      <c r="V2092" s="1" t="str">
        <f>IFERROR(__xludf.DUMMYFUNCTION("INDEX(SPLIT(A2092, ""/""), 4)"),"#REF!")</f>
        <v>#REF!</v>
      </c>
    </row>
    <row r="2093">
      <c r="A2093" s="1" t="s">
        <v>4070</v>
      </c>
      <c r="B2093" s="1" t="s">
        <v>6360</v>
      </c>
      <c r="C2093" s="1" t="s">
        <v>21</v>
      </c>
      <c r="D2093" s="4" t="s">
        <v>6361</v>
      </c>
      <c r="E2093" s="1" t="s">
        <v>71</v>
      </c>
      <c r="F2093" s="1" t="s">
        <v>5285</v>
      </c>
      <c r="G2093" s="1" t="s">
        <v>5286</v>
      </c>
      <c r="H2093" s="1" t="s">
        <v>6362</v>
      </c>
      <c r="I2093" s="1" t="str">
        <f t="shared" si="1"/>
        <v>31</v>
      </c>
      <c r="J2093" s="5"/>
      <c r="K2093" s="1" t="str">
        <f t="shared" si="2"/>
        <v>1</v>
      </c>
      <c r="L2093" s="5"/>
      <c r="M2093" s="2" t="str">
        <f t="shared" si="3"/>
        <v>1399</v>
      </c>
      <c r="N2093" s="5"/>
      <c r="O2093" s="13">
        <v>853.0</v>
      </c>
      <c r="P2093" s="5"/>
      <c r="Q2093" s="5"/>
      <c r="R2093" s="6" t="s">
        <v>6362</v>
      </c>
      <c r="S2093" s="5"/>
      <c r="T2093" s="1" t="str">
        <f>IFERROR(__xludf.DUMMYFUNCTION("INDEX(SPLIT(A2093, ""/""), 2)"),"کانون‌های فرهنگی هنری")</f>
        <v>کانون‌های فرهنگی هنری</v>
      </c>
      <c r="U2093" s="1" t="str">
        <f>IFERROR(__xludf.DUMMYFUNCTION("INDEX(SPLIT(A2093, ""/""), 3)"),"روزنامه شریف")</f>
        <v>روزنامه شریف</v>
      </c>
      <c r="V2093" s="1" t="str">
        <f>IFERROR(__xludf.DUMMYFUNCTION("INDEX(SPLIT(A2093, ""/""), 4)"),"#REF!")</f>
        <v>#REF!</v>
      </c>
    </row>
    <row r="2094">
      <c r="A2094" s="1" t="s">
        <v>4070</v>
      </c>
      <c r="B2094" s="1" t="s">
        <v>6363</v>
      </c>
      <c r="C2094" s="1" t="s">
        <v>21</v>
      </c>
      <c r="D2094" s="4" t="s">
        <v>6364</v>
      </c>
      <c r="E2094" s="1" t="s">
        <v>71</v>
      </c>
      <c r="F2094" s="1" t="s">
        <v>5285</v>
      </c>
      <c r="G2094" s="1" t="s">
        <v>5286</v>
      </c>
      <c r="H2094" s="7" t="s">
        <v>2097</v>
      </c>
      <c r="I2094" s="1" t="str">
        <f t="shared" si="1"/>
        <v>6</v>
      </c>
      <c r="J2094" s="5"/>
      <c r="K2094" s="1" t="str">
        <f t="shared" si="2"/>
        <v>2</v>
      </c>
      <c r="L2094" s="5"/>
      <c r="M2094" s="2" t="str">
        <f t="shared" si="3"/>
        <v>1399</v>
      </c>
      <c r="N2094" s="5"/>
      <c r="O2094" s="13">
        <v>854.0</v>
      </c>
      <c r="P2094" s="5"/>
      <c r="Q2094" s="5"/>
      <c r="R2094" s="8" t="s">
        <v>2097</v>
      </c>
      <c r="S2094" s="5"/>
      <c r="T2094" s="1" t="str">
        <f>IFERROR(__xludf.DUMMYFUNCTION("INDEX(SPLIT(A2094, ""/""), 2)"),"کانون‌های فرهنگی هنری")</f>
        <v>کانون‌های فرهنگی هنری</v>
      </c>
      <c r="U2094" s="1" t="str">
        <f>IFERROR(__xludf.DUMMYFUNCTION("INDEX(SPLIT(A2094, ""/""), 3)"),"روزنامه شریف")</f>
        <v>روزنامه شریف</v>
      </c>
      <c r="V2094" s="1" t="str">
        <f>IFERROR(__xludf.DUMMYFUNCTION("INDEX(SPLIT(A2094, ""/""), 4)"),"#REF!")</f>
        <v>#REF!</v>
      </c>
    </row>
    <row r="2095">
      <c r="A2095" s="1" t="s">
        <v>4070</v>
      </c>
      <c r="B2095" s="1" t="s">
        <v>6365</v>
      </c>
      <c r="C2095" s="1" t="s">
        <v>21</v>
      </c>
      <c r="D2095" s="4" t="s">
        <v>6366</v>
      </c>
      <c r="E2095" s="1" t="s">
        <v>71</v>
      </c>
      <c r="F2095" s="1" t="s">
        <v>5285</v>
      </c>
      <c r="G2095" s="1" t="s">
        <v>5286</v>
      </c>
      <c r="H2095" s="1" t="s">
        <v>372</v>
      </c>
      <c r="I2095" s="1" t="str">
        <f t="shared" si="1"/>
        <v>15</v>
      </c>
      <c r="J2095" s="5"/>
      <c r="K2095" s="1" t="str">
        <f t="shared" si="2"/>
        <v>2</v>
      </c>
      <c r="L2095" s="5"/>
      <c r="M2095" s="2" t="str">
        <f t="shared" si="3"/>
        <v>1399</v>
      </c>
      <c r="N2095" s="5"/>
      <c r="O2095" s="13">
        <v>855.0</v>
      </c>
      <c r="P2095" s="5"/>
      <c r="Q2095" s="5"/>
      <c r="R2095" s="6" t="s">
        <v>372</v>
      </c>
      <c r="S2095" s="5"/>
      <c r="T2095" s="1" t="str">
        <f>IFERROR(__xludf.DUMMYFUNCTION("INDEX(SPLIT(A2095, ""/""), 2)"),"کانون‌های فرهنگی هنری")</f>
        <v>کانون‌های فرهنگی هنری</v>
      </c>
      <c r="U2095" s="1" t="str">
        <f>IFERROR(__xludf.DUMMYFUNCTION("INDEX(SPLIT(A2095, ""/""), 3)"),"روزنامه شریف")</f>
        <v>روزنامه شریف</v>
      </c>
      <c r="V2095" s="1" t="str">
        <f>IFERROR(__xludf.DUMMYFUNCTION("INDEX(SPLIT(A2095, ""/""), 4)"),"#REF!")</f>
        <v>#REF!</v>
      </c>
    </row>
    <row r="2096">
      <c r="A2096" s="1" t="s">
        <v>4070</v>
      </c>
      <c r="B2096" s="1" t="s">
        <v>6367</v>
      </c>
      <c r="C2096" s="1" t="s">
        <v>21</v>
      </c>
      <c r="D2096" s="4" t="s">
        <v>6368</v>
      </c>
      <c r="E2096" s="1" t="s">
        <v>71</v>
      </c>
      <c r="F2096" s="1" t="s">
        <v>5285</v>
      </c>
      <c r="G2096" s="1" t="s">
        <v>5286</v>
      </c>
      <c r="H2096" s="1" t="s">
        <v>6369</v>
      </c>
      <c r="I2096" s="1" t="str">
        <f t="shared" si="1"/>
        <v>24</v>
      </c>
      <c r="J2096" s="5"/>
      <c r="K2096" s="1" t="str">
        <f t="shared" si="2"/>
        <v>2</v>
      </c>
      <c r="L2096" s="5"/>
      <c r="M2096" s="2" t="str">
        <f t="shared" si="3"/>
        <v>1399</v>
      </c>
      <c r="N2096" s="5"/>
      <c r="O2096" s="13">
        <v>856.0</v>
      </c>
      <c r="P2096" s="5"/>
      <c r="Q2096" s="5"/>
      <c r="R2096" s="6" t="s">
        <v>6369</v>
      </c>
      <c r="S2096" s="5"/>
      <c r="T2096" s="1" t="str">
        <f>IFERROR(__xludf.DUMMYFUNCTION("INDEX(SPLIT(A2096, ""/""), 2)"),"کانون‌های فرهنگی هنری")</f>
        <v>کانون‌های فرهنگی هنری</v>
      </c>
      <c r="U2096" s="1" t="str">
        <f>IFERROR(__xludf.DUMMYFUNCTION("INDEX(SPLIT(A2096, ""/""), 3)"),"روزنامه شریف")</f>
        <v>روزنامه شریف</v>
      </c>
      <c r="V2096" s="1" t="str">
        <f>IFERROR(__xludf.DUMMYFUNCTION("INDEX(SPLIT(A2096, ""/""), 4)"),"#REF!")</f>
        <v>#REF!</v>
      </c>
    </row>
    <row r="2097">
      <c r="A2097" s="1" t="s">
        <v>4070</v>
      </c>
      <c r="B2097" s="1" t="s">
        <v>6370</v>
      </c>
      <c r="C2097" s="1" t="s">
        <v>21</v>
      </c>
      <c r="D2097" s="4" t="s">
        <v>6371</v>
      </c>
      <c r="E2097" s="1" t="s">
        <v>71</v>
      </c>
      <c r="F2097" s="1" t="s">
        <v>5285</v>
      </c>
      <c r="G2097" s="1" t="s">
        <v>5286</v>
      </c>
      <c r="H2097" s="7" t="s">
        <v>6372</v>
      </c>
      <c r="I2097" s="1" t="str">
        <f t="shared" si="1"/>
        <v>3</v>
      </c>
      <c r="J2097" s="5"/>
      <c r="K2097" s="1" t="str">
        <f t="shared" si="2"/>
        <v>3</v>
      </c>
      <c r="L2097" s="5"/>
      <c r="M2097" s="2" t="str">
        <f t="shared" si="3"/>
        <v>1399</v>
      </c>
      <c r="N2097" s="5"/>
      <c r="O2097" s="13">
        <v>857.0</v>
      </c>
      <c r="P2097" s="5"/>
      <c r="Q2097" s="5"/>
      <c r="R2097" s="8" t="s">
        <v>6372</v>
      </c>
      <c r="S2097" s="5"/>
      <c r="T2097" s="1" t="str">
        <f>IFERROR(__xludf.DUMMYFUNCTION("INDEX(SPLIT(A2097, ""/""), 2)"),"کانون‌های فرهنگی هنری")</f>
        <v>کانون‌های فرهنگی هنری</v>
      </c>
      <c r="U2097" s="1" t="str">
        <f>IFERROR(__xludf.DUMMYFUNCTION("INDEX(SPLIT(A2097, ""/""), 3)"),"روزنامه شریف")</f>
        <v>روزنامه شریف</v>
      </c>
      <c r="V2097" s="1" t="str">
        <f>IFERROR(__xludf.DUMMYFUNCTION("INDEX(SPLIT(A2097, ""/""), 4)"),"#REF!")</f>
        <v>#REF!</v>
      </c>
    </row>
    <row r="2098">
      <c r="A2098" s="1" t="s">
        <v>4070</v>
      </c>
      <c r="B2098" s="1" t="s">
        <v>6373</v>
      </c>
      <c r="C2098" s="1" t="s">
        <v>21</v>
      </c>
      <c r="D2098" s="4" t="s">
        <v>6374</v>
      </c>
      <c r="E2098" s="1" t="s">
        <v>71</v>
      </c>
      <c r="F2098" s="1" t="s">
        <v>5285</v>
      </c>
      <c r="G2098" s="1" t="s">
        <v>5286</v>
      </c>
      <c r="H2098" s="1" t="s">
        <v>6375</v>
      </c>
      <c r="I2098" s="1" t="str">
        <f t="shared" si="1"/>
        <v>14</v>
      </c>
      <c r="J2098" s="5"/>
      <c r="K2098" s="1" t="str">
        <f t="shared" si="2"/>
        <v>3</v>
      </c>
      <c r="L2098" s="5"/>
      <c r="M2098" s="2" t="str">
        <f t="shared" si="3"/>
        <v>1399</v>
      </c>
      <c r="N2098" s="5"/>
      <c r="O2098" s="13">
        <v>858.0</v>
      </c>
      <c r="P2098" s="5"/>
      <c r="Q2098" s="5"/>
      <c r="R2098" s="6" t="s">
        <v>6375</v>
      </c>
      <c r="S2098" s="5"/>
      <c r="T2098" s="1" t="str">
        <f>IFERROR(__xludf.DUMMYFUNCTION("INDEX(SPLIT(A2098, ""/""), 2)"),"کانون‌های فرهنگی هنری")</f>
        <v>کانون‌های فرهنگی هنری</v>
      </c>
      <c r="U2098" s="1" t="str">
        <f>IFERROR(__xludf.DUMMYFUNCTION("INDEX(SPLIT(A2098, ""/""), 3)"),"روزنامه شریف")</f>
        <v>روزنامه شریف</v>
      </c>
      <c r="V2098" s="1" t="str">
        <f>IFERROR(__xludf.DUMMYFUNCTION("INDEX(SPLIT(A2098, ""/""), 4)"),"#REF!")</f>
        <v>#REF!</v>
      </c>
    </row>
    <row r="2099">
      <c r="A2099" s="1" t="s">
        <v>4070</v>
      </c>
      <c r="B2099" s="1" t="s">
        <v>6376</v>
      </c>
      <c r="C2099" s="1" t="s">
        <v>21</v>
      </c>
      <c r="D2099" s="4" t="s">
        <v>6377</v>
      </c>
      <c r="E2099" s="1" t="s">
        <v>71</v>
      </c>
      <c r="F2099" s="1" t="s">
        <v>5285</v>
      </c>
      <c r="G2099" s="1" t="s">
        <v>5286</v>
      </c>
      <c r="H2099" s="1" t="s">
        <v>6378</v>
      </c>
      <c r="I2099" s="1" t="str">
        <f t="shared" si="1"/>
        <v>25</v>
      </c>
      <c r="J2099" s="5"/>
      <c r="K2099" s="1" t="str">
        <f t="shared" si="2"/>
        <v>3</v>
      </c>
      <c r="L2099" s="5"/>
      <c r="M2099" s="2" t="str">
        <f t="shared" si="3"/>
        <v>1399</v>
      </c>
      <c r="N2099" s="5"/>
      <c r="O2099" s="13">
        <v>859.0</v>
      </c>
      <c r="P2099" s="5"/>
      <c r="Q2099" s="5"/>
      <c r="R2099" s="6" t="s">
        <v>6378</v>
      </c>
      <c r="S2099" s="5"/>
      <c r="T2099" s="1" t="str">
        <f>IFERROR(__xludf.DUMMYFUNCTION("INDEX(SPLIT(A2099, ""/""), 2)"),"کانون‌های فرهنگی هنری")</f>
        <v>کانون‌های فرهنگی هنری</v>
      </c>
      <c r="U2099" s="1" t="str">
        <f>IFERROR(__xludf.DUMMYFUNCTION("INDEX(SPLIT(A2099, ""/""), 3)"),"روزنامه شریف")</f>
        <v>روزنامه شریف</v>
      </c>
      <c r="V2099" s="1" t="str">
        <f>IFERROR(__xludf.DUMMYFUNCTION("INDEX(SPLIT(A2099, ""/""), 4)"),"#REF!")</f>
        <v>#REF!</v>
      </c>
    </row>
    <row r="2100">
      <c r="A2100" s="1" t="s">
        <v>4070</v>
      </c>
      <c r="B2100" s="1" t="s">
        <v>6379</v>
      </c>
      <c r="C2100" s="1" t="s">
        <v>21</v>
      </c>
      <c r="D2100" s="4" t="s">
        <v>6380</v>
      </c>
      <c r="E2100" s="1" t="s">
        <v>71</v>
      </c>
      <c r="F2100" s="1" t="s">
        <v>5285</v>
      </c>
      <c r="G2100" s="1" t="s">
        <v>5286</v>
      </c>
      <c r="H2100" s="1" t="s">
        <v>6381</v>
      </c>
      <c r="I2100" s="1" t="str">
        <f t="shared" si="1"/>
        <v>25</v>
      </c>
      <c r="J2100" s="5"/>
      <c r="K2100" s="1" t="str">
        <f t="shared" si="2"/>
        <v>5</v>
      </c>
      <c r="L2100" s="5"/>
      <c r="M2100" s="2" t="str">
        <f t="shared" si="3"/>
        <v>1399</v>
      </c>
      <c r="N2100" s="5"/>
      <c r="O2100" s="13">
        <v>860.0</v>
      </c>
      <c r="P2100" s="5"/>
      <c r="Q2100" s="5"/>
      <c r="R2100" s="6" t="s">
        <v>6381</v>
      </c>
      <c r="S2100" s="5"/>
      <c r="T2100" s="1" t="str">
        <f>IFERROR(__xludf.DUMMYFUNCTION("INDEX(SPLIT(A2100, ""/""), 2)"),"کانون‌های فرهنگی هنری")</f>
        <v>کانون‌های فرهنگی هنری</v>
      </c>
      <c r="U2100" s="1" t="str">
        <f>IFERROR(__xludf.DUMMYFUNCTION("INDEX(SPLIT(A2100, ""/""), 3)"),"روزنامه شریف")</f>
        <v>روزنامه شریف</v>
      </c>
      <c r="V2100" s="1" t="str">
        <f>IFERROR(__xludf.DUMMYFUNCTION("INDEX(SPLIT(A2100, ""/""), 4)"),"#REF!")</f>
        <v>#REF!</v>
      </c>
    </row>
    <row r="2101">
      <c r="A2101" s="1" t="s">
        <v>4070</v>
      </c>
      <c r="B2101" s="1" t="s">
        <v>6382</v>
      </c>
      <c r="C2101" s="1" t="s">
        <v>21</v>
      </c>
      <c r="D2101" s="4" t="s">
        <v>6383</v>
      </c>
      <c r="E2101" s="1" t="s">
        <v>71</v>
      </c>
      <c r="F2101" s="1" t="s">
        <v>5285</v>
      </c>
      <c r="G2101" s="1" t="s">
        <v>5286</v>
      </c>
      <c r="H2101" s="1" t="s">
        <v>6384</v>
      </c>
      <c r="I2101" s="1" t="str">
        <f t="shared" si="1"/>
        <v>16</v>
      </c>
      <c r="J2101" s="5"/>
      <c r="K2101" s="1" t="str">
        <f t="shared" si="2"/>
        <v>7</v>
      </c>
      <c r="L2101" s="5"/>
      <c r="M2101" s="2" t="str">
        <f t="shared" si="3"/>
        <v>1399</v>
      </c>
      <c r="N2101" s="5"/>
      <c r="O2101" s="13">
        <v>861.0</v>
      </c>
      <c r="P2101" s="5"/>
      <c r="Q2101" s="5"/>
      <c r="R2101" s="6" t="s">
        <v>6384</v>
      </c>
      <c r="S2101" s="5"/>
      <c r="T2101" s="1" t="str">
        <f>IFERROR(__xludf.DUMMYFUNCTION("INDEX(SPLIT(A2101, ""/""), 2)"),"کانون‌های فرهنگی هنری")</f>
        <v>کانون‌های فرهنگی هنری</v>
      </c>
      <c r="U2101" s="1" t="str">
        <f>IFERROR(__xludf.DUMMYFUNCTION("INDEX(SPLIT(A2101, ""/""), 3)"),"روزنامه شریف")</f>
        <v>روزنامه شریف</v>
      </c>
      <c r="V2101" s="1" t="str">
        <f>IFERROR(__xludf.DUMMYFUNCTION("INDEX(SPLIT(A2101, ""/""), 4)"),"#REF!")</f>
        <v>#REF!</v>
      </c>
    </row>
    <row r="2102">
      <c r="A2102" s="1" t="s">
        <v>4070</v>
      </c>
      <c r="B2102" s="1" t="s">
        <v>6385</v>
      </c>
      <c r="C2102" s="1" t="s">
        <v>21</v>
      </c>
      <c r="D2102" s="4" t="s">
        <v>6386</v>
      </c>
      <c r="E2102" s="1" t="s">
        <v>71</v>
      </c>
      <c r="F2102" s="1" t="s">
        <v>5285</v>
      </c>
      <c r="G2102" s="1" t="s">
        <v>5286</v>
      </c>
      <c r="H2102" s="1" t="s">
        <v>6387</v>
      </c>
      <c r="I2102" s="1" t="str">
        <f t="shared" si="1"/>
        <v>23</v>
      </c>
      <c r="J2102" s="5"/>
      <c r="K2102" s="1" t="str">
        <f t="shared" si="2"/>
        <v>7</v>
      </c>
      <c r="L2102" s="5"/>
      <c r="M2102" s="2" t="str">
        <f t="shared" si="3"/>
        <v>1399</v>
      </c>
      <c r="N2102" s="5"/>
      <c r="O2102" s="13">
        <v>862.0</v>
      </c>
      <c r="P2102" s="5"/>
      <c r="Q2102" s="5"/>
      <c r="R2102" s="6" t="s">
        <v>6387</v>
      </c>
      <c r="S2102" s="5"/>
      <c r="T2102" s="1" t="str">
        <f>IFERROR(__xludf.DUMMYFUNCTION("INDEX(SPLIT(A2102, ""/""), 2)"),"کانون‌های فرهنگی هنری")</f>
        <v>کانون‌های فرهنگی هنری</v>
      </c>
      <c r="U2102" s="1" t="str">
        <f>IFERROR(__xludf.DUMMYFUNCTION("INDEX(SPLIT(A2102, ""/""), 3)"),"روزنامه شریف")</f>
        <v>روزنامه شریف</v>
      </c>
      <c r="V2102" s="1" t="str">
        <f>IFERROR(__xludf.DUMMYFUNCTION("INDEX(SPLIT(A2102, ""/""), 4)"),"#REF!")</f>
        <v>#REF!</v>
      </c>
    </row>
    <row r="2103">
      <c r="A2103" s="1" t="s">
        <v>4070</v>
      </c>
      <c r="B2103" s="1" t="s">
        <v>6388</v>
      </c>
      <c r="C2103" s="1" t="s">
        <v>21</v>
      </c>
      <c r="D2103" s="4" t="s">
        <v>6389</v>
      </c>
      <c r="E2103" s="1" t="s">
        <v>71</v>
      </c>
      <c r="F2103" s="1" t="s">
        <v>5285</v>
      </c>
      <c r="G2103" s="1" t="s">
        <v>5286</v>
      </c>
      <c r="H2103" s="1" t="s">
        <v>6390</v>
      </c>
      <c r="I2103" s="1" t="str">
        <f t="shared" si="1"/>
        <v>30</v>
      </c>
      <c r="J2103" s="5"/>
      <c r="K2103" s="1" t="str">
        <f t="shared" si="2"/>
        <v>7</v>
      </c>
      <c r="L2103" s="5"/>
      <c r="M2103" s="2" t="str">
        <f t="shared" si="3"/>
        <v>1399</v>
      </c>
      <c r="N2103" s="5"/>
      <c r="O2103" s="13">
        <v>863.0</v>
      </c>
      <c r="P2103" s="5"/>
      <c r="Q2103" s="5"/>
      <c r="R2103" s="6" t="s">
        <v>6390</v>
      </c>
      <c r="S2103" s="5"/>
      <c r="T2103" s="1" t="str">
        <f>IFERROR(__xludf.DUMMYFUNCTION("INDEX(SPLIT(A2103, ""/""), 2)"),"کانون‌های فرهنگی هنری")</f>
        <v>کانون‌های فرهنگی هنری</v>
      </c>
      <c r="U2103" s="1" t="str">
        <f>IFERROR(__xludf.DUMMYFUNCTION("INDEX(SPLIT(A2103, ""/""), 3)"),"روزنامه شریف")</f>
        <v>روزنامه شریف</v>
      </c>
      <c r="V2103" s="1" t="str">
        <f>IFERROR(__xludf.DUMMYFUNCTION("INDEX(SPLIT(A2103, ""/""), 4)"),"#REF!")</f>
        <v>#REF!</v>
      </c>
    </row>
    <row r="2104">
      <c r="A2104" s="1" t="s">
        <v>4070</v>
      </c>
      <c r="B2104" s="1" t="s">
        <v>6391</v>
      </c>
      <c r="C2104" s="1" t="s">
        <v>21</v>
      </c>
      <c r="D2104" s="4" t="s">
        <v>6392</v>
      </c>
      <c r="E2104" s="1" t="s">
        <v>71</v>
      </c>
      <c r="F2104" s="1" t="s">
        <v>5285</v>
      </c>
      <c r="G2104" s="1" t="s">
        <v>5286</v>
      </c>
      <c r="H2104" s="7" t="s">
        <v>2389</v>
      </c>
      <c r="I2104" s="1" t="str">
        <f t="shared" si="1"/>
        <v>7</v>
      </c>
      <c r="J2104" s="5"/>
      <c r="K2104" s="1" t="str">
        <f t="shared" si="2"/>
        <v>8</v>
      </c>
      <c r="L2104" s="5"/>
      <c r="M2104" s="2" t="str">
        <f t="shared" si="3"/>
        <v>1399</v>
      </c>
      <c r="N2104" s="5"/>
      <c r="O2104" s="13">
        <v>864.0</v>
      </c>
      <c r="P2104" s="5"/>
      <c r="Q2104" s="5"/>
      <c r="R2104" s="8" t="s">
        <v>2389</v>
      </c>
      <c r="S2104" s="5"/>
      <c r="T2104" s="1" t="str">
        <f>IFERROR(__xludf.DUMMYFUNCTION("INDEX(SPLIT(A2104, ""/""), 2)"),"کانون‌های فرهنگی هنری")</f>
        <v>کانون‌های فرهنگی هنری</v>
      </c>
      <c r="U2104" s="1" t="str">
        <f>IFERROR(__xludf.DUMMYFUNCTION("INDEX(SPLIT(A2104, ""/""), 3)"),"روزنامه شریف")</f>
        <v>روزنامه شریف</v>
      </c>
      <c r="V2104" s="1" t="str">
        <f>IFERROR(__xludf.DUMMYFUNCTION("INDEX(SPLIT(A2104, ""/""), 4)"),"#REF!")</f>
        <v>#REF!</v>
      </c>
    </row>
    <row r="2105">
      <c r="A2105" s="1" t="s">
        <v>4070</v>
      </c>
      <c r="B2105" s="1" t="s">
        <v>6393</v>
      </c>
      <c r="C2105" s="1" t="s">
        <v>21</v>
      </c>
      <c r="D2105" s="4" t="s">
        <v>6394</v>
      </c>
      <c r="E2105" s="1" t="s">
        <v>71</v>
      </c>
      <c r="F2105" s="1" t="s">
        <v>5285</v>
      </c>
      <c r="G2105" s="1" t="s">
        <v>5286</v>
      </c>
      <c r="H2105" s="1" t="s">
        <v>27</v>
      </c>
      <c r="I2105" s="1" t="str">
        <f t="shared" si="1"/>
        <v>15</v>
      </c>
      <c r="J2105" s="5"/>
      <c r="K2105" s="1" t="str">
        <f t="shared" si="2"/>
        <v>7</v>
      </c>
      <c r="L2105" s="5"/>
      <c r="M2105" s="2" t="str">
        <f t="shared" si="3"/>
        <v>1399</v>
      </c>
      <c r="N2105" s="5"/>
      <c r="O2105" s="13">
        <v>865.0</v>
      </c>
      <c r="P2105" s="5"/>
      <c r="Q2105" s="5"/>
      <c r="R2105" s="6" t="s">
        <v>27</v>
      </c>
      <c r="S2105" s="5"/>
      <c r="T2105" s="1" t="str">
        <f>IFERROR(__xludf.DUMMYFUNCTION("INDEX(SPLIT(A2105, ""/""), 2)"),"کانون‌های فرهنگی هنری")</f>
        <v>کانون‌های فرهنگی هنری</v>
      </c>
      <c r="U2105" s="1" t="str">
        <f>IFERROR(__xludf.DUMMYFUNCTION("INDEX(SPLIT(A2105, ""/""), 3)"),"روزنامه شریف")</f>
        <v>روزنامه شریف</v>
      </c>
      <c r="V2105" s="1" t="str">
        <f>IFERROR(__xludf.DUMMYFUNCTION("INDEX(SPLIT(A2105, ""/""), 4)"),"#REF!")</f>
        <v>#REF!</v>
      </c>
    </row>
    <row r="2106">
      <c r="A2106" s="1" t="s">
        <v>4070</v>
      </c>
      <c r="B2106" s="1" t="s">
        <v>6395</v>
      </c>
      <c r="C2106" s="1" t="s">
        <v>21</v>
      </c>
      <c r="D2106" s="4" t="s">
        <v>6396</v>
      </c>
      <c r="E2106" s="1" t="s">
        <v>71</v>
      </c>
      <c r="F2106" s="1" t="s">
        <v>5285</v>
      </c>
      <c r="G2106" s="1" t="s">
        <v>5286</v>
      </c>
      <c r="H2106" s="1" t="s">
        <v>6397</v>
      </c>
      <c r="I2106" s="1" t="str">
        <f t="shared" si="1"/>
        <v>23</v>
      </c>
      <c r="J2106" s="5"/>
      <c r="K2106" s="1" t="str">
        <f t="shared" si="2"/>
        <v>8</v>
      </c>
      <c r="L2106" s="5"/>
      <c r="M2106" s="2" t="str">
        <f t="shared" si="3"/>
        <v>1399</v>
      </c>
      <c r="N2106" s="5"/>
      <c r="O2106" s="13">
        <v>866.0</v>
      </c>
      <c r="P2106" s="5"/>
      <c r="Q2106" s="5"/>
      <c r="R2106" s="6" t="s">
        <v>6397</v>
      </c>
      <c r="S2106" s="5"/>
      <c r="T2106" s="1" t="str">
        <f>IFERROR(__xludf.DUMMYFUNCTION("INDEX(SPLIT(A2106, ""/""), 2)"),"کانون‌های فرهنگی هنری")</f>
        <v>کانون‌های فرهنگی هنری</v>
      </c>
      <c r="U2106" s="1" t="str">
        <f>IFERROR(__xludf.DUMMYFUNCTION("INDEX(SPLIT(A2106, ""/""), 3)"),"روزنامه شریف")</f>
        <v>روزنامه شریف</v>
      </c>
      <c r="V2106" s="1" t="str">
        <f>IFERROR(__xludf.DUMMYFUNCTION("INDEX(SPLIT(A2106, ""/""), 4)"),"#REF!")</f>
        <v>#REF!</v>
      </c>
    </row>
    <row r="2107">
      <c r="A2107" s="1" t="s">
        <v>4070</v>
      </c>
      <c r="B2107" s="1" t="s">
        <v>6398</v>
      </c>
      <c r="C2107" s="1" t="s">
        <v>21</v>
      </c>
      <c r="D2107" s="4" t="s">
        <v>6399</v>
      </c>
      <c r="E2107" s="1" t="s">
        <v>71</v>
      </c>
      <c r="F2107" s="1" t="s">
        <v>5285</v>
      </c>
      <c r="G2107" s="1" t="s">
        <v>5286</v>
      </c>
      <c r="H2107" s="7" t="s">
        <v>6400</v>
      </c>
      <c r="I2107" s="1" t="str">
        <f t="shared" si="1"/>
        <v>1</v>
      </c>
      <c r="J2107" s="5"/>
      <c r="K2107" s="1" t="str">
        <f t="shared" si="2"/>
        <v>9</v>
      </c>
      <c r="L2107" s="5"/>
      <c r="M2107" s="2" t="str">
        <f t="shared" si="3"/>
        <v>1399</v>
      </c>
      <c r="N2107" s="5"/>
      <c r="O2107" s="13">
        <v>867.0</v>
      </c>
      <c r="P2107" s="5"/>
      <c r="Q2107" s="5"/>
      <c r="R2107" s="8" t="s">
        <v>6400</v>
      </c>
      <c r="S2107" s="5"/>
      <c r="T2107" s="1" t="str">
        <f>IFERROR(__xludf.DUMMYFUNCTION("INDEX(SPLIT(A2107, ""/""), 2)"),"کانون‌های فرهنگی هنری")</f>
        <v>کانون‌های فرهنگی هنری</v>
      </c>
      <c r="U2107" s="1" t="str">
        <f>IFERROR(__xludf.DUMMYFUNCTION("INDEX(SPLIT(A2107, ""/""), 3)"),"روزنامه شریف")</f>
        <v>روزنامه شریف</v>
      </c>
      <c r="V2107" s="1" t="str">
        <f>IFERROR(__xludf.DUMMYFUNCTION("INDEX(SPLIT(A2107, ""/""), 4)"),"#REF!")</f>
        <v>#REF!</v>
      </c>
    </row>
    <row r="2108">
      <c r="A2108" s="1" t="s">
        <v>4070</v>
      </c>
      <c r="B2108" s="1" t="s">
        <v>6401</v>
      </c>
      <c r="C2108" s="1" t="s">
        <v>21</v>
      </c>
      <c r="D2108" s="4" t="s">
        <v>6402</v>
      </c>
      <c r="E2108" s="1" t="s">
        <v>71</v>
      </c>
      <c r="F2108" s="1" t="s">
        <v>5285</v>
      </c>
      <c r="G2108" s="1" t="s">
        <v>5286</v>
      </c>
      <c r="H2108" s="7" t="s">
        <v>6403</v>
      </c>
      <c r="I2108" s="1" t="str">
        <f t="shared" si="1"/>
        <v>11</v>
      </c>
      <c r="J2108" s="5"/>
      <c r="K2108" s="1" t="str">
        <f t="shared" si="2"/>
        <v>9</v>
      </c>
      <c r="L2108" s="5"/>
      <c r="M2108" s="2" t="str">
        <f t="shared" si="3"/>
        <v>1399</v>
      </c>
      <c r="N2108" s="5"/>
      <c r="O2108" s="13">
        <v>868.0</v>
      </c>
      <c r="P2108" s="5"/>
      <c r="Q2108" s="5"/>
      <c r="R2108" s="8" t="s">
        <v>6403</v>
      </c>
      <c r="S2108" s="5"/>
      <c r="T2108" s="1" t="str">
        <f>IFERROR(__xludf.DUMMYFUNCTION("INDEX(SPLIT(A2108, ""/""), 2)"),"کانون‌های فرهنگی هنری")</f>
        <v>کانون‌های فرهنگی هنری</v>
      </c>
      <c r="U2108" s="1" t="str">
        <f>IFERROR(__xludf.DUMMYFUNCTION("INDEX(SPLIT(A2108, ""/""), 3)"),"روزنامه شریف")</f>
        <v>روزنامه شریف</v>
      </c>
      <c r="V2108" s="1" t="str">
        <f>IFERROR(__xludf.DUMMYFUNCTION("INDEX(SPLIT(A2108, ""/""), 4)"),"#REF!")</f>
        <v>#REF!</v>
      </c>
    </row>
    <row r="2109">
      <c r="A2109" s="1" t="s">
        <v>4070</v>
      </c>
      <c r="B2109" s="1" t="s">
        <v>6404</v>
      </c>
      <c r="C2109" s="1" t="s">
        <v>21</v>
      </c>
      <c r="D2109" s="4" t="s">
        <v>6405</v>
      </c>
      <c r="E2109" s="1" t="s">
        <v>71</v>
      </c>
      <c r="F2109" s="1" t="s">
        <v>5285</v>
      </c>
      <c r="G2109" s="1" t="s">
        <v>5286</v>
      </c>
      <c r="H2109" s="1" t="s">
        <v>6406</v>
      </c>
      <c r="I2109" s="1" t="str">
        <f t="shared" si="1"/>
        <v>22</v>
      </c>
      <c r="J2109" s="5"/>
      <c r="K2109" s="1" t="str">
        <f t="shared" si="2"/>
        <v>9</v>
      </c>
      <c r="L2109" s="5"/>
      <c r="M2109" s="2" t="str">
        <f t="shared" si="3"/>
        <v>1399</v>
      </c>
      <c r="N2109" s="5"/>
      <c r="O2109" s="13">
        <v>869.0</v>
      </c>
      <c r="P2109" s="5"/>
      <c r="Q2109" s="5"/>
      <c r="R2109" s="6" t="s">
        <v>6406</v>
      </c>
      <c r="S2109" s="5"/>
      <c r="T2109" s="1" t="str">
        <f>IFERROR(__xludf.DUMMYFUNCTION("INDEX(SPLIT(A2109, ""/""), 2)"),"کانون‌های فرهنگی هنری")</f>
        <v>کانون‌های فرهنگی هنری</v>
      </c>
      <c r="U2109" s="1" t="str">
        <f>IFERROR(__xludf.DUMMYFUNCTION("INDEX(SPLIT(A2109, ""/""), 3)"),"روزنامه شریف")</f>
        <v>روزنامه شریف</v>
      </c>
      <c r="V2109" s="1" t="str">
        <f>IFERROR(__xludf.DUMMYFUNCTION("INDEX(SPLIT(A2109, ""/""), 4)"),"#REF!")</f>
        <v>#REF!</v>
      </c>
    </row>
    <row r="2110">
      <c r="A2110" s="1" t="s">
        <v>4070</v>
      </c>
      <c r="B2110" s="1" t="s">
        <v>6407</v>
      </c>
      <c r="C2110" s="1" t="s">
        <v>21</v>
      </c>
      <c r="D2110" s="4" t="s">
        <v>6408</v>
      </c>
      <c r="E2110" s="1" t="s">
        <v>71</v>
      </c>
      <c r="F2110" s="1" t="s">
        <v>5285</v>
      </c>
      <c r="G2110" s="1" t="s">
        <v>5286</v>
      </c>
      <c r="H2110" s="1" t="s">
        <v>6409</v>
      </c>
      <c r="I2110" s="1" t="str">
        <f t="shared" si="1"/>
        <v>30</v>
      </c>
      <c r="J2110" s="5"/>
      <c r="K2110" s="1" t="str">
        <f t="shared" si="2"/>
        <v>10</v>
      </c>
      <c r="L2110" s="5"/>
      <c r="M2110" s="2" t="str">
        <f t="shared" si="3"/>
        <v>1399</v>
      </c>
      <c r="N2110" s="5"/>
      <c r="O2110" s="13">
        <v>870.0</v>
      </c>
      <c r="P2110" s="5"/>
      <c r="Q2110" s="5"/>
      <c r="R2110" s="6" t="s">
        <v>6409</v>
      </c>
      <c r="S2110" s="5"/>
      <c r="T2110" s="1" t="str">
        <f>IFERROR(__xludf.DUMMYFUNCTION("INDEX(SPLIT(A2110, ""/""), 2)"),"کانون‌های فرهنگی هنری")</f>
        <v>کانون‌های فرهنگی هنری</v>
      </c>
      <c r="U2110" s="1" t="str">
        <f>IFERROR(__xludf.DUMMYFUNCTION("INDEX(SPLIT(A2110, ""/""), 3)"),"روزنامه شریف")</f>
        <v>روزنامه شریف</v>
      </c>
      <c r="V2110" s="1" t="str">
        <f>IFERROR(__xludf.DUMMYFUNCTION("INDEX(SPLIT(A2110, ""/""), 4)"),"#REF!")</f>
        <v>#REF!</v>
      </c>
    </row>
    <row r="2111">
      <c r="A2111" s="1" t="s">
        <v>4070</v>
      </c>
      <c r="B2111" s="1" t="s">
        <v>6410</v>
      </c>
      <c r="C2111" s="1" t="s">
        <v>21</v>
      </c>
      <c r="D2111" s="4" t="s">
        <v>6411</v>
      </c>
      <c r="E2111" s="1" t="s">
        <v>71</v>
      </c>
      <c r="F2111" s="1" t="s">
        <v>5285</v>
      </c>
      <c r="G2111" s="1" t="s">
        <v>5286</v>
      </c>
      <c r="H2111" s="7" t="s">
        <v>2129</v>
      </c>
      <c r="I2111" s="1" t="str">
        <f t="shared" si="1"/>
        <v>2</v>
      </c>
      <c r="J2111" s="5"/>
      <c r="K2111" s="1" t="str">
        <f t="shared" si="2"/>
        <v>12</v>
      </c>
      <c r="L2111" s="5"/>
      <c r="M2111" s="2" t="str">
        <f t="shared" si="3"/>
        <v>1399</v>
      </c>
      <c r="N2111" s="5"/>
      <c r="O2111" s="13">
        <v>871.0</v>
      </c>
      <c r="P2111" s="5"/>
      <c r="Q2111" s="5"/>
      <c r="R2111" s="8" t="s">
        <v>2129</v>
      </c>
      <c r="S2111" s="5"/>
      <c r="T2111" s="1" t="str">
        <f>IFERROR(__xludf.DUMMYFUNCTION("INDEX(SPLIT(A2111, ""/""), 2)"),"کانون‌های فرهنگی هنری")</f>
        <v>کانون‌های فرهنگی هنری</v>
      </c>
      <c r="U2111" s="1" t="str">
        <f>IFERROR(__xludf.DUMMYFUNCTION("INDEX(SPLIT(A2111, ""/""), 3)"),"روزنامه شریف")</f>
        <v>روزنامه شریف</v>
      </c>
      <c r="V2111" s="1" t="str">
        <f>IFERROR(__xludf.DUMMYFUNCTION("INDEX(SPLIT(A2111, ""/""), 4)"),"#REF!")</f>
        <v>#REF!</v>
      </c>
    </row>
    <row r="2112">
      <c r="A2112" s="1" t="s">
        <v>4070</v>
      </c>
      <c r="B2112" s="1" t="s">
        <v>6412</v>
      </c>
      <c r="C2112" s="1" t="s">
        <v>21</v>
      </c>
      <c r="D2112" s="4" t="s">
        <v>6413</v>
      </c>
      <c r="E2112" s="1" t="s">
        <v>71</v>
      </c>
      <c r="F2112" s="1" t="s">
        <v>5285</v>
      </c>
      <c r="G2112" s="1" t="s">
        <v>5286</v>
      </c>
      <c r="H2112" s="1" t="s">
        <v>6414</v>
      </c>
      <c r="I2112" s="1" t="str">
        <f t="shared" si="1"/>
        <v>14</v>
      </c>
      <c r="J2112" s="5"/>
      <c r="K2112" s="1" t="str">
        <f t="shared" si="2"/>
        <v>12</v>
      </c>
      <c r="L2112" s="5"/>
      <c r="M2112" s="2" t="str">
        <f t="shared" si="3"/>
        <v>1399</v>
      </c>
      <c r="N2112" s="5"/>
      <c r="O2112" s="13">
        <v>872.0</v>
      </c>
      <c r="P2112" s="5"/>
      <c r="Q2112" s="5"/>
      <c r="R2112" s="6" t="s">
        <v>6414</v>
      </c>
      <c r="S2112" s="5"/>
      <c r="T2112" s="1" t="str">
        <f>IFERROR(__xludf.DUMMYFUNCTION("INDEX(SPLIT(A2112, ""/""), 2)"),"کانون‌های فرهنگی هنری")</f>
        <v>کانون‌های فرهنگی هنری</v>
      </c>
      <c r="U2112" s="1" t="str">
        <f>IFERROR(__xludf.DUMMYFUNCTION("INDEX(SPLIT(A2112, ""/""), 3)"),"روزنامه شریف")</f>
        <v>روزنامه شریف</v>
      </c>
      <c r="V2112" s="1" t="str">
        <f>IFERROR(__xludf.DUMMYFUNCTION("INDEX(SPLIT(A2112, ""/""), 4)"),"#REF!")</f>
        <v>#REF!</v>
      </c>
    </row>
    <row r="2113">
      <c r="A2113" s="1" t="s">
        <v>4070</v>
      </c>
      <c r="B2113" s="1" t="s">
        <v>6415</v>
      </c>
      <c r="C2113" s="1" t="s">
        <v>21</v>
      </c>
      <c r="D2113" s="4" t="s">
        <v>6416</v>
      </c>
      <c r="E2113" s="1" t="s">
        <v>71</v>
      </c>
      <c r="F2113" s="1" t="s">
        <v>5285</v>
      </c>
      <c r="G2113" s="1" t="s">
        <v>5286</v>
      </c>
      <c r="H2113" s="1" t="s">
        <v>6417</v>
      </c>
      <c r="I2113" s="1" t="str">
        <f t="shared" si="1"/>
        <v>25</v>
      </c>
      <c r="J2113" s="5"/>
      <c r="K2113" s="1" t="str">
        <f t="shared" si="2"/>
        <v>12</v>
      </c>
      <c r="L2113" s="5"/>
      <c r="M2113" s="2" t="str">
        <f t="shared" si="3"/>
        <v>1399</v>
      </c>
      <c r="N2113" s="5"/>
      <c r="O2113" s="13">
        <v>873.0</v>
      </c>
      <c r="P2113" s="5"/>
      <c r="Q2113" s="5"/>
      <c r="R2113" s="6" t="s">
        <v>6417</v>
      </c>
      <c r="S2113" s="5"/>
      <c r="T2113" s="1" t="str">
        <f>IFERROR(__xludf.DUMMYFUNCTION("INDEX(SPLIT(A2113, ""/""), 2)"),"کانون‌های فرهنگی هنری")</f>
        <v>کانون‌های فرهنگی هنری</v>
      </c>
      <c r="U2113" s="1" t="str">
        <f>IFERROR(__xludf.DUMMYFUNCTION("INDEX(SPLIT(A2113, ""/""), 3)"),"روزنامه شریف")</f>
        <v>روزنامه شریف</v>
      </c>
      <c r="V2113" s="1" t="str">
        <f>IFERROR(__xludf.DUMMYFUNCTION("INDEX(SPLIT(A2113, ""/""), 4)"),"#REF!")</f>
        <v>#REF!</v>
      </c>
    </row>
    <row r="2114">
      <c r="A2114" s="1" t="s">
        <v>4070</v>
      </c>
      <c r="B2114" s="1" t="s">
        <v>6418</v>
      </c>
      <c r="C2114" s="1" t="s">
        <v>21</v>
      </c>
      <c r="D2114" s="4" t="s">
        <v>6419</v>
      </c>
      <c r="E2114" s="1" t="s">
        <v>71</v>
      </c>
      <c r="F2114" s="1" t="s">
        <v>5285</v>
      </c>
      <c r="G2114" s="1" t="s">
        <v>5286</v>
      </c>
      <c r="H2114" s="1" t="s">
        <v>6420</v>
      </c>
      <c r="I2114" s="1" t="str">
        <f t="shared" si="1"/>
        <v>23</v>
      </c>
      <c r="J2114" s="5"/>
      <c r="K2114" s="1" t="str">
        <f t="shared" si="2"/>
        <v>2</v>
      </c>
      <c r="L2114" s="5"/>
      <c r="M2114" s="2" t="str">
        <f t="shared" si="3"/>
        <v>1400</v>
      </c>
      <c r="N2114" s="5"/>
      <c r="O2114" s="13">
        <v>874.0</v>
      </c>
      <c r="P2114" s="5"/>
      <c r="Q2114" s="5"/>
      <c r="R2114" s="6" t="s">
        <v>6420</v>
      </c>
      <c r="S2114" s="5"/>
      <c r="T2114" s="1" t="str">
        <f>IFERROR(__xludf.DUMMYFUNCTION("INDEX(SPLIT(A2114, ""/""), 2)"),"کانون‌های فرهنگی هنری")</f>
        <v>کانون‌های فرهنگی هنری</v>
      </c>
      <c r="U2114" s="1" t="str">
        <f>IFERROR(__xludf.DUMMYFUNCTION("INDEX(SPLIT(A2114, ""/""), 3)"),"روزنامه شریف")</f>
        <v>روزنامه شریف</v>
      </c>
      <c r="V2114" s="1" t="str">
        <f>IFERROR(__xludf.DUMMYFUNCTION("INDEX(SPLIT(A2114, ""/""), 4)"),"#REF!")</f>
        <v>#REF!</v>
      </c>
    </row>
    <row r="2115">
      <c r="A2115" s="1" t="s">
        <v>4070</v>
      </c>
      <c r="B2115" s="1" t="s">
        <v>6421</v>
      </c>
      <c r="C2115" s="1" t="s">
        <v>21</v>
      </c>
      <c r="D2115" s="4" t="s">
        <v>6422</v>
      </c>
      <c r="E2115" s="1" t="s">
        <v>71</v>
      </c>
      <c r="F2115" s="1" t="s">
        <v>5285</v>
      </c>
      <c r="G2115" s="1" t="s">
        <v>5286</v>
      </c>
      <c r="H2115" s="1" t="s">
        <v>2148</v>
      </c>
      <c r="I2115" s="1" t="str">
        <f t="shared" si="1"/>
        <v>26</v>
      </c>
      <c r="J2115" s="5"/>
      <c r="K2115" s="1" t="str">
        <f t="shared" si="2"/>
        <v>7</v>
      </c>
      <c r="L2115" s="5"/>
      <c r="M2115" s="2" t="str">
        <f t="shared" si="3"/>
        <v>1400</v>
      </c>
      <c r="N2115" s="5"/>
      <c r="O2115" s="13">
        <v>875.0</v>
      </c>
      <c r="P2115" s="5"/>
      <c r="Q2115" s="5"/>
      <c r="R2115" s="6" t="s">
        <v>2148</v>
      </c>
      <c r="S2115" s="5"/>
      <c r="T2115" s="1" t="str">
        <f>IFERROR(__xludf.DUMMYFUNCTION("INDEX(SPLIT(A2115, ""/""), 2)"),"کانون‌های فرهنگی هنری")</f>
        <v>کانون‌های فرهنگی هنری</v>
      </c>
      <c r="U2115" s="1" t="str">
        <f>IFERROR(__xludf.DUMMYFUNCTION("INDEX(SPLIT(A2115, ""/""), 3)"),"روزنامه شریف")</f>
        <v>روزنامه شریف</v>
      </c>
      <c r="V2115" s="1" t="str">
        <f>IFERROR(__xludf.DUMMYFUNCTION("INDEX(SPLIT(A2115, ""/""), 4)"),"#REF!")</f>
        <v>#REF!</v>
      </c>
    </row>
    <row r="2116">
      <c r="A2116" s="1" t="s">
        <v>4070</v>
      </c>
      <c r="B2116" s="1" t="s">
        <v>6423</v>
      </c>
      <c r="C2116" s="1" t="s">
        <v>21</v>
      </c>
      <c r="D2116" s="4" t="s">
        <v>6424</v>
      </c>
      <c r="E2116" s="1" t="s">
        <v>71</v>
      </c>
      <c r="F2116" s="1" t="s">
        <v>5285</v>
      </c>
      <c r="G2116" s="1" t="s">
        <v>5286</v>
      </c>
      <c r="H2116" s="7" t="s">
        <v>6425</v>
      </c>
      <c r="I2116" s="1" t="str">
        <f t="shared" si="1"/>
        <v>11</v>
      </c>
      <c r="J2116" s="5"/>
      <c r="K2116" s="1" t="str">
        <f t="shared" si="2"/>
        <v>8</v>
      </c>
      <c r="L2116" s="5"/>
      <c r="M2116" s="2" t="str">
        <f t="shared" si="3"/>
        <v>1400</v>
      </c>
      <c r="N2116" s="5"/>
      <c r="O2116" s="13">
        <v>876.0</v>
      </c>
      <c r="P2116" s="5"/>
      <c r="Q2116" s="5"/>
      <c r="R2116" s="8" t="s">
        <v>6425</v>
      </c>
      <c r="S2116" s="5"/>
      <c r="T2116" s="1" t="str">
        <f>IFERROR(__xludf.DUMMYFUNCTION("INDEX(SPLIT(A2116, ""/""), 2)"),"کانون‌های فرهنگی هنری")</f>
        <v>کانون‌های فرهنگی هنری</v>
      </c>
      <c r="U2116" s="1" t="str">
        <f>IFERROR(__xludf.DUMMYFUNCTION("INDEX(SPLIT(A2116, ""/""), 3)"),"روزنامه شریف")</f>
        <v>روزنامه شریف</v>
      </c>
      <c r="V2116" s="1" t="str">
        <f>IFERROR(__xludf.DUMMYFUNCTION("INDEX(SPLIT(A2116, ""/""), 4)"),"#REF!")</f>
        <v>#REF!</v>
      </c>
    </row>
    <row r="2117">
      <c r="A2117" s="1" t="s">
        <v>4070</v>
      </c>
      <c r="B2117" s="1" t="s">
        <v>6426</v>
      </c>
      <c r="C2117" s="1" t="s">
        <v>21</v>
      </c>
      <c r="D2117" s="4" t="s">
        <v>6427</v>
      </c>
      <c r="E2117" s="1" t="s">
        <v>71</v>
      </c>
      <c r="F2117" s="1" t="s">
        <v>5285</v>
      </c>
      <c r="G2117" s="1" t="s">
        <v>5286</v>
      </c>
      <c r="H2117" s="1" t="s">
        <v>6428</v>
      </c>
      <c r="I2117" s="1" t="str">
        <f t="shared" si="1"/>
        <v>22</v>
      </c>
      <c r="J2117" s="5"/>
      <c r="K2117" s="1" t="str">
        <f t="shared" si="2"/>
        <v>8</v>
      </c>
      <c r="L2117" s="5"/>
      <c r="M2117" s="2" t="str">
        <f t="shared" si="3"/>
        <v>1400</v>
      </c>
      <c r="N2117" s="5"/>
      <c r="O2117" s="13">
        <v>877.0</v>
      </c>
      <c r="P2117" s="5"/>
      <c r="Q2117" s="5"/>
      <c r="R2117" s="6" t="s">
        <v>6428</v>
      </c>
      <c r="S2117" s="5"/>
      <c r="T2117" s="1" t="str">
        <f>IFERROR(__xludf.DUMMYFUNCTION("INDEX(SPLIT(A2117, ""/""), 2)"),"کانون‌های فرهنگی هنری")</f>
        <v>کانون‌های فرهنگی هنری</v>
      </c>
      <c r="U2117" s="1" t="str">
        <f>IFERROR(__xludf.DUMMYFUNCTION("INDEX(SPLIT(A2117, ""/""), 3)"),"روزنامه شریف")</f>
        <v>روزنامه شریف</v>
      </c>
      <c r="V2117" s="1" t="str">
        <f>IFERROR(__xludf.DUMMYFUNCTION("INDEX(SPLIT(A2117, ""/""), 4)"),"#REF!")</f>
        <v>#REF!</v>
      </c>
    </row>
    <row r="2118">
      <c r="A2118" s="1" t="s">
        <v>4070</v>
      </c>
      <c r="B2118" s="1" t="s">
        <v>6429</v>
      </c>
      <c r="C2118" s="1" t="s">
        <v>21</v>
      </c>
      <c r="D2118" s="4" t="s">
        <v>6430</v>
      </c>
      <c r="E2118" s="1" t="s">
        <v>71</v>
      </c>
      <c r="F2118" s="1" t="s">
        <v>5285</v>
      </c>
      <c r="G2118" s="1" t="s">
        <v>5286</v>
      </c>
      <c r="H2118" s="7" t="s">
        <v>6431</v>
      </c>
      <c r="I2118" s="1" t="str">
        <f t="shared" si="1"/>
        <v>4</v>
      </c>
      <c r="J2118" s="5"/>
      <c r="K2118" s="1" t="str">
        <f t="shared" si="2"/>
        <v>9</v>
      </c>
      <c r="L2118" s="5"/>
      <c r="M2118" s="2" t="str">
        <f t="shared" si="3"/>
        <v>1400</v>
      </c>
      <c r="N2118" s="5"/>
      <c r="O2118" s="13">
        <v>878.0</v>
      </c>
      <c r="P2118" s="5"/>
      <c r="Q2118" s="5"/>
      <c r="R2118" s="8" t="s">
        <v>6431</v>
      </c>
      <c r="S2118" s="5"/>
      <c r="T2118" s="1" t="str">
        <f>IFERROR(__xludf.DUMMYFUNCTION("INDEX(SPLIT(A2118, ""/""), 2)"),"کانون‌های فرهنگی هنری")</f>
        <v>کانون‌های فرهنگی هنری</v>
      </c>
      <c r="U2118" s="1" t="str">
        <f>IFERROR(__xludf.DUMMYFUNCTION("INDEX(SPLIT(A2118, ""/""), 3)"),"روزنامه شریف")</f>
        <v>روزنامه شریف</v>
      </c>
      <c r="V2118" s="1" t="str">
        <f>IFERROR(__xludf.DUMMYFUNCTION("INDEX(SPLIT(A2118, ""/""), 4)"),"#REF!")</f>
        <v>#REF!</v>
      </c>
    </row>
    <row r="2119">
      <c r="A2119" s="1" t="s">
        <v>4070</v>
      </c>
      <c r="B2119" s="1" t="s">
        <v>6432</v>
      </c>
      <c r="C2119" s="1" t="s">
        <v>21</v>
      </c>
      <c r="D2119" s="4" t="s">
        <v>6433</v>
      </c>
      <c r="E2119" s="1" t="s">
        <v>71</v>
      </c>
      <c r="F2119" s="1" t="s">
        <v>5285</v>
      </c>
      <c r="G2119" s="1" t="s">
        <v>5286</v>
      </c>
      <c r="H2119" s="1" t="s">
        <v>2154</v>
      </c>
      <c r="I2119" s="1" t="str">
        <f t="shared" si="1"/>
        <v>16</v>
      </c>
      <c r="J2119" s="5"/>
      <c r="K2119" s="1" t="str">
        <f t="shared" si="2"/>
        <v>9</v>
      </c>
      <c r="L2119" s="5"/>
      <c r="M2119" s="2" t="str">
        <f t="shared" si="3"/>
        <v>1400</v>
      </c>
      <c r="N2119" s="5"/>
      <c r="O2119" s="13">
        <v>879.0</v>
      </c>
      <c r="P2119" s="5"/>
      <c r="Q2119" s="5"/>
      <c r="R2119" s="6" t="s">
        <v>2154</v>
      </c>
      <c r="S2119" s="5"/>
      <c r="T2119" s="1" t="str">
        <f>IFERROR(__xludf.DUMMYFUNCTION("INDEX(SPLIT(A2119, ""/""), 2)"),"کانون‌های فرهنگی هنری")</f>
        <v>کانون‌های فرهنگی هنری</v>
      </c>
      <c r="U2119" s="1" t="str">
        <f>IFERROR(__xludf.DUMMYFUNCTION("INDEX(SPLIT(A2119, ""/""), 3)"),"روزنامه شریف")</f>
        <v>روزنامه شریف</v>
      </c>
      <c r="V2119" s="1" t="str">
        <f>IFERROR(__xludf.DUMMYFUNCTION("INDEX(SPLIT(A2119, ""/""), 4)"),"#REF!")</f>
        <v>#REF!</v>
      </c>
    </row>
    <row r="2120">
      <c r="A2120" s="1" t="s">
        <v>4070</v>
      </c>
      <c r="B2120" s="1" t="s">
        <v>6434</v>
      </c>
      <c r="C2120" s="1" t="s">
        <v>21</v>
      </c>
      <c r="D2120" s="4" t="s">
        <v>6435</v>
      </c>
      <c r="E2120" s="1" t="s">
        <v>71</v>
      </c>
      <c r="F2120" s="1" t="s">
        <v>5285</v>
      </c>
      <c r="G2120" s="1" t="s">
        <v>5286</v>
      </c>
      <c r="H2120" s="1" t="s">
        <v>6436</v>
      </c>
      <c r="I2120" s="1" t="str">
        <f t="shared" si="1"/>
        <v>17</v>
      </c>
      <c r="J2120" s="5"/>
      <c r="K2120" s="1" t="str">
        <f t="shared" si="2"/>
        <v>9</v>
      </c>
      <c r="L2120" s="5"/>
      <c r="M2120" s="2" t="str">
        <f t="shared" si="3"/>
        <v>1400</v>
      </c>
      <c r="N2120" s="5"/>
      <c r="O2120" s="13">
        <v>880.0</v>
      </c>
      <c r="P2120" s="5"/>
      <c r="Q2120" s="5"/>
      <c r="R2120" s="6" t="s">
        <v>6436</v>
      </c>
      <c r="S2120" s="5"/>
      <c r="T2120" s="1" t="str">
        <f>IFERROR(__xludf.DUMMYFUNCTION("INDEX(SPLIT(A2120, ""/""), 2)"),"کانون‌های فرهنگی هنری")</f>
        <v>کانون‌های فرهنگی هنری</v>
      </c>
      <c r="U2120" s="1" t="str">
        <f>IFERROR(__xludf.DUMMYFUNCTION("INDEX(SPLIT(A2120, ""/""), 3)"),"روزنامه شریف")</f>
        <v>روزنامه شریف</v>
      </c>
      <c r="V2120" s="1" t="str">
        <f>IFERROR(__xludf.DUMMYFUNCTION("INDEX(SPLIT(A2120, ""/""), 4)"),"#REF!")</f>
        <v>#REF!</v>
      </c>
    </row>
    <row r="2121">
      <c r="A2121" s="1" t="s">
        <v>4070</v>
      </c>
      <c r="B2121" s="1" t="s">
        <v>6437</v>
      </c>
      <c r="C2121" s="1" t="s">
        <v>21</v>
      </c>
      <c r="D2121" s="4" t="s">
        <v>6438</v>
      </c>
      <c r="E2121" s="1" t="s">
        <v>71</v>
      </c>
      <c r="F2121" s="1" t="s">
        <v>5285</v>
      </c>
      <c r="G2121" s="1" t="s">
        <v>5286</v>
      </c>
      <c r="H2121" s="1" t="s">
        <v>6439</v>
      </c>
      <c r="I2121" s="1" t="str">
        <f t="shared" si="1"/>
        <v>22</v>
      </c>
      <c r="J2121" s="5"/>
      <c r="K2121" s="1" t="str">
        <f t="shared" si="2"/>
        <v>9</v>
      </c>
      <c r="L2121" s="5"/>
      <c r="M2121" s="2" t="str">
        <f t="shared" si="3"/>
        <v>1400</v>
      </c>
      <c r="N2121" s="5"/>
      <c r="O2121" s="13">
        <v>881.0</v>
      </c>
      <c r="P2121" s="5"/>
      <c r="Q2121" s="5"/>
      <c r="R2121" s="6" t="s">
        <v>6439</v>
      </c>
      <c r="S2121" s="5"/>
      <c r="T2121" s="1" t="str">
        <f>IFERROR(__xludf.DUMMYFUNCTION("INDEX(SPLIT(A2121, ""/""), 2)"),"کانون‌های فرهنگی هنری")</f>
        <v>کانون‌های فرهنگی هنری</v>
      </c>
      <c r="U2121" s="1" t="str">
        <f>IFERROR(__xludf.DUMMYFUNCTION("INDEX(SPLIT(A2121, ""/""), 3)"),"روزنامه شریف")</f>
        <v>روزنامه شریف</v>
      </c>
      <c r="V2121" s="1" t="str">
        <f>IFERROR(__xludf.DUMMYFUNCTION("INDEX(SPLIT(A2121, ""/""), 4)"),"#REF!")</f>
        <v>#REF!</v>
      </c>
    </row>
    <row r="2122">
      <c r="A2122" s="1" t="s">
        <v>4070</v>
      </c>
      <c r="B2122" s="1" t="s">
        <v>6440</v>
      </c>
      <c r="C2122" s="1" t="s">
        <v>21</v>
      </c>
      <c r="D2122" s="4" t="s">
        <v>6441</v>
      </c>
      <c r="E2122" s="1" t="s">
        <v>71</v>
      </c>
      <c r="F2122" s="1" t="s">
        <v>5285</v>
      </c>
      <c r="G2122" s="1" t="s">
        <v>5286</v>
      </c>
      <c r="H2122" s="7" t="s">
        <v>6442</v>
      </c>
      <c r="I2122" s="1" t="str">
        <f t="shared" si="1"/>
        <v>1</v>
      </c>
      <c r="J2122" s="5"/>
      <c r="K2122" s="1" t="str">
        <f t="shared" si="2"/>
        <v>10</v>
      </c>
      <c r="L2122" s="5"/>
      <c r="M2122" s="2" t="str">
        <f t="shared" si="3"/>
        <v>1400</v>
      </c>
      <c r="N2122" s="5"/>
      <c r="O2122" s="13">
        <v>882.0</v>
      </c>
      <c r="P2122" s="5"/>
      <c r="Q2122" s="5"/>
      <c r="R2122" s="8" t="s">
        <v>6442</v>
      </c>
      <c r="S2122" s="5"/>
      <c r="T2122" s="1" t="str">
        <f>IFERROR(__xludf.DUMMYFUNCTION("INDEX(SPLIT(A2122, ""/""), 2)"),"کانون‌های فرهنگی هنری")</f>
        <v>کانون‌های فرهنگی هنری</v>
      </c>
      <c r="U2122" s="1" t="str">
        <f>IFERROR(__xludf.DUMMYFUNCTION("INDEX(SPLIT(A2122, ""/""), 3)"),"روزنامه شریف")</f>
        <v>روزنامه شریف</v>
      </c>
      <c r="V2122" s="1" t="str">
        <f>IFERROR(__xludf.DUMMYFUNCTION("INDEX(SPLIT(A2122, ""/""), 4)"),"#REF!")</f>
        <v>#REF!</v>
      </c>
    </row>
    <row r="2123">
      <c r="A2123" s="1" t="s">
        <v>4070</v>
      </c>
      <c r="B2123" s="1" t="s">
        <v>6443</v>
      </c>
      <c r="C2123" s="1" t="s">
        <v>21</v>
      </c>
      <c r="D2123" s="4" t="s">
        <v>6444</v>
      </c>
      <c r="E2123" s="1" t="s">
        <v>71</v>
      </c>
      <c r="F2123" s="1" t="s">
        <v>5285</v>
      </c>
      <c r="G2123" s="1" t="s">
        <v>5286</v>
      </c>
      <c r="H2123" s="1" t="s">
        <v>6445</v>
      </c>
      <c r="I2123" s="1" t="str">
        <f t="shared" si="1"/>
        <v>26</v>
      </c>
      <c r="J2123" s="5"/>
      <c r="K2123" s="1" t="str">
        <f t="shared" si="2"/>
        <v>10</v>
      </c>
      <c r="L2123" s="5"/>
      <c r="M2123" s="2" t="str">
        <f t="shared" si="3"/>
        <v>1400</v>
      </c>
      <c r="N2123" s="5"/>
      <c r="O2123" s="13">
        <v>883.0</v>
      </c>
      <c r="P2123" s="5"/>
      <c r="Q2123" s="5"/>
      <c r="R2123" s="6" t="s">
        <v>6445</v>
      </c>
      <c r="S2123" s="5"/>
      <c r="T2123" s="1" t="str">
        <f>IFERROR(__xludf.DUMMYFUNCTION("INDEX(SPLIT(A2123, ""/""), 2)"),"کانون‌های فرهنگی هنری")</f>
        <v>کانون‌های فرهنگی هنری</v>
      </c>
      <c r="U2123" s="1" t="str">
        <f>IFERROR(__xludf.DUMMYFUNCTION("INDEX(SPLIT(A2123, ""/""), 3)"),"روزنامه شریف")</f>
        <v>روزنامه شریف</v>
      </c>
      <c r="V2123" s="1" t="str">
        <f>IFERROR(__xludf.DUMMYFUNCTION("INDEX(SPLIT(A2123, ""/""), 4)"),"#REF!")</f>
        <v>#REF!</v>
      </c>
    </row>
    <row r="2124">
      <c r="A2124" s="1" t="s">
        <v>4070</v>
      </c>
      <c r="B2124" s="1" t="s">
        <v>6446</v>
      </c>
      <c r="C2124" s="1" t="s">
        <v>21</v>
      </c>
      <c r="D2124" s="4" t="s">
        <v>6447</v>
      </c>
      <c r="E2124" s="1" t="s">
        <v>71</v>
      </c>
      <c r="F2124" s="1" t="s">
        <v>5285</v>
      </c>
      <c r="G2124" s="1" t="s">
        <v>5286</v>
      </c>
      <c r="H2124" s="1" t="s">
        <v>6448</v>
      </c>
      <c r="I2124" s="1" t="str">
        <f t="shared" si="1"/>
        <v>30</v>
      </c>
      <c r="J2124" s="5"/>
      <c r="K2124" s="1" t="str">
        <f t="shared" si="2"/>
        <v>10</v>
      </c>
      <c r="L2124" s="5"/>
      <c r="M2124" s="2" t="str">
        <f t="shared" si="3"/>
        <v>1400</v>
      </c>
      <c r="N2124" s="5"/>
      <c r="O2124" s="13">
        <v>884.0</v>
      </c>
      <c r="P2124" s="5"/>
      <c r="Q2124" s="5"/>
      <c r="R2124" s="6" t="s">
        <v>6448</v>
      </c>
      <c r="S2124" s="5"/>
      <c r="T2124" s="1" t="str">
        <f>IFERROR(__xludf.DUMMYFUNCTION("INDEX(SPLIT(A2124, ""/""), 2)"),"کانون‌های فرهنگی هنری")</f>
        <v>کانون‌های فرهنگی هنری</v>
      </c>
      <c r="U2124" s="1" t="str">
        <f>IFERROR(__xludf.DUMMYFUNCTION("INDEX(SPLIT(A2124, ""/""), 3)"),"روزنامه شریف")</f>
        <v>روزنامه شریف</v>
      </c>
      <c r="V2124" s="1" t="str">
        <f>IFERROR(__xludf.DUMMYFUNCTION("INDEX(SPLIT(A2124, ""/""), 4)"),"#REF!")</f>
        <v>#REF!</v>
      </c>
    </row>
    <row r="2125">
      <c r="A2125" s="1" t="s">
        <v>4070</v>
      </c>
      <c r="B2125" s="1" t="s">
        <v>6449</v>
      </c>
      <c r="C2125" s="1" t="s">
        <v>21</v>
      </c>
      <c r="D2125" s="4" t="s">
        <v>6450</v>
      </c>
      <c r="E2125" s="1" t="s">
        <v>71</v>
      </c>
      <c r="F2125" s="1" t="s">
        <v>5285</v>
      </c>
      <c r="G2125" s="1" t="s">
        <v>5286</v>
      </c>
      <c r="H2125" s="1" t="s">
        <v>6451</v>
      </c>
      <c r="I2125" s="1" t="str">
        <f t="shared" si="1"/>
        <v>14</v>
      </c>
      <c r="J2125" s="5"/>
      <c r="K2125" s="1" t="str">
        <f t="shared" si="2"/>
        <v>11</v>
      </c>
      <c r="L2125" s="5"/>
      <c r="M2125" s="2" t="str">
        <f t="shared" si="3"/>
        <v>1400</v>
      </c>
      <c r="N2125" s="5"/>
      <c r="O2125" s="13">
        <v>885.0</v>
      </c>
      <c r="P2125" s="5"/>
      <c r="Q2125" s="5"/>
      <c r="R2125" s="6" t="s">
        <v>6451</v>
      </c>
      <c r="S2125" s="5"/>
      <c r="T2125" s="1" t="str">
        <f>IFERROR(__xludf.DUMMYFUNCTION("INDEX(SPLIT(A2125, ""/""), 2)"),"کانون‌های فرهنگی هنری")</f>
        <v>کانون‌های فرهنگی هنری</v>
      </c>
      <c r="U2125" s="1" t="str">
        <f>IFERROR(__xludf.DUMMYFUNCTION("INDEX(SPLIT(A2125, ""/""), 3)"),"روزنامه شریف")</f>
        <v>روزنامه شریف</v>
      </c>
      <c r="V2125" s="1" t="str">
        <f>IFERROR(__xludf.DUMMYFUNCTION("INDEX(SPLIT(A2125, ""/""), 4)"),"#REF!")</f>
        <v>#REF!</v>
      </c>
    </row>
    <row r="2126">
      <c r="A2126" s="1" t="s">
        <v>4070</v>
      </c>
      <c r="B2126" s="1" t="s">
        <v>6452</v>
      </c>
      <c r="C2126" s="1" t="s">
        <v>21</v>
      </c>
      <c r="D2126" s="4" t="s">
        <v>6453</v>
      </c>
      <c r="E2126" s="1" t="s">
        <v>71</v>
      </c>
      <c r="F2126" s="1" t="s">
        <v>5285</v>
      </c>
      <c r="G2126" s="1" t="s">
        <v>5286</v>
      </c>
      <c r="H2126" s="1" t="s">
        <v>6454</v>
      </c>
      <c r="I2126" s="1" t="str">
        <f t="shared" si="1"/>
        <v>30</v>
      </c>
      <c r="J2126" s="5"/>
      <c r="K2126" s="1" t="str">
        <f t="shared" si="2"/>
        <v>11</v>
      </c>
      <c r="L2126" s="5"/>
      <c r="M2126" s="2" t="str">
        <f t="shared" si="3"/>
        <v>1400</v>
      </c>
      <c r="N2126" s="5"/>
      <c r="O2126" s="13">
        <v>886.0</v>
      </c>
      <c r="P2126" s="5"/>
      <c r="Q2126" s="5"/>
      <c r="R2126" s="6" t="s">
        <v>6454</v>
      </c>
      <c r="S2126" s="5"/>
      <c r="T2126" s="1" t="str">
        <f>IFERROR(__xludf.DUMMYFUNCTION("INDEX(SPLIT(A2126, ""/""), 2)"),"کانون‌های فرهنگی هنری")</f>
        <v>کانون‌های فرهنگی هنری</v>
      </c>
      <c r="U2126" s="1" t="str">
        <f>IFERROR(__xludf.DUMMYFUNCTION("INDEX(SPLIT(A2126, ""/""), 3)"),"روزنامه شریف")</f>
        <v>روزنامه شریف</v>
      </c>
      <c r="V2126" s="1" t="str">
        <f>IFERROR(__xludf.DUMMYFUNCTION("INDEX(SPLIT(A2126, ""/""), 4)"),"#REF!")</f>
        <v>#REF!</v>
      </c>
    </row>
    <row r="2127">
      <c r="A2127" s="1" t="s">
        <v>4070</v>
      </c>
      <c r="B2127" s="1" t="s">
        <v>6455</v>
      </c>
      <c r="C2127" s="1" t="s">
        <v>21</v>
      </c>
      <c r="D2127" s="4" t="s">
        <v>6456</v>
      </c>
      <c r="E2127" s="1" t="s">
        <v>71</v>
      </c>
      <c r="F2127" s="1" t="s">
        <v>5285</v>
      </c>
      <c r="G2127" s="1" t="s">
        <v>5286</v>
      </c>
      <c r="H2127" s="1" t="s">
        <v>6457</v>
      </c>
      <c r="I2127" s="1" t="str">
        <f t="shared" si="1"/>
        <v>13</v>
      </c>
      <c r="J2127" s="5"/>
      <c r="K2127" s="1" t="str">
        <f t="shared" si="2"/>
        <v>12</v>
      </c>
      <c r="L2127" s="5"/>
      <c r="M2127" s="2" t="str">
        <f t="shared" si="3"/>
        <v>1400</v>
      </c>
      <c r="N2127" s="5"/>
      <c r="O2127" s="13">
        <v>887.0</v>
      </c>
      <c r="P2127" s="5"/>
      <c r="Q2127" s="5"/>
      <c r="R2127" s="6" t="s">
        <v>6457</v>
      </c>
      <c r="S2127" s="5"/>
      <c r="T2127" s="1" t="str">
        <f>IFERROR(__xludf.DUMMYFUNCTION("INDEX(SPLIT(A2127, ""/""), 2)"),"کانون‌های فرهنگی هنری")</f>
        <v>کانون‌های فرهنگی هنری</v>
      </c>
      <c r="U2127" s="1" t="str">
        <f>IFERROR(__xludf.DUMMYFUNCTION("INDEX(SPLIT(A2127, ""/""), 3)"),"روزنامه شریف")</f>
        <v>روزنامه شریف</v>
      </c>
      <c r="V2127" s="1" t="str">
        <f>IFERROR(__xludf.DUMMYFUNCTION("INDEX(SPLIT(A2127, ""/""), 4)"),"#REF!")</f>
        <v>#REF!</v>
      </c>
    </row>
    <row r="2128">
      <c r="A2128" s="1" t="s">
        <v>4070</v>
      </c>
      <c r="B2128" s="1" t="s">
        <v>6458</v>
      </c>
      <c r="C2128" s="1" t="s">
        <v>21</v>
      </c>
      <c r="D2128" s="4" t="s">
        <v>6459</v>
      </c>
      <c r="E2128" s="1" t="s">
        <v>71</v>
      </c>
      <c r="F2128" s="1" t="s">
        <v>5285</v>
      </c>
      <c r="G2128" s="1" t="s">
        <v>5286</v>
      </c>
      <c r="H2128" s="1" t="s">
        <v>6460</v>
      </c>
      <c r="I2128" s="1" t="str">
        <f t="shared" si="1"/>
        <v>29</v>
      </c>
      <c r="J2128" s="5"/>
      <c r="K2128" s="1" t="str">
        <f t="shared" si="2"/>
        <v>2</v>
      </c>
      <c r="L2128" s="5"/>
      <c r="M2128" s="2" t="str">
        <f t="shared" si="3"/>
        <v>1401</v>
      </c>
      <c r="N2128" s="5"/>
      <c r="O2128" s="13">
        <v>888.0</v>
      </c>
      <c r="P2128" s="5"/>
      <c r="Q2128" s="5"/>
      <c r="R2128" s="6" t="s">
        <v>6460</v>
      </c>
      <c r="S2128" s="5"/>
      <c r="T2128" s="1" t="str">
        <f>IFERROR(__xludf.DUMMYFUNCTION("INDEX(SPLIT(A2128, ""/""), 2)"),"کانون‌های فرهنگی هنری")</f>
        <v>کانون‌های فرهنگی هنری</v>
      </c>
      <c r="U2128" s="1" t="str">
        <f>IFERROR(__xludf.DUMMYFUNCTION("INDEX(SPLIT(A2128, ""/""), 3)"),"روزنامه شریف")</f>
        <v>روزنامه شریف</v>
      </c>
      <c r="V2128" s="1" t="str">
        <f>IFERROR(__xludf.DUMMYFUNCTION("INDEX(SPLIT(A2128, ""/""), 4)"),"#REF!")</f>
        <v>#REF!</v>
      </c>
    </row>
    <row r="2129">
      <c r="A2129" s="1" t="s">
        <v>4070</v>
      </c>
      <c r="B2129" s="1" t="s">
        <v>6461</v>
      </c>
      <c r="C2129" s="1" t="s">
        <v>21</v>
      </c>
      <c r="D2129" s="4" t="s">
        <v>6462</v>
      </c>
      <c r="E2129" s="1" t="s">
        <v>71</v>
      </c>
      <c r="F2129" s="1" t="s">
        <v>5285</v>
      </c>
      <c r="G2129" s="1" t="s">
        <v>5286</v>
      </c>
      <c r="H2129" s="7" t="s">
        <v>6463</v>
      </c>
      <c r="I2129" s="1" t="str">
        <f t="shared" si="1"/>
        <v>10</v>
      </c>
      <c r="J2129" s="5"/>
      <c r="K2129" s="1" t="str">
        <f t="shared" si="2"/>
        <v>3</v>
      </c>
      <c r="L2129" s="5"/>
      <c r="M2129" s="2" t="str">
        <f t="shared" si="3"/>
        <v>1401</v>
      </c>
      <c r="N2129" s="5"/>
      <c r="O2129" s="13">
        <v>889.0</v>
      </c>
      <c r="P2129" s="5"/>
      <c r="Q2129" s="5"/>
      <c r="R2129" s="8" t="s">
        <v>6463</v>
      </c>
      <c r="S2129" s="5"/>
      <c r="T2129" s="1" t="str">
        <f>IFERROR(__xludf.DUMMYFUNCTION("INDEX(SPLIT(A2129, ""/""), 2)"),"کانون‌های فرهنگی هنری")</f>
        <v>کانون‌های فرهنگی هنری</v>
      </c>
      <c r="U2129" s="1" t="str">
        <f>IFERROR(__xludf.DUMMYFUNCTION("INDEX(SPLIT(A2129, ""/""), 3)"),"روزنامه شریف")</f>
        <v>روزنامه شریف</v>
      </c>
      <c r="V2129" s="1" t="str">
        <f>IFERROR(__xludf.DUMMYFUNCTION("INDEX(SPLIT(A2129, ""/""), 4)"),"#REF!")</f>
        <v>#REF!</v>
      </c>
    </row>
    <row r="2130">
      <c r="A2130" s="1" t="s">
        <v>4070</v>
      </c>
      <c r="B2130" s="1" t="s">
        <v>6464</v>
      </c>
      <c r="C2130" s="1" t="s">
        <v>21</v>
      </c>
      <c r="D2130" s="4" t="s">
        <v>6465</v>
      </c>
      <c r="E2130" s="1" t="s">
        <v>71</v>
      </c>
      <c r="F2130" s="1" t="s">
        <v>5285</v>
      </c>
      <c r="G2130" s="1" t="s">
        <v>5286</v>
      </c>
      <c r="H2130" s="1" t="s">
        <v>6466</v>
      </c>
      <c r="I2130" s="1" t="str">
        <f t="shared" si="1"/>
        <v>22</v>
      </c>
      <c r="J2130" s="5"/>
      <c r="K2130" s="1" t="str">
        <f t="shared" si="2"/>
        <v>3</v>
      </c>
      <c r="L2130" s="5"/>
      <c r="M2130" s="2" t="str">
        <f t="shared" si="3"/>
        <v>1401</v>
      </c>
      <c r="N2130" s="5"/>
      <c r="O2130" s="13">
        <v>890.0</v>
      </c>
      <c r="P2130" s="5"/>
      <c r="Q2130" s="5"/>
      <c r="R2130" s="6" t="s">
        <v>6466</v>
      </c>
      <c r="S2130" s="5"/>
      <c r="T2130" s="1" t="str">
        <f>IFERROR(__xludf.DUMMYFUNCTION("INDEX(SPLIT(A2130, ""/""), 2)"),"کانون‌های فرهنگی هنری")</f>
        <v>کانون‌های فرهنگی هنری</v>
      </c>
      <c r="U2130" s="1" t="str">
        <f>IFERROR(__xludf.DUMMYFUNCTION("INDEX(SPLIT(A2130, ""/""), 3)"),"روزنامه شریف")</f>
        <v>روزنامه شریف</v>
      </c>
      <c r="V2130" s="1" t="str">
        <f>IFERROR(__xludf.DUMMYFUNCTION("INDEX(SPLIT(A2130, ""/""), 4)"),"#REF!")</f>
        <v>#REF!</v>
      </c>
    </row>
    <row r="2131">
      <c r="A2131" s="1" t="s">
        <v>4070</v>
      </c>
      <c r="B2131" s="1" t="s">
        <v>6467</v>
      </c>
      <c r="C2131" s="1" t="s">
        <v>21</v>
      </c>
      <c r="D2131" s="4" t="s">
        <v>6468</v>
      </c>
      <c r="E2131" s="1" t="s">
        <v>71</v>
      </c>
      <c r="F2131" s="1" t="s">
        <v>5285</v>
      </c>
      <c r="G2131" s="1" t="s">
        <v>5286</v>
      </c>
      <c r="H2131" s="7" t="s">
        <v>6469</v>
      </c>
      <c r="I2131" s="1" t="str">
        <f t="shared" si="1"/>
        <v>5</v>
      </c>
      <c r="J2131" s="5"/>
      <c r="K2131" s="1" t="str">
        <f t="shared" si="2"/>
        <v>4</v>
      </c>
      <c r="L2131" s="5"/>
      <c r="M2131" s="2" t="str">
        <f t="shared" si="3"/>
        <v>1401</v>
      </c>
      <c r="N2131" s="5"/>
      <c r="O2131" s="13">
        <v>891.0</v>
      </c>
      <c r="P2131" s="5"/>
      <c r="Q2131" s="5"/>
      <c r="R2131" s="8" t="s">
        <v>6469</v>
      </c>
      <c r="S2131" s="5"/>
      <c r="T2131" s="1" t="str">
        <f>IFERROR(__xludf.DUMMYFUNCTION("INDEX(SPLIT(A2131, ""/""), 2)"),"کانون‌های فرهنگی هنری")</f>
        <v>کانون‌های فرهنگی هنری</v>
      </c>
      <c r="U2131" s="1" t="str">
        <f>IFERROR(__xludf.DUMMYFUNCTION("INDEX(SPLIT(A2131, ""/""), 3)"),"روزنامه شریف")</f>
        <v>روزنامه شریف</v>
      </c>
      <c r="V2131" s="1" t="str">
        <f>IFERROR(__xludf.DUMMYFUNCTION("INDEX(SPLIT(A2131, ""/""), 4)"),"#REF!")</f>
        <v>#REF!</v>
      </c>
    </row>
    <row r="2132">
      <c r="A2132" s="1" t="s">
        <v>4070</v>
      </c>
      <c r="B2132" s="1" t="s">
        <v>6470</v>
      </c>
      <c r="C2132" s="1" t="s">
        <v>21</v>
      </c>
      <c r="D2132" s="4" t="s">
        <v>6471</v>
      </c>
      <c r="E2132" s="1" t="s">
        <v>71</v>
      </c>
      <c r="F2132" s="1" t="s">
        <v>5441</v>
      </c>
      <c r="G2132" s="1" t="s">
        <v>752</v>
      </c>
      <c r="H2132" s="1" t="s">
        <v>1862</v>
      </c>
      <c r="I2132" s="1" t="str">
        <f t="shared" si="1"/>
        <v>x</v>
      </c>
      <c r="J2132" s="5"/>
      <c r="K2132" s="1" t="str">
        <f t="shared" si="2"/>
        <v>x</v>
      </c>
      <c r="L2132" s="5"/>
      <c r="M2132" s="2" t="str">
        <f t="shared" si="3"/>
        <v>1392</v>
      </c>
      <c r="N2132" s="5"/>
      <c r="O2132" s="13" t="s">
        <v>6472</v>
      </c>
      <c r="P2132" s="5"/>
      <c r="Q2132" s="5"/>
      <c r="R2132" s="8" t="s">
        <v>1718</v>
      </c>
      <c r="S2132" s="5"/>
      <c r="T2132" s="1" t="str">
        <f>IFERROR(__xludf.DUMMYFUNCTION("INDEX(SPLIT(A2132, ""/""), 2)"),"کانون‌های فرهنگی هنری")</f>
        <v>کانون‌های فرهنگی هنری</v>
      </c>
      <c r="U2132" s="1" t="str">
        <f>IFERROR(__xludf.DUMMYFUNCTION("INDEX(SPLIT(A2132, ""/""), 3)"),"روزنامه شریف")</f>
        <v>روزنامه شریف</v>
      </c>
      <c r="V2132" s="1" t="str">
        <f>IFERROR(__xludf.DUMMYFUNCTION("INDEX(SPLIT(A2132, ""/""), 4)"),"#REF!")</f>
        <v>#REF!</v>
      </c>
    </row>
    <row r="2133">
      <c r="A2133" s="1" t="s">
        <v>4070</v>
      </c>
      <c r="B2133" s="1" t="s">
        <v>6473</v>
      </c>
      <c r="C2133" s="1" t="s">
        <v>21</v>
      </c>
      <c r="D2133" s="4" t="s">
        <v>6474</v>
      </c>
      <c r="E2133" s="1" t="s">
        <v>71</v>
      </c>
      <c r="F2133" s="1" t="s">
        <v>5441</v>
      </c>
      <c r="G2133" s="1" t="s">
        <v>752</v>
      </c>
      <c r="H2133" s="1" t="s">
        <v>6475</v>
      </c>
      <c r="I2133" s="1" t="str">
        <f t="shared" si="1"/>
        <v>19</v>
      </c>
      <c r="J2133" s="5"/>
      <c r="K2133" s="1" t="str">
        <f t="shared" si="2"/>
        <v>7</v>
      </c>
      <c r="L2133" s="5"/>
      <c r="M2133" s="2" t="str">
        <f t="shared" si="3"/>
        <v>1395</v>
      </c>
      <c r="N2133" s="5"/>
      <c r="O2133" s="13" t="s">
        <v>6476</v>
      </c>
      <c r="P2133" s="5"/>
      <c r="Q2133" s="5"/>
      <c r="R2133" s="6" t="s">
        <v>6475</v>
      </c>
      <c r="S2133" s="5"/>
      <c r="T2133" s="1" t="str">
        <f>IFERROR(__xludf.DUMMYFUNCTION("INDEX(SPLIT(A2133, ""/""), 2)"),"کانون‌های فرهنگی هنری")</f>
        <v>کانون‌های فرهنگی هنری</v>
      </c>
      <c r="U2133" s="1" t="str">
        <f>IFERROR(__xludf.DUMMYFUNCTION("INDEX(SPLIT(A2133, ""/""), 3)"),"روزنامه شریف")</f>
        <v>روزنامه شریف</v>
      </c>
      <c r="V2133" s="1" t="str">
        <f>IFERROR(__xludf.DUMMYFUNCTION("INDEX(SPLIT(A2133, ""/""), 4)"),"#REF!")</f>
        <v>#REF!</v>
      </c>
    </row>
    <row r="2134">
      <c r="A2134" s="1" t="s">
        <v>4070</v>
      </c>
      <c r="B2134" s="1" t="s">
        <v>6477</v>
      </c>
      <c r="C2134" s="1" t="s">
        <v>21</v>
      </c>
      <c r="D2134" s="4" t="s">
        <v>6478</v>
      </c>
      <c r="E2134" s="1" t="s">
        <v>71</v>
      </c>
      <c r="F2134" s="1" t="s">
        <v>5441</v>
      </c>
      <c r="G2134" s="1" t="s">
        <v>5948</v>
      </c>
      <c r="H2134" s="1" t="s">
        <v>2712</v>
      </c>
      <c r="I2134" s="1" t="str">
        <f t="shared" si="1"/>
        <v>x</v>
      </c>
      <c r="J2134" s="5"/>
      <c r="K2134" s="1" t="str">
        <f t="shared" si="2"/>
        <v>x</v>
      </c>
      <c r="L2134" s="5"/>
      <c r="M2134" s="2" t="str">
        <f t="shared" si="3"/>
        <v>1395</v>
      </c>
      <c r="N2134" s="5"/>
      <c r="O2134" s="13" t="s">
        <v>6479</v>
      </c>
      <c r="P2134" s="5"/>
      <c r="Q2134" s="5"/>
      <c r="R2134" s="8" t="s">
        <v>2713</v>
      </c>
      <c r="S2134" s="5"/>
      <c r="T2134" s="1" t="str">
        <f>IFERROR(__xludf.DUMMYFUNCTION("INDEX(SPLIT(A2134, ""/""), 2)"),"کانون‌های فرهنگی هنری")</f>
        <v>کانون‌های فرهنگی هنری</v>
      </c>
      <c r="U2134" s="1" t="str">
        <f>IFERROR(__xludf.DUMMYFUNCTION("INDEX(SPLIT(A2134, ""/""), 3)"),"روزنامه شریف")</f>
        <v>روزنامه شریف</v>
      </c>
      <c r="V2134" s="1" t="str">
        <f>IFERROR(__xludf.DUMMYFUNCTION("INDEX(SPLIT(A2134, ""/""), 4)"),"#REF!")</f>
        <v>#REF!</v>
      </c>
    </row>
    <row r="2135">
      <c r="A2135" s="1" t="s">
        <v>4070</v>
      </c>
      <c r="B2135" s="1" t="s">
        <v>6480</v>
      </c>
      <c r="C2135" s="1" t="s">
        <v>21</v>
      </c>
      <c r="D2135" s="4" t="s">
        <v>6481</v>
      </c>
      <c r="E2135" s="1" t="s">
        <v>71</v>
      </c>
      <c r="F2135" s="1" t="s">
        <v>5441</v>
      </c>
      <c r="G2135" s="1" t="s">
        <v>5948</v>
      </c>
      <c r="H2135" s="7" t="s">
        <v>5985</v>
      </c>
      <c r="I2135" s="1" t="str">
        <f t="shared" si="1"/>
        <v>12</v>
      </c>
      <c r="J2135" s="5"/>
      <c r="K2135" s="1" t="str">
        <f t="shared" si="2"/>
        <v>2</v>
      </c>
      <c r="L2135" s="5"/>
      <c r="M2135" s="2" t="str">
        <f t="shared" si="3"/>
        <v>1396</v>
      </c>
      <c r="N2135" s="5"/>
      <c r="O2135" s="13" t="s">
        <v>6482</v>
      </c>
      <c r="P2135" s="5"/>
      <c r="Q2135" s="5"/>
      <c r="R2135" s="8" t="s">
        <v>5985</v>
      </c>
      <c r="S2135" s="5"/>
      <c r="T2135" s="1" t="str">
        <f>IFERROR(__xludf.DUMMYFUNCTION("INDEX(SPLIT(A2135, ""/""), 2)"),"کانون‌های فرهنگی هنری")</f>
        <v>کانون‌های فرهنگی هنری</v>
      </c>
      <c r="U2135" s="1" t="str">
        <f>IFERROR(__xludf.DUMMYFUNCTION("INDEX(SPLIT(A2135, ""/""), 3)"),"روزنامه شریف")</f>
        <v>روزنامه شریف</v>
      </c>
      <c r="V2135" s="1" t="str">
        <f>IFERROR(__xludf.DUMMYFUNCTION("INDEX(SPLIT(A2135, ""/""), 4)"),"#REF!")</f>
        <v>#REF!</v>
      </c>
    </row>
    <row r="2136">
      <c r="A2136" s="1" t="s">
        <v>4070</v>
      </c>
      <c r="B2136" s="1" t="s">
        <v>6483</v>
      </c>
      <c r="C2136" s="1" t="s">
        <v>21</v>
      </c>
      <c r="D2136" s="4" t="s">
        <v>6484</v>
      </c>
      <c r="E2136" s="1" t="s">
        <v>71</v>
      </c>
      <c r="F2136" s="1" t="s">
        <v>5441</v>
      </c>
      <c r="G2136" s="1" t="s">
        <v>5948</v>
      </c>
      <c r="H2136" s="1" t="s">
        <v>6485</v>
      </c>
      <c r="I2136" s="1" t="str">
        <f t="shared" si="1"/>
        <v>13</v>
      </c>
      <c r="J2136" s="5"/>
      <c r="K2136" s="1" t="str">
        <f t="shared" si="2"/>
        <v>4</v>
      </c>
      <c r="L2136" s="5"/>
      <c r="M2136" s="2" t="str">
        <f t="shared" si="3"/>
        <v>1396</v>
      </c>
      <c r="N2136" s="5"/>
      <c r="O2136" s="13" t="s">
        <v>6486</v>
      </c>
      <c r="P2136" s="5"/>
      <c r="Q2136" s="5"/>
      <c r="R2136" s="6" t="s">
        <v>6485</v>
      </c>
      <c r="S2136" s="5"/>
      <c r="T2136" s="1" t="str">
        <f>IFERROR(__xludf.DUMMYFUNCTION("INDEX(SPLIT(A2136, ""/""), 2)"),"کانون‌های فرهنگی هنری")</f>
        <v>کانون‌های فرهنگی هنری</v>
      </c>
      <c r="U2136" s="1" t="str">
        <f>IFERROR(__xludf.DUMMYFUNCTION("INDEX(SPLIT(A2136, ""/""), 3)"),"روزنامه شریف")</f>
        <v>روزنامه شریف</v>
      </c>
      <c r="V2136" s="1" t="str">
        <f>IFERROR(__xludf.DUMMYFUNCTION("INDEX(SPLIT(A2136, ""/""), 4)"),"#REF!")</f>
        <v>#REF!</v>
      </c>
    </row>
    <row r="2137">
      <c r="A2137" s="1" t="s">
        <v>4070</v>
      </c>
      <c r="B2137" s="1" t="s">
        <v>6487</v>
      </c>
      <c r="C2137" s="1" t="s">
        <v>21</v>
      </c>
      <c r="D2137" s="4" t="s">
        <v>6488</v>
      </c>
      <c r="E2137" s="1" t="s">
        <v>71</v>
      </c>
      <c r="F2137" s="1" t="s">
        <v>5441</v>
      </c>
      <c r="G2137" s="1" t="s">
        <v>5948</v>
      </c>
      <c r="H2137" s="1" t="s">
        <v>6489</v>
      </c>
      <c r="I2137" s="1" t="str">
        <f t="shared" si="1"/>
        <v>20</v>
      </c>
      <c r="J2137" s="5"/>
      <c r="K2137" s="1" t="str">
        <f t="shared" si="2"/>
        <v>4</v>
      </c>
      <c r="L2137" s="5"/>
      <c r="M2137" s="2" t="str">
        <f t="shared" si="3"/>
        <v>1396</v>
      </c>
      <c r="N2137" s="5"/>
      <c r="O2137" s="13" t="s">
        <v>6486</v>
      </c>
      <c r="P2137" s="5"/>
      <c r="Q2137" s="5"/>
      <c r="R2137" s="6" t="s">
        <v>6489</v>
      </c>
      <c r="S2137" s="5"/>
      <c r="T2137" s="1" t="str">
        <f>IFERROR(__xludf.DUMMYFUNCTION("INDEX(SPLIT(A2137, ""/""), 2)"),"کانون‌های فرهنگی هنری")</f>
        <v>کانون‌های فرهنگی هنری</v>
      </c>
      <c r="U2137" s="1" t="str">
        <f>IFERROR(__xludf.DUMMYFUNCTION("INDEX(SPLIT(A2137, ""/""), 3)"),"روزنامه شریف")</f>
        <v>روزنامه شریف</v>
      </c>
      <c r="V2137" s="1" t="str">
        <f>IFERROR(__xludf.DUMMYFUNCTION("INDEX(SPLIT(A2137, ""/""), 4)"),"#REF!")</f>
        <v>#REF!</v>
      </c>
    </row>
    <row r="2138">
      <c r="A2138" s="1" t="s">
        <v>4070</v>
      </c>
      <c r="B2138" s="1" t="s">
        <v>6490</v>
      </c>
      <c r="C2138" s="1" t="s">
        <v>21</v>
      </c>
      <c r="D2138" s="4" t="s">
        <v>6491</v>
      </c>
      <c r="E2138" s="1" t="s">
        <v>71</v>
      </c>
      <c r="F2138" s="1" t="s">
        <v>5441</v>
      </c>
      <c r="G2138" s="1" t="s">
        <v>5948</v>
      </c>
      <c r="H2138" s="1" t="s">
        <v>6492</v>
      </c>
      <c r="I2138" s="1" t="str">
        <f t="shared" si="1"/>
        <v>17</v>
      </c>
      <c r="J2138" s="5"/>
      <c r="K2138" s="1" t="str">
        <f t="shared" si="2"/>
        <v>7</v>
      </c>
      <c r="L2138" s="5"/>
      <c r="M2138" s="2" t="str">
        <f t="shared" si="3"/>
        <v>1396</v>
      </c>
      <c r="N2138" s="5"/>
      <c r="O2138" s="13" t="s">
        <v>6493</v>
      </c>
      <c r="P2138" s="5"/>
      <c r="Q2138" s="5"/>
      <c r="R2138" s="6" t="s">
        <v>6492</v>
      </c>
      <c r="S2138" s="5"/>
      <c r="T2138" s="1" t="str">
        <f>IFERROR(__xludf.DUMMYFUNCTION("INDEX(SPLIT(A2138, ""/""), 2)"),"کانون‌های فرهنگی هنری")</f>
        <v>کانون‌های فرهنگی هنری</v>
      </c>
      <c r="U2138" s="1" t="str">
        <f>IFERROR(__xludf.DUMMYFUNCTION("INDEX(SPLIT(A2138, ""/""), 3)"),"روزنامه شریف")</f>
        <v>روزنامه شریف</v>
      </c>
      <c r="V2138" s="1" t="str">
        <f>IFERROR(__xludf.DUMMYFUNCTION("INDEX(SPLIT(A2138, ""/""), 4)"),"#REF!")</f>
        <v>#REF!</v>
      </c>
    </row>
    <row r="2139">
      <c r="A2139" s="1" t="s">
        <v>4070</v>
      </c>
      <c r="B2139" s="1" t="s">
        <v>6494</v>
      </c>
      <c r="C2139" s="1" t="s">
        <v>21</v>
      </c>
      <c r="D2139" s="4" t="s">
        <v>6495</v>
      </c>
      <c r="E2139" s="1" t="s">
        <v>71</v>
      </c>
      <c r="F2139" s="1" t="s">
        <v>5285</v>
      </c>
      <c r="G2139" s="1" t="s">
        <v>5286</v>
      </c>
      <c r="H2139" s="1" t="s">
        <v>107</v>
      </c>
      <c r="I2139" s="1" t="str">
        <f t="shared" si="1"/>
        <v>x</v>
      </c>
      <c r="J2139" s="5"/>
      <c r="K2139" s="1" t="str">
        <f t="shared" si="2"/>
        <v>x</v>
      </c>
      <c r="L2139" s="1">
        <v>2.0</v>
      </c>
      <c r="M2139" s="2" t="str">
        <f t="shared" si="3"/>
        <v>1398</v>
      </c>
      <c r="N2139" s="5"/>
      <c r="O2139" s="13" t="s">
        <v>6496</v>
      </c>
      <c r="P2139" s="1"/>
      <c r="Q2139" s="1"/>
      <c r="R2139" s="8" t="s">
        <v>108</v>
      </c>
      <c r="S2139" s="5"/>
      <c r="T2139" s="1" t="str">
        <f>IFERROR(__xludf.DUMMYFUNCTION("INDEX(SPLIT(A2139, ""/""), 2)"),"کانون‌های فرهنگی هنری")</f>
        <v>کانون‌های فرهنگی هنری</v>
      </c>
      <c r="U2139" s="1" t="str">
        <f>IFERROR(__xludf.DUMMYFUNCTION("INDEX(SPLIT(A2139, ""/""), 3)"),"روزنامه شریف")</f>
        <v>روزنامه شریف</v>
      </c>
      <c r="V2139" s="1" t="str">
        <f>IFERROR(__xludf.DUMMYFUNCTION("INDEX(SPLIT(A2139, ""/""), 4)"),"#REF!")</f>
        <v>#REF!</v>
      </c>
    </row>
    <row r="2140">
      <c r="A2140" s="1" t="s">
        <v>4070</v>
      </c>
      <c r="B2140" s="1" t="s">
        <v>6497</v>
      </c>
      <c r="C2140" s="1" t="s">
        <v>21</v>
      </c>
      <c r="D2140" s="4" t="s">
        <v>6498</v>
      </c>
      <c r="E2140" s="1" t="s">
        <v>71</v>
      </c>
      <c r="F2140" s="1" t="s">
        <v>5285</v>
      </c>
      <c r="G2140" s="1" t="s">
        <v>5286</v>
      </c>
      <c r="H2140" s="1" t="s">
        <v>107</v>
      </c>
      <c r="I2140" s="1" t="str">
        <f t="shared" si="1"/>
        <v>x</v>
      </c>
      <c r="J2140" s="5"/>
      <c r="K2140" s="1" t="str">
        <f t="shared" si="2"/>
        <v>x</v>
      </c>
      <c r="L2140" s="5"/>
      <c r="M2140" s="2" t="str">
        <f t="shared" si="3"/>
        <v>1398</v>
      </c>
      <c r="N2140" s="5"/>
      <c r="O2140" s="13" t="s">
        <v>6499</v>
      </c>
      <c r="P2140" s="5"/>
      <c r="Q2140" s="5"/>
      <c r="R2140" s="8" t="s">
        <v>108</v>
      </c>
      <c r="S2140" s="5"/>
      <c r="T2140" s="1" t="str">
        <f>IFERROR(__xludf.DUMMYFUNCTION("INDEX(SPLIT(A2140, ""/""), 2)"),"کانون‌های فرهنگی هنری")</f>
        <v>کانون‌های فرهنگی هنری</v>
      </c>
      <c r="U2140" s="1" t="str">
        <f>IFERROR(__xludf.DUMMYFUNCTION("INDEX(SPLIT(A2140, ""/""), 3)"),"روزنامه شریف")</f>
        <v>روزنامه شریف</v>
      </c>
      <c r="V2140" s="1" t="str">
        <f>IFERROR(__xludf.DUMMYFUNCTION("INDEX(SPLIT(A2140, ""/""), 4)"),"#REF!")</f>
        <v>#REF!</v>
      </c>
    </row>
    <row r="2141">
      <c r="A2141" s="1" t="s">
        <v>4070</v>
      </c>
      <c r="B2141" s="1" t="s">
        <v>6500</v>
      </c>
      <c r="C2141" s="1" t="s">
        <v>21</v>
      </c>
      <c r="D2141" s="4" t="s">
        <v>6501</v>
      </c>
      <c r="E2141" s="1" t="s">
        <v>71</v>
      </c>
      <c r="F2141" s="1" t="s">
        <v>5285</v>
      </c>
      <c r="G2141" s="1" t="s">
        <v>5286</v>
      </c>
      <c r="H2141" s="1" t="s">
        <v>115</v>
      </c>
      <c r="I2141" s="1" t="str">
        <f t="shared" si="1"/>
        <v>x</v>
      </c>
      <c r="J2141" s="5"/>
      <c r="K2141" s="1" t="str">
        <f t="shared" si="2"/>
        <v>x</v>
      </c>
      <c r="L2141" s="5"/>
      <c r="M2141" s="2" t="str">
        <f t="shared" si="3"/>
        <v>1399</v>
      </c>
      <c r="N2141" s="5"/>
      <c r="O2141" s="13" t="s">
        <v>6502</v>
      </c>
      <c r="P2141" s="5"/>
      <c r="Q2141" s="5"/>
      <c r="R2141" s="8" t="s">
        <v>116</v>
      </c>
      <c r="S2141" s="5"/>
      <c r="T2141" s="1" t="str">
        <f>IFERROR(__xludf.DUMMYFUNCTION("INDEX(SPLIT(A2141, ""/""), 2)"),"کانون‌های فرهنگی هنری")</f>
        <v>کانون‌های فرهنگی هنری</v>
      </c>
      <c r="U2141" s="1" t="str">
        <f>IFERROR(__xludf.DUMMYFUNCTION("INDEX(SPLIT(A2141, ""/""), 3)"),"روزنامه شریف")</f>
        <v>روزنامه شریف</v>
      </c>
      <c r="V2141" s="1" t="str">
        <f>IFERROR(__xludf.DUMMYFUNCTION("INDEX(SPLIT(A2141, ""/""), 4)"),"#REF!")</f>
        <v>#REF!</v>
      </c>
    </row>
    <row r="2142">
      <c r="A2142" s="1" t="s">
        <v>4070</v>
      </c>
      <c r="B2142" s="1" t="s">
        <v>6503</v>
      </c>
      <c r="C2142" s="1" t="s">
        <v>21</v>
      </c>
      <c r="D2142" s="4" t="s">
        <v>6504</v>
      </c>
      <c r="E2142" s="1" t="s">
        <v>71</v>
      </c>
      <c r="F2142" s="1" t="s">
        <v>5285</v>
      </c>
      <c r="G2142" s="1" t="s">
        <v>5286</v>
      </c>
      <c r="H2142" s="1" t="s">
        <v>424</v>
      </c>
      <c r="I2142" s="1" t="str">
        <f t="shared" si="1"/>
        <v>x</v>
      </c>
      <c r="J2142" s="5"/>
      <c r="K2142" s="1" t="str">
        <f t="shared" si="2"/>
        <v>2</v>
      </c>
      <c r="L2142" s="5"/>
      <c r="M2142" s="2" t="str">
        <f t="shared" si="3"/>
        <v>1401</v>
      </c>
      <c r="N2142" s="5"/>
      <c r="O2142" s="13" t="s">
        <v>6505</v>
      </c>
      <c r="P2142" s="5"/>
      <c r="Q2142" s="5"/>
      <c r="R2142" s="6" t="s">
        <v>425</v>
      </c>
      <c r="S2142" s="5"/>
      <c r="T2142" s="1" t="str">
        <f>IFERROR(__xludf.DUMMYFUNCTION("INDEX(SPLIT(A2142, ""/""), 2)"),"کانون‌های فرهنگی هنری")</f>
        <v>کانون‌های فرهنگی هنری</v>
      </c>
      <c r="U2142" s="1" t="str">
        <f>IFERROR(__xludf.DUMMYFUNCTION("INDEX(SPLIT(A2142, ""/""), 3)"),"روزنامه شریف")</f>
        <v>روزنامه شریف</v>
      </c>
      <c r="V2142" s="1" t="str">
        <f>IFERROR(__xludf.DUMMYFUNCTION("INDEX(SPLIT(A2142, ""/""), 4)"),"#REF!")</f>
        <v>#REF!</v>
      </c>
    </row>
    <row r="2143">
      <c r="A2143" s="1" t="s">
        <v>6506</v>
      </c>
      <c r="B2143" s="1" t="s">
        <v>6507</v>
      </c>
      <c r="C2143" s="1" t="s">
        <v>21</v>
      </c>
      <c r="D2143" s="4" t="s">
        <v>6508</v>
      </c>
      <c r="E2143" s="1" t="s">
        <v>6509</v>
      </c>
      <c r="F2143" s="1" t="s">
        <v>772</v>
      </c>
      <c r="G2143" s="1" t="s">
        <v>6510</v>
      </c>
      <c r="H2143" s="1" t="s">
        <v>2719</v>
      </c>
      <c r="I2143" s="1" t="str">
        <f t="shared" si="1"/>
        <v>x</v>
      </c>
      <c r="J2143" s="5"/>
      <c r="K2143" s="1" t="str">
        <f t="shared" si="2"/>
        <v>x</v>
      </c>
      <c r="L2143" s="1">
        <v>4.0</v>
      </c>
      <c r="M2143" s="2" t="str">
        <f t="shared" si="3"/>
        <v>1397</v>
      </c>
      <c r="N2143" s="5"/>
      <c r="O2143" s="2">
        <v>1.0</v>
      </c>
      <c r="P2143" s="1"/>
      <c r="Q2143" s="1"/>
      <c r="R2143" s="8" t="s">
        <v>2023</v>
      </c>
      <c r="S2143" s="5"/>
      <c r="T2143" s="1" t="str">
        <f>IFERROR(__xludf.DUMMYFUNCTION("INDEX(SPLIT(A2143, ""/""), 2)"),"کانون‌های فرهنگی هنری")</f>
        <v>کانون‌های فرهنگی هنری</v>
      </c>
      <c r="U2143" s="1" t="str">
        <f>IFERROR(__xludf.DUMMYFUNCTION("INDEX(SPLIT(A2143, ""/""), 3)"),"کانون شعر و ادب")</f>
        <v>کانون شعر و ادب</v>
      </c>
      <c r="V2143" s="1" t="str">
        <f>IFERROR(__xludf.DUMMYFUNCTION("INDEX(SPLIT(A2143, ""/""), 4)"),"ایوان")</f>
        <v>ایوان</v>
      </c>
    </row>
    <row r="2144">
      <c r="A2144" s="1" t="s">
        <v>6506</v>
      </c>
      <c r="B2144" s="1" t="s">
        <v>6511</v>
      </c>
      <c r="C2144" s="1" t="s">
        <v>21</v>
      </c>
      <c r="D2144" s="4" t="s">
        <v>6512</v>
      </c>
      <c r="E2144" s="1" t="s">
        <v>6509</v>
      </c>
      <c r="F2144" s="1" t="s">
        <v>772</v>
      </c>
      <c r="G2144" s="1" t="s">
        <v>6510</v>
      </c>
      <c r="H2144" s="1" t="s">
        <v>107</v>
      </c>
      <c r="I2144" s="1" t="str">
        <f t="shared" si="1"/>
        <v>x</v>
      </c>
      <c r="J2144" s="5"/>
      <c r="K2144" s="1" t="str">
        <f t="shared" si="2"/>
        <v>x</v>
      </c>
      <c r="L2144" s="1">
        <v>1.0</v>
      </c>
      <c r="M2144" s="2" t="str">
        <f t="shared" si="3"/>
        <v>1398</v>
      </c>
      <c r="N2144" s="5"/>
      <c r="O2144" s="2">
        <v>2.0</v>
      </c>
      <c r="P2144" s="1"/>
      <c r="Q2144" s="1"/>
      <c r="R2144" s="8" t="s">
        <v>108</v>
      </c>
      <c r="S2144" s="5"/>
      <c r="T2144" s="1" t="str">
        <f>IFERROR(__xludf.DUMMYFUNCTION("INDEX(SPLIT(A2144, ""/""), 2)"),"کانون‌های فرهنگی هنری")</f>
        <v>کانون‌های فرهنگی هنری</v>
      </c>
      <c r="U2144" s="1" t="str">
        <f>IFERROR(__xludf.DUMMYFUNCTION("INDEX(SPLIT(A2144, ""/""), 3)"),"کانون شعر و ادب")</f>
        <v>کانون شعر و ادب</v>
      </c>
      <c r="V2144" s="1" t="str">
        <f>IFERROR(__xludf.DUMMYFUNCTION("INDEX(SPLIT(A2144, ""/""), 4)"),"ایوان")</f>
        <v>ایوان</v>
      </c>
    </row>
    <row r="2145">
      <c r="A2145" s="1" t="s">
        <v>6506</v>
      </c>
      <c r="B2145" s="1" t="s">
        <v>6513</v>
      </c>
      <c r="C2145" s="1" t="s">
        <v>21</v>
      </c>
      <c r="D2145" s="4" t="s">
        <v>6514</v>
      </c>
      <c r="E2145" s="1" t="s">
        <v>6509</v>
      </c>
      <c r="F2145" s="1" t="s">
        <v>772</v>
      </c>
      <c r="G2145" s="1" t="s">
        <v>6515</v>
      </c>
      <c r="H2145" s="1" t="s">
        <v>107</v>
      </c>
      <c r="I2145" s="1" t="str">
        <f t="shared" si="1"/>
        <v>x</v>
      </c>
      <c r="J2145" s="5"/>
      <c r="K2145" s="1" t="str">
        <f t="shared" si="2"/>
        <v>x</v>
      </c>
      <c r="L2145" s="1">
        <v>2.0</v>
      </c>
      <c r="M2145" s="2" t="str">
        <f t="shared" si="3"/>
        <v>1398</v>
      </c>
      <c r="N2145" s="5"/>
      <c r="O2145" s="2">
        <v>3.0</v>
      </c>
      <c r="P2145" s="1"/>
      <c r="Q2145" s="1"/>
      <c r="R2145" s="8" t="s">
        <v>108</v>
      </c>
      <c r="S2145" s="5"/>
      <c r="T2145" s="1" t="str">
        <f>IFERROR(__xludf.DUMMYFUNCTION("INDEX(SPLIT(A2145, ""/""), 2)"),"کانون‌های فرهنگی هنری")</f>
        <v>کانون‌های فرهنگی هنری</v>
      </c>
      <c r="U2145" s="1" t="str">
        <f>IFERROR(__xludf.DUMMYFUNCTION("INDEX(SPLIT(A2145, ""/""), 3)"),"کانون شعر و ادب")</f>
        <v>کانون شعر و ادب</v>
      </c>
      <c r="V2145" s="1" t="str">
        <f>IFERROR(__xludf.DUMMYFUNCTION("INDEX(SPLIT(A2145, ""/""), 4)"),"ایوان")</f>
        <v>ایوان</v>
      </c>
    </row>
    <row r="2146">
      <c r="A2146" s="1" t="s">
        <v>6506</v>
      </c>
      <c r="B2146" s="1" t="s">
        <v>6516</v>
      </c>
      <c r="C2146" s="1" t="s">
        <v>21</v>
      </c>
      <c r="D2146" s="4" t="s">
        <v>6517</v>
      </c>
      <c r="E2146" s="1" t="s">
        <v>6509</v>
      </c>
      <c r="F2146" s="1" t="s">
        <v>6510</v>
      </c>
      <c r="G2146" s="1" t="s">
        <v>6515</v>
      </c>
      <c r="H2146" s="1" t="s">
        <v>107</v>
      </c>
      <c r="I2146" s="1" t="str">
        <f t="shared" si="1"/>
        <v>x</v>
      </c>
      <c r="J2146" s="5"/>
      <c r="K2146" s="1" t="str">
        <f t="shared" si="2"/>
        <v>x</v>
      </c>
      <c r="L2146" s="1">
        <v>3.0</v>
      </c>
      <c r="M2146" s="2" t="str">
        <f t="shared" si="3"/>
        <v>1398</v>
      </c>
      <c r="N2146" s="5"/>
      <c r="O2146" s="2">
        <v>4.0</v>
      </c>
      <c r="P2146" s="1"/>
      <c r="Q2146" s="1"/>
      <c r="R2146" s="8" t="s">
        <v>108</v>
      </c>
      <c r="S2146" s="5"/>
      <c r="T2146" s="1" t="str">
        <f>IFERROR(__xludf.DUMMYFUNCTION("INDEX(SPLIT(A2146, ""/""), 2)"),"کانون‌های فرهنگی هنری")</f>
        <v>کانون‌های فرهنگی هنری</v>
      </c>
      <c r="U2146" s="1" t="str">
        <f>IFERROR(__xludf.DUMMYFUNCTION("INDEX(SPLIT(A2146, ""/""), 3)"),"کانون شعر و ادب")</f>
        <v>کانون شعر و ادب</v>
      </c>
      <c r="V2146" s="1" t="str">
        <f>IFERROR(__xludf.DUMMYFUNCTION("INDEX(SPLIT(A2146, ""/""), 4)"),"ایوان")</f>
        <v>ایوان</v>
      </c>
    </row>
    <row r="2147">
      <c r="A2147" s="1" t="s">
        <v>6506</v>
      </c>
      <c r="B2147" s="1" t="s">
        <v>6518</v>
      </c>
      <c r="C2147" s="1" t="s">
        <v>21</v>
      </c>
      <c r="D2147" s="4" t="s">
        <v>6519</v>
      </c>
      <c r="E2147" s="1" t="s">
        <v>6509</v>
      </c>
      <c r="F2147" s="1" t="s">
        <v>6510</v>
      </c>
      <c r="G2147" s="1" t="s">
        <v>6520</v>
      </c>
      <c r="H2147" s="1" t="s">
        <v>107</v>
      </c>
      <c r="I2147" s="1" t="str">
        <f t="shared" si="1"/>
        <v>x</v>
      </c>
      <c r="J2147" s="5"/>
      <c r="K2147" s="1" t="str">
        <f t="shared" si="2"/>
        <v>x</v>
      </c>
      <c r="L2147" s="1">
        <v>4.0</v>
      </c>
      <c r="M2147" s="2" t="str">
        <f t="shared" si="3"/>
        <v>1398</v>
      </c>
      <c r="N2147" s="5"/>
      <c r="O2147" s="2">
        <v>5.0</v>
      </c>
      <c r="P2147" s="1"/>
      <c r="Q2147" s="1"/>
      <c r="R2147" s="8" t="s">
        <v>108</v>
      </c>
      <c r="S2147" s="5"/>
      <c r="T2147" s="1" t="str">
        <f>IFERROR(__xludf.DUMMYFUNCTION("INDEX(SPLIT(A2147, ""/""), 2)"),"کانون‌های فرهنگی هنری")</f>
        <v>کانون‌های فرهنگی هنری</v>
      </c>
      <c r="U2147" s="1" t="str">
        <f>IFERROR(__xludf.DUMMYFUNCTION("INDEX(SPLIT(A2147, ""/""), 3)"),"کانون شعر و ادب")</f>
        <v>کانون شعر و ادب</v>
      </c>
      <c r="V2147" s="1" t="str">
        <f>IFERROR(__xludf.DUMMYFUNCTION("INDEX(SPLIT(A2147, ""/""), 4)"),"ایوان")</f>
        <v>ایوان</v>
      </c>
    </row>
    <row r="2148">
      <c r="A2148" s="1" t="s">
        <v>6506</v>
      </c>
      <c r="B2148" s="1" t="s">
        <v>6521</v>
      </c>
      <c r="C2148" s="1" t="s">
        <v>21</v>
      </c>
      <c r="D2148" s="4" t="s">
        <v>6522</v>
      </c>
      <c r="E2148" s="1" t="s">
        <v>6509</v>
      </c>
      <c r="F2148" s="1" t="s">
        <v>6510</v>
      </c>
      <c r="G2148" s="1" t="s">
        <v>6520</v>
      </c>
      <c r="H2148" s="1" t="s">
        <v>115</v>
      </c>
      <c r="I2148" s="1" t="str">
        <f t="shared" si="1"/>
        <v>x</v>
      </c>
      <c r="J2148" s="5"/>
      <c r="K2148" s="1" t="str">
        <f t="shared" si="2"/>
        <v>x</v>
      </c>
      <c r="L2148" s="1">
        <v>1.0</v>
      </c>
      <c r="M2148" s="2" t="str">
        <f t="shared" si="3"/>
        <v>1399</v>
      </c>
      <c r="N2148" s="5"/>
      <c r="O2148" s="2">
        <v>6.0</v>
      </c>
      <c r="P2148" s="1"/>
      <c r="Q2148" s="1"/>
      <c r="R2148" s="8" t="s">
        <v>116</v>
      </c>
      <c r="S2148" s="5"/>
      <c r="T2148" s="1" t="str">
        <f>IFERROR(__xludf.DUMMYFUNCTION("INDEX(SPLIT(A2148, ""/""), 2)"),"کانون‌های فرهنگی هنری")</f>
        <v>کانون‌های فرهنگی هنری</v>
      </c>
      <c r="U2148" s="1" t="str">
        <f>IFERROR(__xludf.DUMMYFUNCTION("INDEX(SPLIT(A2148, ""/""), 3)"),"کانون شعر و ادب")</f>
        <v>کانون شعر و ادب</v>
      </c>
      <c r="V2148" s="1" t="str">
        <f>IFERROR(__xludf.DUMMYFUNCTION("INDEX(SPLIT(A2148, ""/""), 4)"),"ایوان")</f>
        <v>ایوان</v>
      </c>
    </row>
    <row r="2149">
      <c r="A2149" s="1" t="s">
        <v>6506</v>
      </c>
      <c r="B2149" s="1" t="s">
        <v>6523</v>
      </c>
      <c r="C2149" s="1" t="s">
        <v>21</v>
      </c>
      <c r="D2149" s="4" t="s">
        <v>6524</v>
      </c>
      <c r="E2149" s="1" t="s">
        <v>6509</v>
      </c>
      <c r="F2149" s="1" t="s">
        <v>6510</v>
      </c>
      <c r="G2149" s="1" t="s">
        <v>6520</v>
      </c>
      <c r="H2149" s="1" t="s">
        <v>115</v>
      </c>
      <c r="I2149" s="1" t="str">
        <f t="shared" si="1"/>
        <v>x</v>
      </c>
      <c r="J2149" s="5"/>
      <c r="K2149" s="1" t="str">
        <f t="shared" si="2"/>
        <v>x</v>
      </c>
      <c r="L2149" s="1">
        <v>2.0</v>
      </c>
      <c r="M2149" s="2" t="str">
        <f t="shared" si="3"/>
        <v>1399</v>
      </c>
      <c r="N2149" s="5"/>
      <c r="O2149" s="2">
        <v>7.0</v>
      </c>
      <c r="P2149" s="1"/>
      <c r="Q2149" s="1"/>
      <c r="R2149" s="8" t="s">
        <v>116</v>
      </c>
      <c r="S2149" s="5"/>
      <c r="T2149" s="1" t="str">
        <f>IFERROR(__xludf.DUMMYFUNCTION("INDEX(SPLIT(A2149, ""/""), 2)"),"کانون‌های فرهنگی هنری")</f>
        <v>کانون‌های فرهنگی هنری</v>
      </c>
      <c r="U2149" s="1" t="str">
        <f>IFERROR(__xludf.DUMMYFUNCTION("INDEX(SPLIT(A2149, ""/""), 3)"),"کانون شعر و ادب")</f>
        <v>کانون شعر و ادب</v>
      </c>
      <c r="V2149" s="1" t="str">
        <f>IFERROR(__xludf.DUMMYFUNCTION("INDEX(SPLIT(A2149, ""/""), 4)"),"ایوان")</f>
        <v>ایوان</v>
      </c>
    </row>
    <row r="2150">
      <c r="A2150" s="1" t="s">
        <v>6506</v>
      </c>
      <c r="B2150" s="1" t="s">
        <v>6525</v>
      </c>
      <c r="C2150" s="1" t="s">
        <v>21</v>
      </c>
      <c r="D2150" s="4" t="s">
        <v>6526</v>
      </c>
      <c r="E2150" s="1" t="s">
        <v>6509</v>
      </c>
      <c r="F2150" s="1" t="s">
        <v>6510</v>
      </c>
      <c r="G2150" s="1" t="s">
        <v>6520</v>
      </c>
      <c r="H2150" s="1" t="s">
        <v>115</v>
      </c>
      <c r="I2150" s="1" t="str">
        <f t="shared" si="1"/>
        <v>x</v>
      </c>
      <c r="J2150" s="5"/>
      <c r="K2150" s="1" t="str">
        <f t="shared" si="2"/>
        <v>x</v>
      </c>
      <c r="L2150" s="1">
        <v>3.0</v>
      </c>
      <c r="M2150" s="2" t="str">
        <f t="shared" si="3"/>
        <v>1399</v>
      </c>
      <c r="N2150" s="5"/>
      <c r="O2150" s="2">
        <v>8.0</v>
      </c>
      <c r="P2150" s="1"/>
      <c r="Q2150" s="1"/>
      <c r="R2150" s="8" t="s">
        <v>116</v>
      </c>
      <c r="S2150" s="5"/>
      <c r="T2150" s="1" t="str">
        <f>IFERROR(__xludf.DUMMYFUNCTION("INDEX(SPLIT(A2150, ""/""), 2)"),"کانون‌های فرهنگی هنری")</f>
        <v>کانون‌های فرهنگی هنری</v>
      </c>
      <c r="U2150" s="1" t="str">
        <f>IFERROR(__xludf.DUMMYFUNCTION("INDEX(SPLIT(A2150, ""/""), 3)"),"کانون شعر و ادب")</f>
        <v>کانون شعر و ادب</v>
      </c>
      <c r="V2150" s="1" t="str">
        <f>IFERROR(__xludf.DUMMYFUNCTION("INDEX(SPLIT(A2150, ""/""), 4)"),"ایوان")</f>
        <v>ایوان</v>
      </c>
    </row>
    <row r="2151">
      <c r="A2151" s="1" t="s">
        <v>6506</v>
      </c>
      <c r="B2151" s="1" t="s">
        <v>6527</v>
      </c>
      <c r="C2151" s="1" t="s">
        <v>21</v>
      </c>
      <c r="D2151" s="4" t="s">
        <v>6528</v>
      </c>
      <c r="E2151" s="1" t="s">
        <v>6509</v>
      </c>
      <c r="F2151" s="1" t="s">
        <v>6510</v>
      </c>
      <c r="G2151" s="1" t="s">
        <v>6520</v>
      </c>
      <c r="H2151" s="1" t="s">
        <v>115</v>
      </c>
      <c r="I2151" s="1" t="str">
        <f t="shared" si="1"/>
        <v>x</v>
      </c>
      <c r="J2151" s="5"/>
      <c r="K2151" s="1" t="str">
        <f t="shared" si="2"/>
        <v>x</v>
      </c>
      <c r="L2151" s="1">
        <v>4.0</v>
      </c>
      <c r="M2151" s="2" t="str">
        <f t="shared" si="3"/>
        <v>1399</v>
      </c>
      <c r="N2151" s="5"/>
      <c r="O2151" s="2">
        <v>9.0</v>
      </c>
      <c r="P2151" s="1"/>
      <c r="Q2151" s="1"/>
      <c r="R2151" s="8" t="s">
        <v>116</v>
      </c>
      <c r="S2151" s="5"/>
      <c r="T2151" s="1" t="str">
        <f>IFERROR(__xludf.DUMMYFUNCTION("INDEX(SPLIT(A2151, ""/""), 2)"),"کانون‌های فرهنگی هنری")</f>
        <v>کانون‌های فرهنگی هنری</v>
      </c>
      <c r="U2151" s="1" t="str">
        <f>IFERROR(__xludf.DUMMYFUNCTION("INDEX(SPLIT(A2151, ""/""), 3)"),"کانون شعر و ادب")</f>
        <v>کانون شعر و ادب</v>
      </c>
      <c r="V2151" s="1" t="str">
        <f>IFERROR(__xludf.DUMMYFUNCTION("INDEX(SPLIT(A2151, ""/""), 4)"),"ایوان")</f>
        <v>ایوان</v>
      </c>
    </row>
    <row r="2152">
      <c r="A2152" s="1" t="s">
        <v>6506</v>
      </c>
      <c r="B2152" s="1" t="s">
        <v>6529</v>
      </c>
      <c r="C2152" s="1" t="s">
        <v>21</v>
      </c>
      <c r="D2152" s="4" t="s">
        <v>6530</v>
      </c>
      <c r="E2152" s="1" t="s">
        <v>6509</v>
      </c>
      <c r="F2152" s="1" t="s">
        <v>6510</v>
      </c>
      <c r="G2152" s="1" t="s">
        <v>6531</v>
      </c>
      <c r="H2152" s="1" t="s">
        <v>115</v>
      </c>
      <c r="I2152" s="1" t="str">
        <f t="shared" si="1"/>
        <v>x</v>
      </c>
      <c r="J2152" s="5"/>
      <c r="K2152" s="1" t="str">
        <f t="shared" si="2"/>
        <v>x</v>
      </c>
      <c r="L2152" s="1">
        <v>1.0</v>
      </c>
      <c r="M2152" s="2" t="str">
        <f t="shared" si="3"/>
        <v>1399</v>
      </c>
      <c r="N2152" s="5"/>
      <c r="O2152" s="2">
        <v>10.0</v>
      </c>
      <c r="P2152" s="1"/>
      <c r="Q2152" s="1"/>
      <c r="R2152" s="8" t="s">
        <v>116</v>
      </c>
      <c r="S2152" s="5"/>
      <c r="T2152" s="1" t="str">
        <f>IFERROR(__xludf.DUMMYFUNCTION("INDEX(SPLIT(A2152, ""/""), 2)"),"کانون‌های فرهنگی هنری")</f>
        <v>کانون‌های فرهنگی هنری</v>
      </c>
      <c r="U2152" s="1" t="str">
        <f>IFERROR(__xludf.DUMMYFUNCTION("INDEX(SPLIT(A2152, ""/""), 3)"),"کانون شعر و ادب")</f>
        <v>کانون شعر و ادب</v>
      </c>
      <c r="V2152" s="1" t="str">
        <f>IFERROR(__xludf.DUMMYFUNCTION("INDEX(SPLIT(A2152, ""/""), 4)"),"ایوان")</f>
        <v>ایوان</v>
      </c>
    </row>
    <row r="2153">
      <c r="A2153" s="1" t="s">
        <v>6532</v>
      </c>
      <c r="B2153" s="1" t="s">
        <v>6533</v>
      </c>
      <c r="C2153" s="1" t="s">
        <v>21</v>
      </c>
      <c r="D2153" s="4" t="s">
        <v>6534</v>
      </c>
      <c r="E2153" s="1" t="s">
        <v>6509</v>
      </c>
      <c r="F2153" s="1" t="s">
        <v>6535</v>
      </c>
      <c r="G2153" s="1" t="s">
        <v>6535</v>
      </c>
      <c r="H2153" s="1" t="s">
        <v>2684</v>
      </c>
      <c r="I2153" s="1" t="str">
        <f t="shared" si="1"/>
        <v>x</v>
      </c>
      <c r="J2153" s="5"/>
      <c r="K2153" s="1" t="str">
        <f t="shared" si="2"/>
        <v>x</v>
      </c>
      <c r="L2153" s="5"/>
      <c r="M2153" s="2" t="str">
        <f t="shared" si="3"/>
        <v>1390</v>
      </c>
      <c r="N2153" s="5"/>
      <c r="O2153" s="2">
        <v>0.0</v>
      </c>
      <c r="P2153" s="5"/>
      <c r="Q2153" s="5"/>
      <c r="R2153" s="8" t="s">
        <v>2685</v>
      </c>
      <c r="S2153" s="5"/>
      <c r="T2153" s="1" t="str">
        <f>IFERROR(__xludf.DUMMYFUNCTION("INDEX(SPLIT(A2153, ""/""), 2)"),"کانون‌های فرهنگی هنری")</f>
        <v>کانون‌های فرهنگی هنری</v>
      </c>
      <c r="U2153" s="1" t="str">
        <f>IFERROR(__xludf.DUMMYFUNCTION("INDEX(SPLIT(A2153, ""/""), 3)"),"کانون شعر و ادب")</f>
        <v>کانون شعر و ادب</v>
      </c>
      <c r="V2153" s="1" t="str">
        <f>IFERROR(__xludf.DUMMYFUNCTION("INDEX(SPLIT(A2153, ""/""), 4)"),"بامداد")</f>
        <v>بامداد</v>
      </c>
    </row>
    <row r="2154">
      <c r="A2154" s="1" t="s">
        <v>6532</v>
      </c>
      <c r="B2154" s="1" t="s">
        <v>6536</v>
      </c>
      <c r="C2154" s="1" t="s">
        <v>21</v>
      </c>
      <c r="D2154" s="4" t="s">
        <v>6537</v>
      </c>
      <c r="E2154" s="1" t="s">
        <v>6509</v>
      </c>
      <c r="F2154" s="1" t="s">
        <v>6538</v>
      </c>
      <c r="G2154" s="1" t="s">
        <v>6539</v>
      </c>
      <c r="H2154" s="1" t="s">
        <v>3088</v>
      </c>
      <c r="I2154" s="1" t="str">
        <f t="shared" si="1"/>
        <v>x</v>
      </c>
      <c r="J2154" s="5"/>
      <c r="K2154" s="1" t="str">
        <f t="shared" si="2"/>
        <v>x</v>
      </c>
      <c r="L2154" s="1">
        <v>4.0</v>
      </c>
      <c r="M2154" s="2" t="str">
        <f t="shared" si="3"/>
        <v>1393</v>
      </c>
      <c r="N2154" s="5"/>
      <c r="O2154" s="2">
        <v>1.0</v>
      </c>
      <c r="P2154" s="5"/>
      <c r="Q2154" s="5"/>
      <c r="R2154" s="8" t="s">
        <v>1725</v>
      </c>
      <c r="S2154" s="5"/>
      <c r="T2154" s="1" t="str">
        <f>IFERROR(__xludf.DUMMYFUNCTION("INDEX(SPLIT(A2154, ""/""), 2)"),"کانون‌های فرهنگی هنری")</f>
        <v>کانون‌های فرهنگی هنری</v>
      </c>
      <c r="U2154" s="1" t="str">
        <f>IFERROR(__xludf.DUMMYFUNCTION("INDEX(SPLIT(A2154, ""/""), 3)"),"کانون شعر و ادب")</f>
        <v>کانون شعر و ادب</v>
      </c>
      <c r="V2154" s="1" t="str">
        <f>IFERROR(__xludf.DUMMYFUNCTION("INDEX(SPLIT(A2154, ""/""), 4)"),"بامداد")</f>
        <v>بامداد</v>
      </c>
    </row>
    <row r="2155">
      <c r="A2155" s="1" t="s">
        <v>6532</v>
      </c>
      <c r="B2155" s="1" t="s">
        <v>6540</v>
      </c>
      <c r="C2155" s="1" t="s">
        <v>21</v>
      </c>
      <c r="D2155" s="4" t="s">
        <v>6541</v>
      </c>
      <c r="E2155" s="1" t="s">
        <v>6509</v>
      </c>
      <c r="F2155" s="1" t="s">
        <v>6539</v>
      </c>
      <c r="G2155" s="1" t="s">
        <v>6538</v>
      </c>
      <c r="H2155" s="1" t="s">
        <v>225</v>
      </c>
      <c r="I2155" s="1" t="str">
        <f t="shared" si="1"/>
        <v>x</v>
      </c>
      <c r="J2155" s="5"/>
      <c r="K2155" s="1" t="str">
        <f t="shared" si="2"/>
        <v>7</v>
      </c>
      <c r="L2155" s="5"/>
      <c r="M2155" s="2" t="str">
        <f t="shared" si="3"/>
        <v>1394</v>
      </c>
      <c r="N2155" s="5"/>
      <c r="O2155" s="2">
        <v>3.0</v>
      </c>
      <c r="P2155" s="5"/>
      <c r="Q2155" s="5"/>
      <c r="R2155" s="6" t="s">
        <v>226</v>
      </c>
      <c r="S2155" s="5"/>
      <c r="T2155" s="1" t="str">
        <f>IFERROR(__xludf.DUMMYFUNCTION("INDEX(SPLIT(A2155, ""/""), 2)"),"کانون‌های فرهنگی هنری")</f>
        <v>کانون‌های فرهنگی هنری</v>
      </c>
      <c r="U2155" s="1" t="str">
        <f>IFERROR(__xludf.DUMMYFUNCTION("INDEX(SPLIT(A2155, ""/""), 3)"),"کانون شعر و ادب")</f>
        <v>کانون شعر و ادب</v>
      </c>
      <c r="V2155" s="1" t="str">
        <f>IFERROR(__xludf.DUMMYFUNCTION("INDEX(SPLIT(A2155, ""/""), 4)"),"بامداد")</f>
        <v>بامداد</v>
      </c>
    </row>
    <row r="2156">
      <c r="A2156" s="1" t="s">
        <v>6532</v>
      </c>
      <c r="B2156" s="1" t="s">
        <v>6542</v>
      </c>
      <c r="C2156" s="1" t="s">
        <v>21</v>
      </c>
      <c r="D2156" s="4" t="s">
        <v>6543</v>
      </c>
      <c r="E2156" s="1" t="s">
        <v>6509</v>
      </c>
      <c r="F2156" s="1" t="s">
        <v>6539</v>
      </c>
      <c r="G2156" s="1" t="s">
        <v>6538</v>
      </c>
      <c r="H2156" s="7" t="s">
        <v>5858</v>
      </c>
      <c r="I2156" s="1" t="str">
        <f t="shared" si="1"/>
        <v>7</v>
      </c>
      <c r="J2156" s="5"/>
      <c r="K2156" s="1" t="str">
        <f t="shared" si="2"/>
        <v>9</v>
      </c>
      <c r="L2156" s="5"/>
      <c r="M2156" s="2" t="str">
        <f t="shared" si="3"/>
        <v>1394</v>
      </c>
      <c r="N2156" s="5"/>
      <c r="O2156" s="2">
        <v>4.0</v>
      </c>
      <c r="P2156" s="5"/>
      <c r="Q2156" s="5"/>
      <c r="R2156" s="8" t="s">
        <v>5858</v>
      </c>
      <c r="S2156" s="5"/>
      <c r="T2156" s="1" t="str">
        <f>IFERROR(__xludf.DUMMYFUNCTION("INDEX(SPLIT(A2156, ""/""), 2)"),"کانون‌های فرهنگی هنری")</f>
        <v>کانون‌های فرهنگی هنری</v>
      </c>
      <c r="U2156" s="1" t="str">
        <f>IFERROR(__xludf.DUMMYFUNCTION("INDEX(SPLIT(A2156, ""/""), 3)"),"کانون شعر و ادب")</f>
        <v>کانون شعر و ادب</v>
      </c>
      <c r="V2156" s="1" t="str">
        <f>IFERROR(__xludf.DUMMYFUNCTION("INDEX(SPLIT(A2156, ""/""), 4)"),"بامداد")</f>
        <v>بامداد</v>
      </c>
    </row>
    <row r="2157">
      <c r="A2157" s="1" t="s">
        <v>6532</v>
      </c>
      <c r="B2157" s="1" t="s">
        <v>6544</v>
      </c>
      <c r="C2157" s="1" t="s">
        <v>21</v>
      </c>
      <c r="D2157" s="4" t="s">
        <v>6545</v>
      </c>
      <c r="E2157" s="1" t="s">
        <v>6509</v>
      </c>
      <c r="F2157" s="1" t="s">
        <v>6539</v>
      </c>
      <c r="G2157" s="1" t="s">
        <v>6538</v>
      </c>
      <c r="H2157" s="1" t="s">
        <v>6546</v>
      </c>
      <c r="I2157" s="1" t="str">
        <f t="shared" si="1"/>
        <v>27</v>
      </c>
      <c r="J2157" s="5"/>
      <c r="K2157" s="1" t="str">
        <f t="shared" si="2"/>
        <v>9</v>
      </c>
      <c r="L2157" s="5"/>
      <c r="M2157" s="2" t="str">
        <f t="shared" si="3"/>
        <v>1394</v>
      </c>
      <c r="N2157" s="5"/>
      <c r="O2157" s="2">
        <v>5.0</v>
      </c>
      <c r="P2157" s="5"/>
      <c r="Q2157" s="5"/>
      <c r="R2157" s="6" t="s">
        <v>6546</v>
      </c>
      <c r="S2157" s="5"/>
      <c r="T2157" s="1" t="str">
        <f>IFERROR(__xludf.DUMMYFUNCTION("INDEX(SPLIT(A2157, ""/""), 2)"),"کانون‌های فرهنگی هنری")</f>
        <v>کانون‌های فرهنگی هنری</v>
      </c>
      <c r="U2157" s="1" t="str">
        <f>IFERROR(__xludf.DUMMYFUNCTION("INDEX(SPLIT(A2157, ""/""), 3)"),"کانون شعر و ادب")</f>
        <v>کانون شعر و ادب</v>
      </c>
      <c r="V2157" s="1" t="str">
        <f>IFERROR(__xludf.DUMMYFUNCTION("INDEX(SPLIT(A2157, ""/""), 4)"),"بامداد")</f>
        <v>بامداد</v>
      </c>
    </row>
    <row r="2158">
      <c r="A2158" s="1" t="s">
        <v>6532</v>
      </c>
      <c r="B2158" s="1" t="s">
        <v>6547</v>
      </c>
      <c r="C2158" s="1" t="s">
        <v>21</v>
      </c>
      <c r="D2158" s="4" t="s">
        <v>6548</v>
      </c>
      <c r="E2158" s="1" t="s">
        <v>6509</v>
      </c>
      <c r="F2158" s="1" t="s">
        <v>6539</v>
      </c>
      <c r="G2158" s="1" t="s">
        <v>6538</v>
      </c>
      <c r="H2158" s="1" t="s">
        <v>233</v>
      </c>
      <c r="I2158" s="1" t="str">
        <f t="shared" si="1"/>
        <v>x</v>
      </c>
      <c r="J2158" s="1">
        <v>1.0</v>
      </c>
      <c r="K2158" s="1" t="str">
        <f t="shared" si="2"/>
        <v>12</v>
      </c>
      <c r="L2158" s="5"/>
      <c r="M2158" s="2" t="str">
        <f t="shared" si="3"/>
        <v>1394</v>
      </c>
      <c r="N2158" s="5"/>
      <c r="O2158" s="2">
        <v>6.0</v>
      </c>
      <c r="P2158" s="5"/>
      <c r="Q2158" s="5"/>
      <c r="R2158" s="6" t="s">
        <v>234</v>
      </c>
      <c r="S2158" s="1"/>
      <c r="T2158" s="1" t="str">
        <f>IFERROR(__xludf.DUMMYFUNCTION("INDEX(SPLIT(A2158, ""/""), 2)"),"کانون‌های فرهنگی هنری")</f>
        <v>کانون‌های فرهنگی هنری</v>
      </c>
      <c r="U2158" s="1" t="str">
        <f>IFERROR(__xludf.DUMMYFUNCTION("INDEX(SPLIT(A2158, ""/""), 3)"),"کانون شعر و ادب")</f>
        <v>کانون شعر و ادب</v>
      </c>
      <c r="V2158" s="1" t="str">
        <f>IFERROR(__xludf.DUMMYFUNCTION("INDEX(SPLIT(A2158, ""/""), 4)"),"بامداد")</f>
        <v>بامداد</v>
      </c>
    </row>
    <row r="2159">
      <c r="A2159" s="1" t="s">
        <v>6532</v>
      </c>
      <c r="B2159" s="1" t="s">
        <v>6549</v>
      </c>
      <c r="C2159" s="1" t="s">
        <v>21</v>
      </c>
      <c r="D2159" s="4" t="s">
        <v>6550</v>
      </c>
      <c r="E2159" s="1" t="s">
        <v>6509</v>
      </c>
      <c r="F2159" s="1" t="s">
        <v>6551</v>
      </c>
      <c r="G2159" s="1" t="s">
        <v>6552</v>
      </c>
      <c r="H2159" s="1" t="s">
        <v>250</v>
      </c>
      <c r="I2159" s="1" t="str">
        <f t="shared" si="1"/>
        <v>x</v>
      </c>
      <c r="J2159" s="5"/>
      <c r="K2159" s="1" t="str">
        <f t="shared" si="2"/>
        <v>11</v>
      </c>
      <c r="L2159" s="5"/>
      <c r="M2159" s="2" t="str">
        <f t="shared" si="3"/>
        <v>1395</v>
      </c>
      <c r="N2159" s="5"/>
      <c r="O2159" s="2">
        <v>9.0</v>
      </c>
      <c r="P2159" s="5"/>
      <c r="Q2159" s="5"/>
      <c r="R2159" s="6" t="s">
        <v>251</v>
      </c>
      <c r="S2159" s="1" t="s">
        <v>6553</v>
      </c>
      <c r="T2159" s="1" t="str">
        <f>IFERROR(__xludf.DUMMYFUNCTION("INDEX(SPLIT(A2159, ""/""), 2)"),"کانون‌های فرهنگی هنری")</f>
        <v>کانون‌های فرهنگی هنری</v>
      </c>
      <c r="U2159" s="1" t="str">
        <f>IFERROR(__xludf.DUMMYFUNCTION("INDEX(SPLIT(A2159, ""/""), 3)"),"کانون شعر و ادب")</f>
        <v>کانون شعر و ادب</v>
      </c>
      <c r="V2159" s="1" t="str">
        <f>IFERROR(__xludf.DUMMYFUNCTION("INDEX(SPLIT(A2159, ""/""), 4)"),"بامداد")</f>
        <v>بامداد</v>
      </c>
    </row>
    <row r="2160">
      <c r="A2160" s="1" t="s">
        <v>6532</v>
      </c>
      <c r="B2160" s="1" t="s">
        <v>6554</v>
      </c>
      <c r="C2160" s="1" t="s">
        <v>21</v>
      </c>
      <c r="D2160" s="4" t="s">
        <v>6555</v>
      </c>
      <c r="E2160" s="1" t="s">
        <v>6509</v>
      </c>
      <c r="F2160" s="1" t="s">
        <v>6551</v>
      </c>
      <c r="G2160" s="1" t="s">
        <v>6538</v>
      </c>
      <c r="H2160" s="1" t="s">
        <v>753</v>
      </c>
      <c r="I2160" s="1" t="str">
        <f t="shared" si="1"/>
        <v>x</v>
      </c>
      <c r="J2160" s="5"/>
      <c r="K2160" s="1" t="str">
        <f t="shared" si="2"/>
        <v>12</v>
      </c>
      <c r="L2160" s="5"/>
      <c r="M2160" s="2" t="str">
        <f t="shared" si="3"/>
        <v>1395</v>
      </c>
      <c r="N2160" s="5"/>
      <c r="O2160" s="2">
        <v>10.0</v>
      </c>
      <c r="P2160" s="5"/>
      <c r="Q2160" s="5"/>
      <c r="R2160" s="6" t="s">
        <v>754</v>
      </c>
      <c r="S2160" s="1" t="s">
        <v>6556</v>
      </c>
      <c r="T2160" s="1" t="str">
        <f>IFERROR(__xludf.DUMMYFUNCTION("INDEX(SPLIT(A2160, ""/""), 2)"),"کانون‌های فرهنگی هنری")</f>
        <v>کانون‌های فرهنگی هنری</v>
      </c>
      <c r="U2160" s="1" t="str">
        <f>IFERROR(__xludf.DUMMYFUNCTION("INDEX(SPLIT(A2160, ""/""), 3)"),"کانون شعر و ادب")</f>
        <v>کانون شعر و ادب</v>
      </c>
      <c r="V2160" s="1" t="str">
        <f>IFERROR(__xludf.DUMMYFUNCTION("INDEX(SPLIT(A2160, ""/""), 4)"),"بامداد")</f>
        <v>بامداد</v>
      </c>
    </row>
    <row r="2161">
      <c r="A2161" s="1" t="s">
        <v>6532</v>
      </c>
      <c r="B2161" s="1" t="s">
        <v>6557</v>
      </c>
      <c r="C2161" s="1" t="s">
        <v>21</v>
      </c>
      <c r="D2161" s="4" t="s">
        <v>6558</v>
      </c>
      <c r="E2161" s="1" t="s">
        <v>6509</v>
      </c>
      <c r="F2161" s="1" t="s">
        <v>6551</v>
      </c>
      <c r="G2161" s="1" t="s">
        <v>6538</v>
      </c>
      <c r="H2161" s="1" t="s">
        <v>753</v>
      </c>
      <c r="I2161" s="1" t="str">
        <f t="shared" si="1"/>
        <v>x</v>
      </c>
      <c r="J2161" s="5"/>
      <c r="K2161" s="1" t="str">
        <f t="shared" si="2"/>
        <v>12</v>
      </c>
      <c r="L2161" s="5"/>
      <c r="M2161" s="2" t="str">
        <f t="shared" si="3"/>
        <v>1395</v>
      </c>
      <c r="N2161" s="5"/>
      <c r="O2161" s="2">
        <v>11.0</v>
      </c>
      <c r="P2161" s="5"/>
      <c r="Q2161" s="5"/>
      <c r="R2161" s="6" t="s">
        <v>754</v>
      </c>
      <c r="S2161" s="1" t="s">
        <v>6559</v>
      </c>
      <c r="T2161" s="1" t="str">
        <f>IFERROR(__xludf.DUMMYFUNCTION("INDEX(SPLIT(A2161, ""/""), 2)"),"کانون‌های فرهنگی هنری")</f>
        <v>کانون‌های فرهنگی هنری</v>
      </c>
      <c r="U2161" s="1" t="str">
        <f>IFERROR(__xludf.DUMMYFUNCTION("INDEX(SPLIT(A2161, ""/""), 3)"),"کانون شعر و ادب")</f>
        <v>کانون شعر و ادب</v>
      </c>
      <c r="V2161" s="1" t="str">
        <f>IFERROR(__xludf.DUMMYFUNCTION("INDEX(SPLIT(A2161, ""/""), 4)"),"بامداد")</f>
        <v>بامداد</v>
      </c>
    </row>
    <row r="2162">
      <c r="A2162" s="1" t="s">
        <v>6532</v>
      </c>
      <c r="B2162" s="1" t="s">
        <v>6560</v>
      </c>
      <c r="C2162" s="1" t="s">
        <v>21</v>
      </c>
      <c r="D2162" s="4" t="s">
        <v>6561</v>
      </c>
      <c r="E2162" s="1" t="s">
        <v>6509</v>
      </c>
      <c r="F2162" s="1" t="s">
        <v>6551</v>
      </c>
      <c r="G2162" s="1" t="s">
        <v>6562</v>
      </c>
      <c r="H2162" s="1" t="s">
        <v>256</v>
      </c>
      <c r="I2162" s="1" t="str">
        <f t="shared" si="1"/>
        <v>x</v>
      </c>
      <c r="J2162" s="5"/>
      <c r="K2162" s="1" t="str">
        <f t="shared" si="2"/>
        <v>2</v>
      </c>
      <c r="L2162" s="5"/>
      <c r="M2162" s="2" t="str">
        <f t="shared" si="3"/>
        <v>1396</v>
      </c>
      <c r="N2162" s="5"/>
      <c r="O2162" s="2">
        <v>13.0</v>
      </c>
      <c r="P2162" s="5"/>
      <c r="Q2162" s="5"/>
      <c r="R2162" s="6" t="s">
        <v>257</v>
      </c>
      <c r="S2162" s="1" t="s">
        <v>6563</v>
      </c>
      <c r="T2162" s="1" t="str">
        <f>IFERROR(__xludf.DUMMYFUNCTION("INDEX(SPLIT(A2162, ""/""), 2)"),"کانون‌های فرهنگی هنری")</f>
        <v>کانون‌های فرهنگی هنری</v>
      </c>
      <c r="U2162" s="1" t="str">
        <f>IFERROR(__xludf.DUMMYFUNCTION("INDEX(SPLIT(A2162, ""/""), 3)"),"کانون شعر و ادب")</f>
        <v>کانون شعر و ادب</v>
      </c>
      <c r="V2162" s="1" t="str">
        <f>IFERROR(__xludf.DUMMYFUNCTION("INDEX(SPLIT(A2162, ""/""), 4)"),"بامداد")</f>
        <v>بامداد</v>
      </c>
    </row>
    <row r="2163">
      <c r="A2163" s="1" t="s">
        <v>6532</v>
      </c>
      <c r="B2163" s="1" t="s">
        <v>6564</v>
      </c>
      <c r="C2163" s="1" t="s">
        <v>21</v>
      </c>
      <c r="D2163" s="4" t="s">
        <v>6565</v>
      </c>
      <c r="E2163" s="1" t="s">
        <v>6509</v>
      </c>
      <c r="F2163" s="1" t="s">
        <v>6562</v>
      </c>
      <c r="G2163" s="1" t="s">
        <v>6566</v>
      </c>
      <c r="H2163" s="1" t="s">
        <v>270</v>
      </c>
      <c r="I2163" s="1" t="str">
        <f t="shared" si="1"/>
        <v>x</v>
      </c>
      <c r="J2163" s="5"/>
      <c r="K2163" s="1" t="str">
        <f t="shared" si="2"/>
        <v>7</v>
      </c>
      <c r="L2163" s="5"/>
      <c r="M2163" s="2" t="str">
        <f t="shared" si="3"/>
        <v>1396</v>
      </c>
      <c r="N2163" s="5"/>
      <c r="O2163" s="2">
        <v>14.0</v>
      </c>
      <c r="P2163" s="5"/>
      <c r="Q2163" s="5"/>
      <c r="R2163" s="6" t="s">
        <v>271</v>
      </c>
      <c r="S2163" s="1" t="s">
        <v>6567</v>
      </c>
      <c r="T2163" s="1" t="str">
        <f>IFERROR(__xludf.DUMMYFUNCTION("INDEX(SPLIT(A2163, ""/""), 2)"),"کانون‌های فرهنگی هنری")</f>
        <v>کانون‌های فرهنگی هنری</v>
      </c>
      <c r="U2163" s="1" t="str">
        <f>IFERROR(__xludf.DUMMYFUNCTION("INDEX(SPLIT(A2163, ""/""), 3)"),"کانون شعر و ادب")</f>
        <v>کانون شعر و ادب</v>
      </c>
      <c r="V2163" s="1" t="str">
        <f>IFERROR(__xludf.DUMMYFUNCTION("INDEX(SPLIT(A2163, ""/""), 4)"),"بامداد")</f>
        <v>بامداد</v>
      </c>
    </row>
    <row r="2164">
      <c r="A2164" s="1" t="s">
        <v>6532</v>
      </c>
      <c r="B2164" s="1" t="s">
        <v>6568</v>
      </c>
      <c r="C2164" s="1" t="s">
        <v>21</v>
      </c>
      <c r="D2164" s="4" t="s">
        <v>6569</v>
      </c>
      <c r="E2164" s="1" t="s">
        <v>6509</v>
      </c>
      <c r="F2164" s="1" t="s">
        <v>6551</v>
      </c>
      <c r="G2164" s="1" t="s">
        <v>6562</v>
      </c>
      <c r="H2164" s="1" t="s">
        <v>274</v>
      </c>
      <c r="I2164" s="1" t="str">
        <f t="shared" si="1"/>
        <v>x</v>
      </c>
      <c r="J2164" s="5"/>
      <c r="K2164" s="1" t="str">
        <f t="shared" si="2"/>
        <v>8</v>
      </c>
      <c r="L2164" s="5"/>
      <c r="M2164" s="2" t="str">
        <f t="shared" si="3"/>
        <v>1396</v>
      </c>
      <c r="N2164" s="5"/>
      <c r="O2164" s="2">
        <v>15.0</v>
      </c>
      <c r="P2164" s="5"/>
      <c r="Q2164" s="5"/>
      <c r="R2164" s="6" t="s">
        <v>275</v>
      </c>
      <c r="S2164" s="1" t="s">
        <v>6570</v>
      </c>
      <c r="T2164" s="1" t="str">
        <f>IFERROR(__xludf.DUMMYFUNCTION("INDEX(SPLIT(A2164, ""/""), 2)"),"کانون‌های فرهنگی هنری")</f>
        <v>کانون‌های فرهنگی هنری</v>
      </c>
      <c r="U2164" s="1" t="str">
        <f>IFERROR(__xludf.DUMMYFUNCTION("INDEX(SPLIT(A2164, ""/""), 3)"),"کانون شعر و ادب")</f>
        <v>کانون شعر و ادب</v>
      </c>
      <c r="V2164" s="1" t="str">
        <f>IFERROR(__xludf.DUMMYFUNCTION("INDEX(SPLIT(A2164, ""/""), 4)"),"بامداد")</f>
        <v>بامداد</v>
      </c>
    </row>
    <row r="2165">
      <c r="A2165" s="1" t="s">
        <v>6532</v>
      </c>
      <c r="B2165" s="1" t="s">
        <v>6571</v>
      </c>
      <c r="C2165" s="1" t="s">
        <v>21</v>
      </c>
      <c r="D2165" s="4" t="s">
        <v>6572</v>
      </c>
      <c r="E2165" s="1" t="s">
        <v>6509</v>
      </c>
      <c r="F2165" s="1" t="s">
        <v>6562</v>
      </c>
      <c r="G2165" s="1" t="s">
        <v>6566</v>
      </c>
      <c r="H2165" s="1" t="s">
        <v>278</v>
      </c>
      <c r="I2165" s="1" t="str">
        <f t="shared" si="1"/>
        <v>x</v>
      </c>
      <c r="J2165" s="5"/>
      <c r="K2165" s="1" t="str">
        <f t="shared" si="2"/>
        <v>9</v>
      </c>
      <c r="L2165" s="5"/>
      <c r="M2165" s="2" t="str">
        <f t="shared" si="3"/>
        <v>1396</v>
      </c>
      <c r="N2165" s="5"/>
      <c r="O2165" s="2">
        <v>16.0</v>
      </c>
      <c r="P2165" s="5"/>
      <c r="Q2165" s="5"/>
      <c r="R2165" s="6" t="s">
        <v>279</v>
      </c>
      <c r="S2165" s="5"/>
      <c r="T2165" s="1" t="str">
        <f>IFERROR(__xludf.DUMMYFUNCTION("INDEX(SPLIT(A2165, ""/""), 2)"),"کانون‌های فرهنگی هنری")</f>
        <v>کانون‌های فرهنگی هنری</v>
      </c>
      <c r="U2165" s="1" t="str">
        <f>IFERROR(__xludf.DUMMYFUNCTION("INDEX(SPLIT(A2165, ""/""), 3)"),"کانون شعر و ادب")</f>
        <v>کانون شعر و ادب</v>
      </c>
      <c r="V2165" s="1" t="str">
        <f>IFERROR(__xludf.DUMMYFUNCTION("INDEX(SPLIT(A2165, ""/""), 4)"),"بامداد")</f>
        <v>بامداد</v>
      </c>
    </row>
    <row r="2166">
      <c r="A2166" s="1" t="s">
        <v>6532</v>
      </c>
      <c r="B2166" s="1" t="s">
        <v>6573</v>
      </c>
      <c r="C2166" s="1" t="s">
        <v>21</v>
      </c>
      <c r="D2166" s="4" t="s">
        <v>6574</v>
      </c>
      <c r="E2166" s="1" t="s">
        <v>6509</v>
      </c>
      <c r="F2166" s="1" t="s">
        <v>6562</v>
      </c>
      <c r="G2166" s="1" t="s">
        <v>6566</v>
      </c>
      <c r="H2166" s="1" t="s">
        <v>287</v>
      </c>
      <c r="I2166" s="1" t="str">
        <f t="shared" si="1"/>
        <v>x</v>
      </c>
      <c r="J2166" s="5"/>
      <c r="K2166" s="1" t="str">
        <f t="shared" si="2"/>
        <v>12</v>
      </c>
      <c r="L2166" s="5"/>
      <c r="M2166" s="2" t="str">
        <f t="shared" si="3"/>
        <v>1396</v>
      </c>
      <c r="N2166" s="5"/>
      <c r="O2166" s="2">
        <v>17.0</v>
      </c>
      <c r="P2166" s="5"/>
      <c r="Q2166" s="5"/>
      <c r="R2166" s="6" t="s">
        <v>288</v>
      </c>
      <c r="S2166" s="5"/>
      <c r="T2166" s="1" t="str">
        <f>IFERROR(__xludf.DUMMYFUNCTION("INDEX(SPLIT(A2166, ""/""), 2)"),"کانون‌های فرهنگی هنری")</f>
        <v>کانون‌های فرهنگی هنری</v>
      </c>
      <c r="U2166" s="1" t="str">
        <f>IFERROR(__xludf.DUMMYFUNCTION("INDEX(SPLIT(A2166, ""/""), 3)"),"کانون شعر و ادب")</f>
        <v>کانون شعر و ادب</v>
      </c>
      <c r="V2166" s="1" t="str">
        <f>IFERROR(__xludf.DUMMYFUNCTION("INDEX(SPLIT(A2166, ""/""), 4)"),"بامداد")</f>
        <v>بامداد</v>
      </c>
    </row>
    <row r="2167">
      <c r="A2167" s="1" t="s">
        <v>6532</v>
      </c>
      <c r="B2167" s="1" t="s">
        <v>6575</v>
      </c>
      <c r="C2167" s="1" t="s">
        <v>21</v>
      </c>
      <c r="D2167" s="4" t="s">
        <v>6576</v>
      </c>
      <c r="E2167" s="1" t="s">
        <v>6509</v>
      </c>
      <c r="F2167" s="1" t="s">
        <v>6562</v>
      </c>
      <c r="G2167" s="1" t="s">
        <v>6577</v>
      </c>
      <c r="H2167" s="1" t="s">
        <v>2012</v>
      </c>
      <c r="I2167" s="1" t="str">
        <f t="shared" si="1"/>
        <v>x</v>
      </c>
      <c r="J2167" s="5"/>
      <c r="K2167" s="1" t="str">
        <f t="shared" si="2"/>
        <v>1</v>
      </c>
      <c r="L2167" s="5"/>
      <c r="M2167" s="2" t="str">
        <f t="shared" si="3"/>
        <v>1397</v>
      </c>
      <c r="N2167" s="5"/>
      <c r="O2167" s="2">
        <v>18.0</v>
      </c>
      <c r="P2167" s="5"/>
      <c r="Q2167" s="5"/>
      <c r="R2167" s="6" t="s">
        <v>2013</v>
      </c>
      <c r="S2167" s="5"/>
      <c r="T2167" s="1" t="str">
        <f>IFERROR(__xludf.DUMMYFUNCTION("INDEX(SPLIT(A2167, ""/""), 2)"),"کانون‌های فرهنگی هنری")</f>
        <v>کانون‌های فرهنگی هنری</v>
      </c>
      <c r="U2167" s="1" t="str">
        <f>IFERROR(__xludf.DUMMYFUNCTION("INDEX(SPLIT(A2167, ""/""), 3)"),"کانون شعر و ادب")</f>
        <v>کانون شعر و ادب</v>
      </c>
      <c r="V2167" s="1" t="str">
        <f>IFERROR(__xludf.DUMMYFUNCTION("INDEX(SPLIT(A2167, ""/""), 4)"),"بامداد")</f>
        <v>بامداد</v>
      </c>
    </row>
    <row r="2168">
      <c r="A2168" s="1" t="s">
        <v>6532</v>
      </c>
      <c r="B2168" s="1" t="s">
        <v>6578</v>
      </c>
      <c r="C2168" s="1" t="s">
        <v>21</v>
      </c>
      <c r="D2168" s="4" t="s">
        <v>6579</v>
      </c>
      <c r="E2168" s="1" t="s">
        <v>6509</v>
      </c>
      <c r="F2168" s="1" t="s">
        <v>6562</v>
      </c>
      <c r="G2168" s="1" t="s">
        <v>6577</v>
      </c>
      <c r="H2168" s="1" t="s">
        <v>2313</v>
      </c>
      <c r="I2168" s="1" t="str">
        <f t="shared" si="1"/>
        <v>x</v>
      </c>
      <c r="J2168" s="5"/>
      <c r="K2168" s="1" t="str">
        <f t="shared" si="2"/>
        <v>2</v>
      </c>
      <c r="L2168" s="5"/>
      <c r="M2168" s="2" t="str">
        <f t="shared" si="3"/>
        <v>1397</v>
      </c>
      <c r="N2168" s="5"/>
      <c r="O2168" s="2">
        <v>19.0</v>
      </c>
      <c r="P2168" s="5"/>
      <c r="Q2168" s="5"/>
      <c r="R2168" s="6" t="s">
        <v>2314</v>
      </c>
      <c r="S2168" s="5"/>
      <c r="T2168" s="1" t="str">
        <f>IFERROR(__xludf.DUMMYFUNCTION("INDEX(SPLIT(A2168, ""/""), 2)"),"کانون‌های فرهنگی هنری")</f>
        <v>کانون‌های فرهنگی هنری</v>
      </c>
      <c r="U2168" s="1" t="str">
        <f>IFERROR(__xludf.DUMMYFUNCTION("INDEX(SPLIT(A2168, ""/""), 3)"),"کانون شعر و ادب")</f>
        <v>کانون شعر و ادب</v>
      </c>
      <c r="V2168" s="1" t="str">
        <f>IFERROR(__xludf.DUMMYFUNCTION("INDEX(SPLIT(A2168, ""/""), 4)"),"بامداد")</f>
        <v>بامداد</v>
      </c>
    </row>
    <row r="2169">
      <c r="A2169" s="1" t="s">
        <v>6532</v>
      </c>
      <c r="B2169" s="1" t="s">
        <v>6580</v>
      </c>
      <c r="C2169" s="1" t="s">
        <v>21</v>
      </c>
      <c r="D2169" s="4" t="s">
        <v>6581</v>
      </c>
      <c r="E2169" s="1" t="s">
        <v>6509</v>
      </c>
      <c r="F2169" s="1" t="s">
        <v>6562</v>
      </c>
      <c r="G2169" s="1" t="s">
        <v>6577</v>
      </c>
      <c r="H2169" s="1" t="s">
        <v>2756</v>
      </c>
      <c r="I2169" s="1" t="str">
        <f t="shared" si="1"/>
        <v>x</v>
      </c>
      <c r="J2169" s="5"/>
      <c r="K2169" s="1" t="str">
        <f t="shared" si="2"/>
        <v>5</v>
      </c>
      <c r="L2169" s="5"/>
      <c r="M2169" s="2" t="str">
        <f t="shared" si="3"/>
        <v>1397</v>
      </c>
      <c r="N2169" s="5"/>
      <c r="O2169" s="2">
        <v>20.0</v>
      </c>
      <c r="P2169" s="5"/>
      <c r="Q2169" s="5"/>
      <c r="R2169" s="6" t="s">
        <v>2757</v>
      </c>
      <c r="S2169" s="5"/>
      <c r="T2169" s="1" t="str">
        <f>IFERROR(__xludf.DUMMYFUNCTION("INDEX(SPLIT(A2169, ""/""), 2)"),"کانون‌های فرهنگی هنری")</f>
        <v>کانون‌های فرهنگی هنری</v>
      </c>
      <c r="U2169" s="1" t="str">
        <f>IFERROR(__xludf.DUMMYFUNCTION("INDEX(SPLIT(A2169, ""/""), 3)"),"کانون شعر و ادب")</f>
        <v>کانون شعر و ادب</v>
      </c>
      <c r="V2169" s="1" t="str">
        <f>IFERROR(__xludf.DUMMYFUNCTION("INDEX(SPLIT(A2169, ""/""), 4)"),"بامداد")</f>
        <v>بامداد</v>
      </c>
    </row>
    <row r="2170">
      <c r="A2170" s="1" t="s">
        <v>6532</v>
      </c>
      <c r="B2170" s="1" t="s">
        <v>6582</v>
      </c>
      <c r="C2170" s="1" t="s">
        <v>21</v>
      </c>
      <c r="D2170" s="4" t="s">
        <v>6583</v>
      </c>
      <c r="E2170" s="1" t="s">
        <v>6509</v>
      </c>
      <c r="F2170" s="1" t="s">
        <v>6562</v>
      </c>
      <c r="G2170" s="1" t="s">
        <v>6577</v>
      </c>
      <c r="H2170" s="1" t="s">
        <v>343</v>
      </c>
      <c r="I2170" s="1" t="str">
        <f t="shared" si="1"/>
        <v>x</v>
      </c>
      <c r="J2170" s="5"/>
      <c r="K2170" s="1" t="str">
        <f t="shared" si="2"/>
        <v>6</v>
      </c>
      <c r="L2170" s="5"/>
      <c r="M2170" s="2" t="str">
        <f t="shared" si="3"/>
        <v>1397</v>
      </c>
      <c r="N2170" s="5"/>
      <c r="O2170" s="2">
        <v>21.0</v>
      </c>
      <c r="P2170" s="5"/>
      <c r="Q2170" s="5"/>
      <c r="R2170" s="6" t="s">
        <v>344</v>
      </c>
      <c r="S2170" s="5"/>
      <c r="T2170" s="1" t="str">
        <f>IFERROR(__xludf.DUMMYFUNCTION("INDEX(SPLIT(A2170, ""/""), 2)"),"کانون‌های فرهنگی هنری")</f>
        <v>کانون‌های فرهنگی هنری</v>
      </c>
      <c r="U2170" s="1" t="str">
        <f>IFERROR(__xludf.DUMMYFUNCTION("INDEX(SPLIT(A2170, ""/""), 3)"),"کانون شعر و ادب")</f>
        <v>کانون شعر و ادب</v>
      </c>
      <c r="V2170" s="1" t="str">
        <f>IFERROR(__xludf.DUMMYFUNCTION("INDEX(SPLIT(A2170, ""/""), 4)"),"بامداد")</f>
        <v>بامداد</v>
      </c>
    </row>
    <row r="2171">
      <c r="A2171" s="1" t="s">
        <v>6532</v>
      </c>
      <c r="B2171" s="1" t="s">
        <v>6584</v>
      </c>
      <c r="C2171" s="1" t="s">
        <v>21</v>
      </c>
      <c r="D2171" s="4" t="s">
        <v>6585</v>
      </c>
      <c r="E2171" s="1" t="s">
        <v>6509</v>
      </c>
      <c r="F2171" s="1" t="s">
        <v>6577</v>
      </c>
      <c r="G2171" s="1" t="s">
        <v>6586</v>
      </c>
      <c r="H2171" s="1" t="s">
        <v>308</v>
      </c>
      <c r="I2171" s="1" t="str">
        <f t="shared" si="1"/>
        <v>x</v>
      </c>
      <c r="J2171" s="5"/>
      <c r="K2171" s="1" t="str">
        <f t="shared" si="2"/>
        <v>7</v>
      </c>
      <c r="L2171" s="5"/>
      <c r="M2171" s="2" t="str">
        <f t="shared" si="3"/>
        <v>1397</v>
      </c>
      <c r="N2171" s="5"/>
      <c r="O2171" s="2">
        <v>22.0</v>
      </c>
      <c r="P2171" s="5"/>
      <c r="Q2171" s="5"/>
      <c r="R2171" s="6" t="s">
        <v>309</v>
      </c>
      <c r="S2171" s="5"/>
      <c r="T2171" s="1" t="str">
        <f>IFERROR(__xludf.DUMMYFUNCTION("INDEX(SPLIT(A2171, ""/""), 2)"),"کانون‌های فرهنگی هنری")</f>
        <v>کانون‌های فرهنگی هنری</v>
      </c>
      <c r="U2171" s="1" t="str">
        <f>IFERROR(__xludf.DUMMYFUNCTION("INDEX(SPLIT(A2171, ""/""), 3)"),"کانون شعر و ادب")</f>
        <v>کانون شعر و ادب</v>
      </c>
      <c r="V2171" s="1" t="str">
        <f>IFERROR(__xludf.DUMMYFUNCTION("INDEX(SPLIT(A2171, ""/""), 4)"),"بامداد")</f>
        <v>بامداد</v>
      </c>
    </row>
    <row r="2172">
      <c r="A2172" s="1" t="s">
        <v>6532</v>
      </c>
      <c r="B2172" s="1" t="s">
        <v>6587</v>
      </c>
      <c r="C2172" s="1" t="s">
        <v>21</v>
      </c>
      <c r="D2172" s="4" t="s">
        <v>6588</v>
      </c>
      <c r="E2172" s="1" t="s">
        <v>6509</v>
      </c>
      <c r="F2172" s="1" t="s">
        <v>6577</v>
      </c>
      <c r="G2172" s="1" t="s">
        <v>6586</v>
      </c>
      <c r="H2172" s="1" t="s">
        <v>313</v>
      </c>
      <c r="I2172" s="1" t="str">
        <f t="shared" si="1"/>
        <v>x</v>
      </c>
      <c r="J2172" s="5"/>
      <c r="K2172" s="1" t="str">
        <f t="shared" si="2"/>
        <v>8</v>
      </c>
      <c r="L2172" s="5"/>
      <c r="M2172" s="2" t="str">
        <f t="shared" si="3"/>
        <v>1397</v>
      </c>
      <c r="N2172" s="5"/>
      <c r="O2172" s="2">
        <v>23.0</v>
      </c>
      <c r="P2172" s="5"/>
      <c r="Q2172" s="5"/>
      <c r="R2172" s="6" t="s">
        <v>314</v>
      </c>
      <c r="S2172" s="5"/>
      <c r="T2172" s="1" t="str">
        <f>IFERROR(__xludf.DUMMYFUNCTION("INDEX(SPLIT(A2172, ""/""), 2)"),"کانون‌های فرهنگی هنری")</f>
        <v>کانون‌های فرهنگی هنری</v>
      </c>
      <c r="U2172" s="1" t="str">
        <f>IFERROR(__xludf.DUMMYFUNCTION("INDEX(SPLIT(A2172, ""/""), 3)"),"کانون شعر و ادب")</f>
        <v>کانون شعر و ادب</v>
      </c>
      <c r="V2172" s="1" t="str">
        <f>IFERROR(__xludf.DUMMYFUNCTION("INDEX(SPLIT(A2172, ""/""), 4)"),"بامداد")</f>
        <v>بامداد</v>
      </c>
    </row>
    <row r="2173">
      <c r="A2173" s="1" t="s">
        <v>6532</v>
      </c>
      <c r="B2173" s="1" t="s">
        <v>6589</v>
      </c>
      <c r="C2173" s="1" t="s">
        <v>21</v>
      </c>
      <c r="D2173" s="4" t="s">
        <v>6590</v>
      </c>
      <c r="E2173" s="1" t="s">
        <v>6509</v>
      </c>
      <c r="F2173" s="1" t="s">
        <v>6577</v>
      </c>
      <c r="G2173" s="1" t="s">
        <v>6586</v>
      </c>
      <c r="H2173" s="1" t="s">
        <v>317</v>
      </c>
      <c r="I2173" s="1" t="str">
        <f t="shared" si="1"/>
        <v>x</v>
      </c>
      <c r="J2173" s="5"/>
      <c r="K2173" s="1" t="str">
        <f t="shared" si="2"/>
        <v>9</v>
      </c>
      <c r="L2173" s="5"/>
      <c r="M2173" s="2" t="str">
        <f t="shared" si="3"/>
        <v>1397</v>
      </c>
      <c r="N2173" s="5"/>
      <c r="O2173" s="2">
        <v>24.0</v>
      </c>
      <c r="P2173" s="5"/>
      <c r="Q2173" s="5"/>
      <c r="R2173" s="6" t="s">
        <v>318</v>
      </c>
      <c r="S2173" s="5"/>
      <c r="T2173" s="1" t="str">
        <f>IFERROR(__xludf.DUMMYFUNCTION("INDEX(SPLIT(A2173, ""/""), 2)"),"کانون‌های فرهنگی هنری")</f>
        <v>کانون‌های فرهنگی هنری</v>
      </c>
      <c r="U2173" s="1" t="str">
        <f>IFERROR(__xludf.DUMMYFUNCTION("INDEX(SPLIT(A2173, ""/""), 3)"),"کانون شعر و ادب")</f>
        <v>کانون شعر و ادب</v>
      </c>
      <c r="V2173" s="1" t="str">
        <f>IFERROR(__xludf.DUMMYFUNCTION("INDEX(SPLIT(A2173, ""/""), 4)"),"بامداد")</f>
        <v>بامداد</v>
      </c>
    </row>
    <row r="2174">
      <c r="A2174" s="1" t="s">
        <v>6532</v>
      </c>
      <c r="B2174" s="1" t="s">
        <v>6591</v>
      </c>
      <c r="C2174" s="1" t="s">
        <v>21</v>
      </c>
      <c r="D2174" s="4" t="s">
        <v>6592</v>
      </c>
      <c r="E2174" s="1" t="s">
        <v>6509</v>
      </c>
      <c r="F2174" s="1" t="s">
        <v>6577</v>
      </c>
      <c r="G2174" s="1" t="s">
        <v>6593</v>
      </c>
      <c r="H2174" s="1" t="s">
        <v>177</v>
      </c>
      <c r="I2174" s="1" t="str">
        <f t="shared" si="1"/>
        <v>x</v>
      </c>
      <c r="J2174" s="5"/>
      <c r="K2174" s="1" t="str">
        <f t="shared" si="2"/>
        <v>11</v>
      </c>
      <c r="L2174" s="5"/>
      <c r="M2174" s="2" t="str">
        <f t="shared" si="3"/>
        <v>1397</v>
      </c>
      <c r="N2174" s="5"/>
      <c r="O2174" s="2">
        <v>25.0</v>
      </c>
      <c r="P2174" s="5"/>
      <c r="Q2174" s="5"/>
      <c r="R2174" s="6" t="s">
        <v>178</v>
      </c>
      <c r="S2174" s="5"/>
      <c r="T2174" s="1" t="str">
        <f>IFERROR(__xludf.DUMMYFUNCTION("INDEX(SPLIT(A2174, ""/""), 2)"),"کانون‌های فرهنگی هنری")</f>
        <v>کانون‌های فرهنگی هنری</v>
      </c>
      <c r="U2174" s="1" t="str">
        <f>IFERROR(__xludf.DUMMYFUNCTION("INDEX(SPLIT(A2174, ""/""), 3)"),"کانون شعر و ادب")</f>
        <v>کانون شعر و ادب</v>
      </c>
      <c r="V2174" s="1" t="str">
        <f>IFERROR(__xludf.DUMMYFUNCTION("INDEX(SPLIT(A2174, ""/""), 4)"),"بامداد")</f>
        <v>بامداد</v>
      </c>
    </row>
    <row r="2175">
      <c r="A2175" s="1" t="s">
        <v>6532</v>
      </c>
      <c r="B2175" s="1" t="s">
        <v>6594</v>
      </c>
      <c r="C2175" s="1" t="s">
        <v>21</v>
      </c>
      <c r="D2175" s="4" t="s">
        <v>6595</v>
      </c>
      <c r="E2175" s="1" t="s">
        <v>6509</v>
      </c>
      <c r="F2175" s="1" t="s">
        <v>6577</v>
      </c>
      <c r="G2175" s="1" t="s">
        <v>6593</v>
      </c>
      <c r="H2175" s="1" t="s">
        <v>181</v>
      </c>
      <c r="I2175" s="1" t="str">
        <f t="shared" si="1"/>
        <v>x</v>
      </c>
      <c r="J2175" s="5"/>
      <c r="K2175" s="1" t="str">
        <f t="shared" si="2"/>
        <v>12</v>
      </c>
      <c r="L2175" s="5"/>
      <c r="M2175" s="2" t="str">
        <f t="shared" si="3"/>
        <v>1397</v>
      </c>
      <c r="N2175" s="5"/>
      <c r="O2175" s="2">
        <v>26.0</v>
      </c>
      <c r="P2175" s="5"/>
      <c r="Q2175" s="5"/>
      <c r="R2175" s="6" t="s">
        <v>182</v>
      </c>
      <c r="S2175" s="5"/>
      <c r="T2175" s="1" t="str">
        <f>IFERROR(__xludf.DUMMYFUNCTION("INDEX(SPLIT(A2175, ""/""), 2)"),"کانون‌های فرهنگی هنری")</f>
        <v>کانون‌های فرهنگی هنری</v>
      </c>
      <c r="U2175" s="1" t="str">
        <f>IFERROR(__xludf.DUMMYFUNCTION("INDEX(SPLIT(A2175, ""/""), 3)"),"کانون شعر و ادب")</f>
        <v>کانون شعر و ادب</v>
      </c>
      <c r="V2175" s="1" t="str">
        <f>IFERROR(__xludf.DUMMYFUNCTION("INDEX(SPLIT(A2175, ""/""), 4)"),"بامداد")</f>
        <v>بامداد</v>
      </c>
    </row>
    <row r="2176">
      <c r="A2176" s="1" t="s">
        <v>6532</v>
      </c>
      <c r="B2176" s="1" t="s">
        <v>6596</v>
      </c>
      <c r="C2176" s="1" t="s">
        <v>21</v>
      </c>
      <c r="D2176" s="4" t="s">
        <v>6597</v>
      </c>
      <c r="E2176" s="1" t="s">
        <v>6509</v>
      </c>
      <c r="F2176" s="1" t="s">
        <v>6577</v>
      </c>
      <c r="G2176" s="1" t="s">
        <v>6593</v>
      </c>
      <c r="H2176" s="1" t="s">
        <v>185</v>
      </c>
      <c r="I2176" s="1" t="str">
        <f t="shared" si="1"/>
        <v>x</v>
      </c>
      <c r="J2176" s="5"/>
      <c r="K2176" s="1" t="str">
        <f t="shared" si="2"/>
        <v>1</v>
      </c>
      <c r="L2176" s="5"/>
      <c r="M2176" s="2" t="str">
        <f t="shared" si="3"/>
        <v>1398</v>
      </c>
      <c r="N2176" s="5"/>
      <c r="O2176" s="2">
        <v>27.0</v>
      </c>
      <c r="P2176" s="5"/>
      <c r="Q2176" s="5"/>
      <c r="R2176" s="6" t="s">
        <v>186</v>
      </c>
      <c r="S2176" s="5"/>
      <c r="T2176" s="1" t="str">
        <f>IFERROR(__xludf.DUMMYFUNCTION("INDEX(SPLIT(A2176, ""/""), 2)"),"کانون‌های فرهنگی هنری")</f>
        <v>کانون‌های فرهنگی هنری</v>
      </c>
      <c r="U2176" s="1" t="str">
        <f>IFERROR(__xludf.DUMMYFUNCTION("INDEX(SPLIT(A2176, ""/""), 3)"),"کانون شعر و ادب")</f>
        <v>کانون شعر و ادب</v>
      </c>
      <c r="V2176" s="1" t="str">
        <f>IFERROR(__xludf.DUMMYFUNCTION("INDEX(SPLIT(A2176, ""/""), 4)"),"بامداد")</f>
        <v>بامداد</v>
      </c>
    </row>
    <row r="2177">
      <c r="A2177" s="1" t="s">
        <v>6532</v>
      </c>
      <c r="B2177" s="1" t="s">
        <v>6598</v>
      </c>
      <c r="C2177" s="1" t="s">
        <v>21</v>
      </c>
      <c r="D2177" s="4" t="s">
        <v>6599</v>
      </c>
      <c r="E2177" s="1" t="s">
        <v>6509</v>
      </c>
      <c r="F2177" s="1" t="s">
        <v>6577</v>
      </c>
      <c r="G2177" s="1" t="s">
        <v>6593</v>
      </c>
      <c r="H2177" s="1" t="s">
        <v>329</v>
      </c>
      <c r="I2177" s="1" t="str">
        <f t="shared" si="1"/>
        <v>x</v>
      </c>
      <c r="J2177" s="5"/>
      <c r="K2177" s="1" t="str">
        <f t="shared" si="2"/>
        <v>2</v>
      </c>
      <c r="L2177" s="5"/>
      <c r="M2177" s="2" t="str">
        <f t="shared" si="3"/>
        <v>1398</v>
      </c>
      <c r="N2177" s="5"/>
      <c r="O2177" s="2">
        <v>28.0</v>
      </c>
      <c r="P2177" s="5"/>
      <c r="Q2177" s="5"/>
      <c r="R2177" s="6" t="s">
        <v>330</v>
      </c>
      <c r="S2177" s="5"/>
      <c r="T2177" s="1" t="str">
        <f>IFERROR(__xludf.DUMMYFUNCTION("INDEX(SPLIT(A2177, ""/""), 2)"),"کانون‌های فرهنگی هنری")</f>
        <v>کانون‌های فرهنگی هنری</v>
      </c>
      <c r="U2177" s="1" t="str">
        <f>IFERROR(__xludf.DUMMYFUNCTION("INDEX(SPLIT(A2177, ""/""), 3)"),"کانون شعر و ادب")</f>
        <v>کانون شعر و ادب</v>
      </c>
      <c r="V2177" s="1" t="str">
        <f>IFERROR(__xludf.DUMMYFUNCTION("INDEX(SPLIT(A2177, ""/""), 4)"),"بامداد")</f>
        <v>بامداد</v>
      </c>
    </row>
    <row r="2178">
      <c r="A2178" s="1" t="s">
        <v>6532</v>
      </c>
      <c r="B2178" s="1" t="s">
        <v>6600</v>
      </c>
      <c r="C2178" s="1" t="s">
        <v>21</v>
      </c>
      <c r="D2178" s="4" t="s">
        <v>6601</v>
      </c>
      <c r="E2178" s="1" t="s">
        <v>6509</v>
      </c>
      <c r="F2178" s="1" t="s">
        <v>6577</v>
      </c>
      <c r="G2178" s="1" t="s">
        <v>6593</v>
      </c>
      <c r="H2178" s="1" t="s">
        <v>189</v>
      </c>
      <c r="I2178" s="1" t="str">
        <f t="shared" si="1"/>
        <v>x</v>
      </c>
      <c r="J2178" s="5"/>
      <c r="K2178" s="1" t="str">
        <f t="shared" si="2"/>
        <v>3</v>
      </c>
      <c r="L2178" s="5"/>
      <c r="M2178" s="2" t="str">
        <f t="shared" si="3"/>
        <v>1398</v>
      </c>
      <c r="N2178" s="5"/>
      <c r="O2178" s="2">
        <v>29.0</v>
      </c>
      <c r="P2178" s="5"/>
      <c r="Q2178" s="5"/>
      <c r="R2178" s="6" t="s">
        <v>190</v>
      </c>
      <c r="S2178" s="5"/>
      <c r="T2178" s="1" t="str">
        <f>IFERROR(__xludf.DUMMYFUNCTION("INDEX(SPLIT(A2178, ""/""), 2)"),"کانون‌های فرهنگی هنری")</f>
        <v>کانون‌های فرهنگی هنری</v>
      </c>
      <c r="U2178" s="1" t="str">
        <f>IFERROR(__xludf.DUMMYFUNCTION("INDEX(SPLIT(A2178, ""/""), 3)"),"کانون شعر و ادب")</f>
        <v>کانون شعر و ادب</v>
      </c>
      <c r="V2178" s="1" t="str">
        <f>IFERROR(__xludf.DUMMYFUNCTION("INDEX(SPLIT(A2178, ""/""), 4)"),"بامداد")</f>
        <v>بامداد</v>
      </c>
    </row>
    <row r="2179">
      <c r="A2179" s="1" t="s">
        <v>6532</v>
      </c>
      <c r="B2179" s="1" t="s">
        <v>6602</v>
      </c>
      <c r="C2179" s="1" t="s">
        <v>21</v>
      </c>
      <c r="D2179" s="4" t="s">
        <v>6603</v>
      </c>
      <c r="E2179" s="1" t="s">
        <v>6509</v>
      </c>
      <c r="F2179" s="1" t="s">
        <v>6577</v>
      </c>
      <c r="G2179" s="1" t="s">
        <v>6593</v>
      </c>
      <c r="H2179" s="7" t="s">
        <v>6604</v>
      </c>
      <c r="I2179" s="1" t="str">
        <f t="shared" si="1"/>
        <v>10</v>
      </c>
      <c r="J2179" s="5"/>
      <c r="K2179" s="1" t="str">
        <f t="shared" si="2"/>
        <v>7</v>
      </c>
      <c r="L2179" s="5"/>
      <c r="M2179" s="2" t="str">
        <f t="shared" si="3"/>
        <v>1398</v>
      </c>
      <c r="N2179" s="5"/>
      <c r="O2179" s="2">
        <v>30.0</v>
      </c>
      <c r="P2179" s="5"/>
      <c r="Q2179" s="5"/>
      <c r="R2179" s="8" t="s">
        <v>6604</v>
      </c>
      <c r="S2179" s="5"/>
      <c r="T2179" s="1" t="str">
        <f>IFERROR(__xludf.DUMMYFUNCTION("INDEX(SPLIT(A2179, ""/""), 2)"),"کانون‌های فرهنگی هنری")</f>
        <v>کانون‌های فرهنگی هنری</v>
      </c>
      <c r="U2179" s="1" t="str">
        <f>IFERROR(__xludf.DUMMYFUNCTION("INDEX(SPLIT(A2179, ""/""), 3)"),"کانون شعر و ادب")</f>
        <v>کانون شعر و ادب</v>
      </c>
      <c r="V2179" s="1" t="str">
        <f>IFERROR(__xludf.DUMMYFUNCTION("INDEX(SPLIT(A2179, ""/""), 4)"),"بامداد")</f>
        <v>بامداد</v>
      </c>
    </row>
    <row r="2180">
      <c r="A2180" s="1" t="s">
        <v>6532</v>
      </c>
      <c r="B2180" s="1" t="s">
        <v>6605</v>
      </c>
      <c r="C2180" s="1" t="s">
        <v>21</v>
      </c>
      <c r="D2180" s="4" t="s">
        <v>6606</v>
      </c>
      <c r="E2180" s="1" t="s">
        <v>6509</v>
      </c>
      <c r="F2180" s="1" t="s">
        <v>6607</v>
      </c>
      <c r="G2180" s="1" t="s">
        <v>6593</v>
      </c>
      <c r="H2180" s="1" t="s">
        <v>351</v>
      </c>
      <c r="I2180" s="1" t="str">
        <f t="shared" si="1"/>
        <v>x</v>
      </c>
      <c r="J2180" s="5"/>
      <c r="K2180" s="1" t="str">
        <f t="shared" si="2"/>
        <v>8</v>
      </c>
      <c r="L2180" s="5"/>
      <c r="M2180" s="2" t="str">
        <f t="shared" si="3"/>
        <v>1398</v>
      </c>
      <c r="N2180" s="5"/>
      <c r="O2180" s="2">
        <v>31.0</v>
      </c>
      <c r="P2180" s="5"/>
      <c r="Q2180" s="5"/>
      <c r="R2180" s="6" t="s">
        <v>352</v>
      </c>
      <c r="S2180" s="5"/>
      <c r="T2180" s="1" t="str">
        <f>IFERROR(__xludf.DUMMYFUNCTION("INDEX(SPLIT(A2180, ""/""), 2)"),"کانون‌های فرهنگی هنری")</f>
        <v>کانون‌های فرهنگی هنری</v>
      </c>
      <c r="U2180" s="1" t="str">
        <f>IFERROR(__xludf.DUMMYFUNCTION("INDEX(SPLIT(A2180, ""/""), 3)"),"کانون شعر و ادب")</f>
        <v>کانون شعر و ادب</v>
      </c>
      <c r="V2180" s="1" t="str">
        <f>IFERROR(__xludf.DUMMYFUNCTION("INDEX(SPLIT(A2180, ""/""), 4)"),"بامداد")</f>
        <v>بامداد</v>
      </c>
    </row>
    <row r="2181">
      <c r="A2181" s="1" t="s">
        <v>6532</v>
      </c>
      <c r="B2181" s="1" t="s">
        <v>6608</v>
      </c>
      <c r="C2181" s="1" t="s">
        <v>21</v>
      </c>
      <c r="D2181" s="4" t="s">
        <v>6609</v>
      </c>
      <c r="E2181" s="1" t="s">
        <v>6509</v>
      </c>
      <c r="F2181" s="1" t="s">
        <v>6607</v>
      </c>
      <c r="G2181" s="1" t="s">
        <v>6593</v>
      </c>
      <c r="H2181" s="1" t="s">
        <v>195</v>
      </c>
      <c r="I2181" s="1" t="str">
        <f t="shared" si="1"/>
        <v>x</v>
      </c>
      <c r="J2181" s="5"/>
      <c r="K2181" s="1" t="str">
        <f t="shared" si="2"/>
        <v>9</v>
      </c>
      <c r="L2181" s="5"/>
      <c r="M2181" s="2" t="str">
        <f t="shared" si="3"/>
        <v>1398</v>
      </c>
      <c r="N2181" s="5"/>
      <c r="O2181" s="2">
        <v>32.0</v>
      </c>
      <c r="P2181" s="5"/>
      <c r="Q2181" s="5"/>
      <c r="R2181" s="6" t="s">
        <v>196</v>
      </c>
      <c r="S2181" s="5"/>
      <c r="T2181" s="1" t="str">
        <f>IFERROR(__xludf.DUMMYFUNCTION("INDEX(SPLIT(A2181, ""/""), 2)"),"کانون‌های فرهنگی هنری")</f>
        <v>کانون‌های فرهنگی هنری</v>
      </c>
      <c r="U2181" s="1" t="str">
        <f>IFERROR(__xludf.DUMMYFUNCTION("INDEX(SPLIT(A2181, ""/""), 3)"),"کانون شعر و ادب")</f>
        <v>کانون شعر و ادب</v>
      </c>
      <c r="V2181" s="1" t="str">
        <f>IFERROR(__xludf.DUMMYFUNCTION("INDEX(SPLIT(A2181, ""/""), 4)"),"بامداد")</f>
        <v>بامداد</v>
      </c>
    </row>
    <row r="2182">
      <c r="A2182" s="1" t="s">
        <v>6532</v>
      </c>
      <c r="B2182" s="1" t="s">
        <v>6610</v>
      </c>
      <c r="C2182" s="1" t="s">
        <v>21</v>
      </c>
      <c r="D2182" s="4" t="s">
        <v>6611</v>
      </c>
      <c r="E2182" s="1" t="s">
        <v>6509</v>
      </c>
      <c r="F2182" s="1" t="s">
        <v>6607</v>
      </c>
      <c r="G2182" s="1" t="s">
        <v>6593</v>
      </c>
      <c r="H2182" s="1" t="s">
        <v>217</v>
      </c>
      <c r="I2182" s="1" t="str">
        <f t="shared" si="1"/>
        <v>x</v>
      </c>
      <c r="J2182" s="5"/>
      <c r="K2182" s="1" t="str">
        <f t="shared" si="2"/>
        <v>12</v>
      </c>
      <c r="L2182" s="5"/>
      <c r="M2182" s="2" t="str">
        <f t="shared" si="3"/>
        <v>1398</v>
      </c>
      <c r="N2182" s="5"/>
      <c r="O2182" s="2">
        <v>33.0</v>
      </c>
      <c r="P2182" s="5"/>
      <c r="Q2182" s="5"/>
      <c r="R2182" s="6" t="s">
        <v>218</v>
      </c>
      <c r="S2182" s="5"/>
      <c r="T2182" s="1" t="str">
        <f>IFERROR(__xludf.DUMMYFUNCTION("INDEX(SPLIT(A2182, ""/""), 2)"),"کانون‌های فرهنگی هنری")</f>
        <v>کانون‌های فرهنگی هنری</v>
      </c>
      <c r="U2182" s="1" t="str">
        <f>IFERROR(__xludf.DUMMYFUNCTION("INDEX(SPLIT(A2182, ""/""), 3)"),"کانون شعر و ادب")</f>
        <v>کانون شعر و ادب</v>
      </c>
      <c r="V2182" s="1" t="str">
        <f>IFERROR(__xludf.DUMMYFUNCTION("INDEX(SPLIT(A2182, ""/""), 4)"),"بامداد")</f>
        <v>بامداد</v>
      </c>
    </row>
    <row r="2183">
      <c r="A2183" s="1" t="s">
        <v>6532</v>
      </c>
      <c r="B2183" s="1" t="s">
        <v>6612</v>
      </c>
      <c r="C2183" s="1" t="s">
        <v>21</v>
      </c>
      <c r="D2183" s="4" t="s">
        <v>6613</v>
      </c>
      <c r="E2183" s="1" t="s">
        <v>6509</v>
      </c>
      <c r="F2183" s="1" t="s">
        <v>6607</v>
      </c>
      <c r="G2183" s="1" t="s">
        <v>6593</v>
      </c>
      <c r="H2183" s="1" t="s">
        <v>375</v>
      </c>
      <c r="I2183" s="1" t="str">
        <f t="shared" si="1"/>
        <v>x</v>
      </c>
      <c r="J2183" s="5"/>
      <c r="K2183" s="1" t="str">
        <f t="shared" si="2"/>
        <v>3</v>
      </c>
      <c r="L2183" s="5"/>
      <c r="M2183" s="2" t="str">
        <f t="shared" si="3"/>
        <v>1399</v>
      </c>
      <c r="N2183" s="5"/>
      <c r="O2183" s="2">
        <v>34.0</v>
      </c>
      <c r="P2183" s="5"/>
      <c r="Q2183" s="5"/>
      <c r="R2183" s="6" t="s">
        <v>376</v>
      </c>
      <c r="S2183" s="5"/>
      <c r="T2183" s="1" t="str">
        <f>IFERROR(__xludf.DUMMYFUNCTION("INDEX(SPLIT(A2183, ""/""), 2)"),"کانون‌های فرهنگی هنری")</f>
        <v>کانون‌های فرهنگی هنری</v>
      </c>
      <c r="U2183" s="1" t="str">
        <f>IFERROR(__xludf.DUMMYFUNCTION("INDEX(SPLIT(A2183, ""/""), 3)"),"کانون شعر و ادب")</f>
        <v>کانون شعر و ادب</v>
      </c>
      <c r="V2183" s="1" t="str">
        <f>IFERROR(__xludf.DUMMYFUNCTION("INDEX(SPLIT(A2183, ""/""), 4)"),"بامداد")</f>
        <v>بامداد</v>
      </c>
    </row>
    <row r="2184">
      <c r="A2184" s="1" t="s">
        <v>6532</v>
      </c>
      <c r="B2184" s="1" t="s">
        <v>6614</v>
      </c>
      <c r="C2184" s="1" t="s">
        <v>21</v>
      </c>
      <c r="D2184" s="4" t="s">
        <v>6615</v>
      </c>
      <c r="E2184" s="1" t="s">
        <v>6509</v>
      </c>
      <c r="F2184" s="1" t="s">
        <v>6607</v>
      </c>
      <c r="G2184" s="1" t="s">
        <v>6616</v>
      </c>
      <c r="H2184" s="1" t="s">
        <v>32</v>
      </c>
      <c r="I2184" s="1" t="str">
        <f t="shared" si="1"/>
        <v>x</v>
      </c>
      <c r="J2184" s="5"/>
      <c r="K2184" s="1" t="str">
        <f t="shared" si="2"/>
        <v>8</v>
      </c>
      <c r="L2184" s="5"/>
      <c r="M2184" s="2" t="str">
        <f t="shared" si="3"/>
        <v>1399</v>
      </c>
      <c r="N2184" s="5"/>
      <c r="O2184" s="2">
        <v>35.0</v>
      </c>
      <c r="P2184" s="5"/>
      <c r="Q2184" s="5"/>
      <c r="R2184" s="6" t="s">
        <v>33</v>
      </c>
      <c r="S2184" s="5"/>
      <c r="T2184" s="1" t="str">
        <f>IFERROR(__xludf.DUMMYFUNCTION("INDEX(SPLIT(A2184, ""/""), 2)"),"کانون‌های فرهنگی هنری")</f>
        <v>کانون‌های فرهنگی هنری</v>
      </c>
      <c r="U2184" s="1" t="str">
        <f>IFERROR(__xludf.DUMMYFUNCTION("INDEX(SPLIT(A2184, ""/""), 3)"),"کانون شعر و ادب")</f>
        <v>کانون شعر و ادب</v>
      </c>
      <c r="V2184" s="1" t="str">
        <f>IFERROR(__xludf.DUMMYFUNCTION("INDEX(SPLIT(A2184, ""/""), 4)"),"بامداد")</f>
        <v>بامداد</v>
      </c>
    </row>
    <row r="2185">
      <c r="A2185" s="1" t="s">
        <v>6532</v>
      </c>
      <c r="B2185" s="1" t="s">
        <v>6617</v>
      </c>
      <c r="C2185" s="1" t="s">
        <v>21</v>
      </c>
      <c r="D2185" s="4" t="s">
        <v>6618</v>
      </c>
      <c r="E2185" s="1" t="s">
        <v>6509</v>
      </c>
      <c r="F2185" s="1" t="s">
        <v>6607</v>
      </c>
      <c r="G2185" s="1" t="s">
        <v>6616</v>
      </c>
      <c r="H2185" s="1" t="s">
        <v>44</v>
      </c>
      <c r="I2185" s="1" t="str">
        <f t="shared" si="1"/>
        <v>x</v>
      </c>
      <c r="J2185" s="5"/>
      <c r="K2185" s="1" t="str">
        <f t="shared" si="2"/>
        <v>10</v>
      </c>
      <c r="L2185" s="5"/>
      <c r="M2185" s="2" t="str">
        <f t="shared" si="3"/>
        <v>1399</v>
      </c>
      <c r="N2185" s="5"/>
      <c r="O2185" s="2">
        <v>36.0</v>
      </c>
      <c r="P2185" s="5"/>
      <c r="Q2185" s="5"/>
      <c r="R2185" s="6" t="s">
        <v>45</v>
      </c>
      <c r="S2185" s="5"/>
      <c r="T2185" s="1" t="str">
        <f>IFERROR(__xludf.DUMMYFUNCTION("INDEX(SPLIT(A2185, ""/""), 2)"),"کانون‌های فرهنگی هنری")</f>
        <v>کانون‌های فرهنگی هنری</v>
      </c>
      <c r="U2185" s="1" t="str">
        <f>IFERROR(__xludf.DUMMYFUNCTION("INDEX(SPLIT(A2185, ""/""), 3)"),"کانون شعر و ادب")</f>
        <v>کانون شعر و ادب</v>
      </c>
      <c r="V2185" s="1" t="str">
        <f>IFERROR(__xludf.DUMMYFUNCTION("INDEX(SPLIT(A2185, ""/""), 4)"),"بامداد")</f>
        <v>بامداد</v>
      </c>
    </row>
    <row r="2186">
      <c r="A2186" s="1" t="s">
        <v>6532</v>
      </c>
      <c r="B2186" s="1" t="s">
        <v>6619</v>
      </c>
      <c r="C2186" s="1" t="s">
        <v>21</v>
      </c>
      <c r="D2186" s="4" t="s">
        <v>6620</v>
      </c>
      <c r="E2186" s="1" t="s">
        <v>6509</v>
      </c>
      <c r="F2186" s="1" t="s">
        <v>6607</v>
      </c>
      <c r="G2186" s="1" t="s">
        <v>6616</v>
      </c>
      <c r="H2186" s="1" t="s">
        <v>48</v>
      </c>
      <c r="I2186" s="1" t="str">
        <f t="shared" si="1"/>
        <v>x</v>
      </c>
      <c r="J2186" s="5"/>
      <c r="K2186" s="1" t="str">
        <f t="shared" si="2"/>
        <v>12</v>
      </c>
      <c r="L2186" s="5"/>
      <c r="M2186" s="2" t="str">
        <f t="shared" si="3"/>
        <v>1399</v>
      </c>
      <c r="N2186" s="5"/>
      <c r="O2186" s="2">
        <v>37.0</v>
      </c>
      <c r="P2186" s="5"/>
      <c r="Q2186" s="5"/>
      <c r="R2186" s="6" t="s">
        <v>49</v>
      </c>
      <c r="S2186" s="5"/>
      <c r="T2186" s="1" t="str">
        <f>IFERROR(__xludf.DUMMYFUNCTION("INDEX(SPLIT(A2186, ""/""), 2)"),"کانون‌های فرهنگی هنری")</f>
        <v>کانون‌های فرهنگی هنری</v>
      </c>
      <c r="U2186" s="1" t="str">
        <f>IFERROR(__xludf.DUMMYFUNCTION("INDEX(SPLIT(A2186, ""/""), 3)"),"کانون شعر و ادب")</f>
        <v>کانون شعر و ادب</v>
      </c>
      <c r="V2186" s="1" t="str">
        <f>IFERROR(__xludf.DUMMYFUNCTION("INDEX(SPLIT(A2186, ""/""), 4)"),"بامداد")</f>
        <v>بامداد</v>
      </c>
    </row>
    <row r="2187">
      <c r="A2187" s="1" t="s">
        <v>6532</v>
      </c>
      <c r="B2187" s="1" t="s">
        <v>6621</v>
      </c>
      <c r="C2187" s="1" t="s">
        <v>21</v>
      </c>
      <c r="D2187" s="4" t="s">
        <v>6622</v>
      </c>
      <c r="E2187" s="1" t="s">
        <v>6509</v>
      </c>
      <c r="F2187" s="1" t="s">
        <v>6623</v>
      </c>
      <c r="G2187" s="1" t="s">
        <v>6616</v>
      </c>
      <c r="H2187" s="1" t="s">
        <v>66</v>
      </c>
      <c r="I2187" s="1" t="str">
        <f t="shared" si="1"/>
        <v>x</v>
      </c>
      <c r="J2187" s="5"/>
      <c r="K2187" s="1" t="str">
        <f t="shared" si="2"/>
        <v>3</v>
      </c>
      <c r="L2187" s="5"/>
      <c r="M2187" s="2" t="str">
        <f t="shared" si="3"/>
        <v>1400</v>
      </c>
      <c r="N2187" s="5"/>
      <c r="O2187" s="2">
        <v>38.0</v>
      </c>
      <c r="P2187" s="5"/>
      <c r="Q2187" s="5"/>
      <c r="R2187" s="6" t="s">
        <v>67</v>
      </c>
      <c r="S2187" s="5"/>
      <c r="T2187" s="1" t="str">
        <f>IFERROR(__xludf.DUMMYFUNCTION("INDEX(SPLIT(A2187, ""/""), 2)"),"کانون‌های فرهنگی هنری")</f>
        <v>کانون‌های فرهنگی هنری</v>
      </c>
      <c r="U2187" s="1" t="str">
        <f>IFERROR(__xludf.DUMMYFUNCTION("INDEX(SPLIT(A2187, ""/""), 3)"),"کانون شعر و ادب")</f>
        <v>کانون شعر و ادب</v>
      </c>
      <c r="V2187" s="1" t="str">
        <f>IFERROR(__xludf.DUMMYFUNCTION("INDEX(SPLIT(A2187, ""/""), 4)"),"بامداد")</f>
        <v>بامداد</v>
      </c>
    </row>
    <row r="2188">
      <c r="A2188" s="1" t="s">
        <v>6532</v>
      </c>
      <c r="B2188" s="1" t="s">
        <v>6624</v>
      </c>
      <c r="C2188" s="1" t="s">
        <v>21</v>
      </c>
      <c r="D2188" s="4" t="s">
        <v>6625</v>
      </c>
      <c r="E2188" s="1" t="s">
        <v>6509</v>
      </c>
      <c r="F2188" s="1" t="s">
        <v>6623</v>
      </c>
      <c r="G2188" s="1" t="s">
        <v>6616</v>
      </c>
      <c r="H2188" s="1" t="s">
        <v>133</v>
      </c>
      <c r="I2188" s="1" t="str">
        <f t="shared" si="1"/>
        <v>x</v>
      </c>
      <c r="J2188" s="5"/>
      <c r="K2188" s="1" t="str">
        <f t="shared" si="2"/>
        <v>5</v>
      </c>
      <c r="L2188" s="5"/>
      <c r="M2188" s="2" t="str">
        <f t="shared" si="3"/>
        <v>1400</v>
      </c>
      <c r="N2188" s="5"/>
      <c r="O2188" s="2">
        <v>39.0</v>
      </c>
      <c r="P2188" s="5"/>
      <c r="Q2188" s="5"/>
      <c r="R2188" s="6" t="s">
        <v>134</v>
      </c>
      <c r="S2188" s="5"/>
      <c r="T2188" s="1" t="str">
        <f>IFERROR(__xludf.DUMMYFUNCTION("INDEX(SPLIT(A2188, ""/""), 2)"),"کانون‌های فرهنگی هنری")</f>
        <v>کانون‌های فرهنگی هنری</v>
      </c>
      <c r="U2188" s="1" t="str">
        <f>IFERROR(__xludf.DUMMYFUNCTION("INDEX(SPLIT(A2188, ""/""), 3)"),"کانون شعر و ادب")</f>
        <v>کانون شعر و ادب</v>
      </c>
      <c r="V2188" s="1" t="str">
        <f>IFERROR(__xludf.DUMMYFUNCTION("INDEX(SPLIT(A2188, ""/""), 4)"),"بامداد")</f>
        <v>بامداد</v>
      </c>
    </row>
    <row r="2189">
      <c r="A2189" s="1" t="s">
        <v>6532</v>
      </c>
      <c r="B2189" s="1" t="s">
        <v>6626</v>
      </c>
      <c r="C2189" s="1" t="s">
        <v>21</v>
      </c>
      <c r="D2189" s="4" t="s">
        <v>6627</v>
      </c>
      <c r="E2189" s="1" t="s">
        <v>6509</v>
      </c>
      <c r="F2189" s="1" t="s">
        <v>6623</v>
      </c>
      <c r="G2189" s="1" t="s">
        <v>6616</v>
      </c>
      <c r="H2189" s="1" t="s">
        <v>138</v>
      </c>
      <c r="I2189" s="1" t="str">
        <f t="shared" si="1"/>
        <v>x</v>
      </c>
      <c r="J2189" s="5"/>
      <c r="K2189" s="1" t="str">
        <f t="shared" si="2"/>
        <v>8</v>
      </c>
      <c r="L2189" s="5"/>
      <c r="M2189" s="2" t="str">
        <f t="shared" si="3"/>
        <v>1400</v>
      </c>
      <c r="N2189" s="5"/>
      <c r="O2189" s="2">
        <v>40.0</v>
      </c>
      <c r="P2189" s="5"/>
      <c r="Q2189" s="5"/>
      <c r="R2189" s="6" t="s">
        <v>139</v>
      </c>
      <c r="S2189" s="5"/>
      <c r="T2189" s="1" t="str">
        <f>IFERROR(__xludf.DUMMYFUNCTION("INDEX(SPLIT(A2189, ""/""), 2)"),"کانون‌های فرهنگی هنری")</f>
        <v>کانون‌های فرهنگی هنری</v>
      </c>
      <c r="U2189" s="1" t="str">
        <f>IFERROR(__xludf.DUMMYFUNCTION("INDEX(SPLIT(A2189, ""/""), 3)"),"کانون شعر و ادب")</f>
        <v>کانون شعر و ادب</v>
      </c>
      <c r="V2189" s="1" t="str">
        <f>IFERROR(__xludf.DUMMYFUNCTION("INDEX(SPLIT(A2189, ""/""), 4)"),"بامداد")</f>
        <v>بامداد</v>
      </c>
    </row>
    <row r="2190">
      <c r="A2190" s="1" t="s">
        <v>6532</v>
      </c>
      <c r="B2190" s="1" t="s">
        <v>6628</v>
      </c>
      <c r="C2190" s="1" t="s">
        <v>21</v>
      </c>
      <c r="D2190" s="4" t="s">
        <v>6629</v>
      </c>
      <c r="E2190" s="1" t="s">
        <v>6509</v>
      </c>
      <c r="F2190" s="1" t="s">
        <v>6630</v>
      </c>
      <c r="G2190" s="1" t="s">
        <v>6631</v>
      </c>
      <c r="H2190" s="1" t="s">
        <v>2425</v>
      </c>
      <c r="I2190" s="1" t="str">
        <f t="shared" si="1"/>
        <v>x</v>
      </c>
      <c r="J2190" s="5"/>
      <c r="K2190" s="1" t="str">
        <f t="shared" si="2"/>
        <v>3</v>
      </c>
      <c r="L2190" s="5"/>
      <c r="M2190" s="2" t="str">
        <f t="shared" si="3"/>
        <v>1402</v>
      </c>
      <c r="N2190" s="5"/>
      <c r="O2190" s="2">
        <v>41.0</v>
      </c>
      <c r="P2190" s="5"/>
      <c r="Q2190" s="5"/>
      <c r="R2190" s="6" t="s">
        <v>2426</v>
      </c>
      <c r="S2190" s="5"/>
      <c r="T2190" s="1" t="str">
        <f>IFERROR(__xludf.DUMMYFUNCTION("INDEX(SPLIT(A2190, ""/""), 2)"),"کانون‌های فرهنگی هنری")</f>
        <v>کانون‌های فرهنگی هنری</v>
      </c>
      <c r="U2190" s="1" t="str">
        <f>IFERROR(__xludf.DUMMYFUNCTION("INDEX(SPLIT(A2190, ""/""), 3)"),"کانون شعر و ادب")</f>
        <v>کانون شعر و ادب</v>
      </c>
      <c r="V2190" s="1" t="str">
        <f>IFERROR(__xludf.DUMMYFUNCTION("INDEX(SPLIT(A2190, ""/""), 4)"),"بامداد")</f>
        <v>بامداد</v>
      </c>
    </row>
    <row r="2191">
      <c r="A2191" s="1" t="s">
        <v>6532</v>
      </c>
      <c r="B2191" s="1" t="s">
        <v>6632</v>
      </c>
      <c r="C2191" s="1" t="s">
        <v>21</v>
      </c>
      <c r="D2191" s="4" t="s">
        <v>6633</v>
      </c>
      <c r="E2191" s="1" t="s">
        <v>6509</v>
      </c>
      <c r="F2191" s="1" t="s">
        <v>6630</v>
      </c>
      <c r="G2191" s="1" t="s">
        <v>6631</v>
      </c>
      <c r="H2191" s="1" t="s">
        <v>1530</v>
      </c>
      <c r="I2191" s="1" t="str">
        <f t="shared" si="1"/>
        <v>x</v>
      </c>
      <c r="J2191" s="5"/>
      <c r="K2191" s="1" t="str">
        <f t="shared" si="2"/>
        <v>6</v>
      </c>
      <c r="L2191" s="5"/>
      <c r="M2191" s="2" t="str">
        <f t="shared" si="3"/>
        <v>1402</v>
      </c>
      <c r="N2191" s="5"/>
      <c r="O2191" s="2">
        <v>42.0</v>
      </c>
      <c r="P2191" s="5"/>
      <c r="Q2191" s="5"/>
      <c r="R2191" s="6" t="s">
        <v>1531</v>
      </c>
      <c r="S2191" s="5"/>
      <c r="T2191" s="1" t="str">
        <f>IFERROR(__xludf.DUMMYFUNCTION("INDEX(SPLIT(A2191, ""/""), 2)"),"کانون‌های فرهنگی هنری")</f>
        <v>کانون‌های فرهنگی هنری</v>
      </c>
      <c r="U2191" s="1" t="str">
        <f>IFERROR(__xludf.DUMMYFUNCTION("INDEX(SPLIT(A2191, ""/""), 3)"),"کانون شعر و ادب")</f>
        <v>کانون شعر و ادب</v>
      </c>
      <c r="V2191" s="1" t="str">
        <f>IFERROR(__xludf.DUMMYFUNCTION("INDEX(SPLIT(A2191, ""/""), 4)"),"بامداد")</f>
        <v>بامداد</v>
      </c>
    </row>
    <row r="2192">
      <c r="A2192" s="1" t="s">
        <v>6532</v>
      </c>
      <c r="B2192" s="1" t="s">
        <v>6634</v>
      </c>
      <c r="C2192" s="1" t="s">
        <v>21</v>
      </c>
      <c r="D2192" s="4" t="s">
        <v>6635</v>
      </c>
      <c r="E2192" s="1" t="s">
        <v>6509</v>
      </c>
      <c r="F2192" s="1" t="s">
        <v>6636</v>
      </c>
      <c r="G2192" s="1" t="s">
        <v>6637</v>
      </c>
      <c r="H2192" s="1" t="s">
        <v>1364</v>
      </c>
      <c r="I2192" s="1" t="str">
        <f t="shared" si="1"/>
        <v>x</v>
      </c>
      <c r="J2192" s="5"/>
      <c r="K2192" s="1" t="str">
        <f t="shared" si="2"/>
        <v>5</v>
      </c>
      <c r="L2192" s="5"/>
      <c r="M2192" s="2" t="str">
        <f t="shared" si="3"/>
        <v>1403</v>
      </c>
      <c r="N2192" s="5"/>
      <c r="O2192" s="2">
        <v>43.0</v>
      </c>
      <c r="P2192" s="5"/>
      <c r="Q2192" s="5"/>
      <c r="R2192" s="6" t="s">
        <v>1365</v>
      </c>
      <c r="S2192" s="5"/>
      <c r="T2192" s="1" t="str">
        <f>IFERROR(__xludf.DUMMYFUNCTION("INDEX(SPLIT(A2192, ""/""), 2)"),"کانون‌های فرهنگی هنری")</f>
        <v>کانون‌های فرهنگی هنری</v>
      </c>
      <c r="U2192" s="1" t="str">
        <f>IFERROR(__xludf.DUMMYFUNCTION("INDEX(SPLIT(A2192, ""/""), 3)"),"کانون شعر و ادب")</f>
        <v>کانون شعر و ادب</v>
      </c>
      <c r="V2192" s="1" t="str">
        <f>IFERROR(__xludf.DUMMYFUNCTION("INDEX(SPLIT(A2192, ""/""), 4)"),"بامداد")</f>
        <v>بامداد</v>
      </c>
    </row>
    <row r="2193">
      <c r="A2193" s="1" t="s">
        <v>6532</v>
      </c>
      <c r="B2193" s="1" t="s">
        <v>6638</v>
      </c>
      <c r="C2193" s="1" t="s">
        <v>21</v>
      </c>
      <c r="D2193" s="4" t="s">
        <v>6639</v>
      </c>
      <c r="E2193" s="1" t="s">
        <v>6509</v>
      </c>
      <c r="F2193" s="1" t="s">
        <v>6637</v>
      </c>
      <c r="G2193" s="1" t="s">
        <v>6640</v>
      </c>
      <c r="H2193" s="7" t="s">
        <v>3351</v>
      </c>
      <c r="I2193" s="1" t="str">
        <f t="shared" si="1"/>
        <v>12</v>
      </c>
      <c r="J2193" s="5"/>
      <c r="K2193" s="1" t="str">
        <f t="shared" si="2"/>
        <v>10</v>
      </c>
      <c r="L2193" s="5"/>
      <c r="M2193" s="2" t="str">
        <f t="shared" si="3"/>
        <v>1403</v>
      </c>
      <c r="N2193" s="5"/>
      <c r="O2193" s="2">
        <v>44.0</v>
      </c>
      <c r="P2193" s="5"/>
      <c r="Q2193" s="5"/>
      <c r="R2193" s="8" t="s">
        <v>3351</v>
      </c>
      <c r="S2193" s="5"/>
      <c r="T2193" s="1" t="str">
        <f>IFERROR(__xludf.DUMMYFUNCTION("INDEX(SPLIT(A2193, ""/""), 2)"),"کانون‌های فرهنگی هنری")</f>
        <v>کانون‌های فرهنگی هنری</v>
      </c>
      <c r="U2193" s="1" t="str">
        <f>IFERROR(__xludf.DUMMYFUNCTION("INDEX(SPLIT(A2193, ""/""), 3)"),"کانون شعر و ادب")</f>
        <v>کانون شعر و ادب</v>
      </c>
      <c r="V2193" s="1" t="str">
        <f>IFERROR(__xludf.DUMMYFUNCTION("INDEX(SPLIT(A2193, ""/""), 4)"),"بامداد")</f>
        <v>بامداد</v>
      </c>
    </row>
    <row r="2194">
      <c r="A2194" s="1" t="s">
        <v>6532</v>
      </c>
      <c r="B2194" s="1" t="s">
        <v>6641</v>
      </c>
      <c r="C2194" s="1" t="s">
        <v>21</v>
      </c>
      <c r="D2194" s="4" t="s">
        <v>6642</v>
      </c>
      <c r="E2194" s="1" t="s">
        <v>6509</v>
      </c>
      <c r="F2194" s="1" t="s">
        <v>6535</v>
      </c>
      <c r="G2194" s="1" t="s">
        <v>6535</v>
      </c>
      <c r="H2194" s="1" t="s">
        <v>291</v>
      </c>
      <c r="I2194" s="1" t="str">
        <f t="shared" si="1"/>
        <v>x</v>
      </c>
      <c r="J2194" s="5"/>
      <c r="K2194" s="1" t="str">
        <f t="shared" si="2"/>
        <v>x</v>
      </c>
      <c r="L2194" s="5"/>
      <c r="M2194" s="2" t="str">
        <f t="shared" si="3"/>
        <v>x</v>
      </c>
      <c r="N2194" s="5"/>
      <c r="O2194" s="2" t="s">
        <v>71</v>
      </c>
      <c r="P2194" s="7" t="s">
        <v>6643</v>
      </c>
      <c r="Q2194" s="7" t="s">
        <v>2701</v>
      </c>
      <c r="R2194" s="6" t="s">
        <v>6644</v>
      </c>
      <c r="S2194" s="1"/>
      <c r="T2194" s="1" t="str">
        <f>IFERROR(__xludf.DUMMYFUNCTION("INDEX(SPLIT(A2194, ""/""), 2)"),"کانون‌های فرهنگی هنری")</f>
        <v>کانون‌های فرهنگی هنری</v>
      </c>
      <c r="U2194" s="1" t="str">
        <f>IFERROR(__xludf.DUMMYFUNCTION("INDEX(SPLIT(A2194, ""/""), 3)"),"کانون شعر و ادب")</f>
        <v>کانون شعر و ادب</v>
      </c>
      <c r="V2194" s="1" t="str">
        <f>IFERROR(__xludf.DUMMYFUNCTION("INDEX(SPLIT(A2194, ""/""), 4)"),"بامداد")</f>
        <v>بامداد</v>
      </c>
    </row>
    <row r="2195">
      <c r="A2195" s="1" t="s">
        <v>6645</v>
      </c>
      <c r="B2195" s="1" t="s">
        <v>6646</v>
      </c>
      <c r="C2195" s="1" t="s">
        <v>21</v>
      </c>
      <c r="D2195" s="4" t="s">
        <v>6647</v>
      </c>
      <c r="E2195" s="1" t="s">
        <v>6509</v>
      </c>
      <c r="F2195" s="1" t="s">
        <v>6562</v>
      </c>
      <c r="G2195" s="1" t="s">
        <v>6648</v>
      </c>
      <c r="H2195" s="1" t="s">
        <v>2719</v>
      </c>
      <c r="I2195" s="1" t="str">
        <f t="shared" si="1"/>
        <v>x</v>
      </c>
      <c r="J2195" s="5"/>
      <c r="K2195" s="1" t="str">
        <f t="shared" si="2"/>
        <v>x</v>
      </c>
      <c r="L2195" s="1">
        <v>4.0</v>
      </c>
      <c r="M2195" s="2" t="str">
        <f t="shared" si="3"/>
        <v>1397</v>
      </c>
      <c r="N2195" s="5"/>
      <c r="O2195" s="2">
        <v>1.0</v>
      </c>
      <c r="P2195" s="1"/>
      <c r="Q2195" s="1"/>
      <c r="R2195" s="8" t="s">
        <v>2023</v>
      </c>
      <c r="S2195" s="5"/>
      <c r="T2195" s="1" t="str">
        <f>IFERROR(__xludf.DUMMYFUNCTION("INDEX(SPLIT(A2195, ""/""), 2)"),"کانون‌های فرهنگی هنری")</f>
        <v>کانون‌های فرهنگی هنری</v>
      </c>
      <c r="U2195" s="1" t="str">
        <f>IFERROR(__xludf.DUMMYFUNCTION("INDEX(SPLIT(A2195, ""/""), 3)"),"کانون شعر و ادب")</f>
        <v>کانون شعر و ادب</v>
      </c>
      <c r="V2195" s="1" t="str">
        <f>IFERROR(__xludf.DUMMYFUNCTION("INDEX(SPLIT(A2195, ""/""), 4)"),"بوطیقا")</f>
        <v>بوطیقا</v>
      </c>
    </row>
    <row r="2196">
      <c r="A2196" s="1" t="s">
        <v>6645</v>
      </c>
      <c r="B2196" s="1" t="s">
        <v>6649</v>
      </c>
      <c r="C2196" s="1" t="s">
        <v>21</v>
      </c>
      <c r="D2196" s="4" t="s">
        <v>6650</v>
      </c>
      <c r="E2196" s="1" t="s">
        <v>6509</v>
      </c>
      <c r="F2196" s="1" t="s">
        <v>6562</v>
      </c>
      <c r="G2196" s="1" t="s">
        <v>752</v>
      </c>
      <c r="H2196" s="1" t="s">
        <v>107</v>
      </c>
      <c r="I2196" s="1" t="str">
        <f t="shared" si="1"/>
        <v>x</v>
      </c>
      <c r="J2196" s="5"/>
      <c r="K2196" s="1" t="str">
        <f t="shared" si="2"/>
        <v>x</v>
      </c>
      <c r="L2196" s="1">
        <v>1.0</v>
      </c>
      <c r="M2196" s="2" t="str">
        <f t="shared" si="3"/>
        <v>1398</v>
      </c>
      <c r="N2196" s="5"/>
      <c r="O2196" s="2">
        <v>2.0</v>
      </c>
      <c r="P2196" s="1"/>
      <c r="Q2196" s="1"/>
      <c r="R2196" s="8" t="s">
        <v>108</v>
      </c>
      <c r="S2196" s="5"/>
      <c r="T2196" s="1" t="str">
        <f>IFERROR(__xludf.DUMMYFUNCTION("INDEX(SPLIT(A2196, ""/""), 2)"),"کانون‌های فرهنگی هنری")</f>
        <v>کانون‌های فرهنگی هنری</v>
      </c>
      <c r="U2196" s="1" t="str">
        <f>IFERROR(__xludf.DUMMYFUNCTION("INDEX(SPLIT(A2196, ""/""), 3)"),"کانون شعر و ادب")</f>
        <v>کانون شعر و ادب</v>
      </c>
      <c r="V2196" s="1" t="str">
        <f>IFERROR(__xludf.DUMMYFUNCTION("INDEX(SPLIT(A2196, ""/""), 4)"),"بوطیقا")</f>
        <v>بوطیقا</v>
      </c>
    </row>
    <row r="2197">
      <c r="A2197" s="1" t="s">
        <v>6645</v>
      </c>
      <c r="B2197" s="1" t="s">
        <v>6651</v>
      </c>
      <c r="C2197" s="1" t="s">
        <v>21</v>
      </c>
      <c r="D2197" s="4" t="s">
        <v>6652</v>
      </c>
      <c r="E2197" s="1" t="s">
        <v>6509</v>
      </c>
      <c r="F2197" s="1" t="s">
        <v>6653</v>
      </c>
      <c r="G2197" s="1" t="s">
        <v>6654</v>
      </c>
      <c r="H2197" s="1" t="s">
        <v>6655</v>
      </c>
      <c r="I2197" s="1" t="str">
        <f t="shared" si="1"/>
        <v>30</v>
      </c>
      <c r="J2197" s="5"/>
      <c r="K2197" s="1" t="str">
        <f t="shared" si="2"/>
        <v>6</v>
      </c>
      <c r="L2197" s="5"/>
      <c r="M2197" s="2" t="str">
        <f t="shared" si="3"/>
        <v>1398</v>
      </c>
      <c r="N2197" s="5"/>
      <c r="O2197" s="2">
        <v>3.0</v>
      </c>
      <c r="P2197" s="5"/>
      <c r="Q2197" s="5"/>
      <c r="R2197" s="6" t="s">
        <v>6655</v>
      </c>
      <c r="S2197" s="5"/>
      <c r="T2197" s="1" t="str">
        <f>IFERROR(__xludf.DUMMYFUNCTION("INDEX(SPLIT(A2197, ""/""), 2)"),"کانون‌های فرهنگی هنری")</f>
        <v>کانون‌های فرهنگی هنری</v>
      </c>
      <c r="U2197" s="1" t="str">
        <f>IFERROR(__xludf.DUMMYFUNCTION("INDEX(SPLIT(A2197, ""/""), 3)"),"کانون شعر و ادب")</f>
        <v>کانون شعر و ادب</v>
      </c>
      <c r="V2197" s="1" t="str">
        <f>IFERROR(__xludf.DUMMYFUNCTION("INDEX(SPLIT(A2197, ""/""), 4)"),"بوطیقا")</f>
        <v>بوطیقا</v>
      </c>
    </row>
    <row r="2198">
      <c r="A2198" s="1" t="s">
        <v>6645</v>
      </c>
      <c r="B2198" s="1" t="s">
        <v>6656</v>
      </c>
      <c r="C2198" s="1" t="s">
        <v>21</v>
      </c>
      <c r="D2198" s="4" t="s">
        <v>6657</v>
      </c>
      <c r="E2198" s="1" t="s">
        <v>6509</v>
      </c>
      <c r="F2198" s="1" t="s">
        <v>6653</v>
      </c>
      <c r="G2198" s="1" t="s">
        <v>6654</v>
      </c>
      <c r="H2198" s="1" t="s">
        <v>107</v>
      </c>
      <c r="I2198" s="1" t="str">
        <f t="shared" si="1"/>
        <v>x</v>
      </c>
      <c r="J2198" s="5"/>
      <c r="K2198" s="1" t="str">
        <f t="shared" si="2"/>
        <v>x</v>
      </c>
      <c r="L2198" s="1">
        <v>3.0</v>
      </c>
      <c r="M2198" s="2" t="str">
        <f t="shared" si="3"/>
        <v>1398</v>
      </c>
      <c r="N2198" s="5"/>
      <c r="O2198" s="2">
        <v>4.0</v>
      </c>
      <c r="P2198" s="1"/>
      <c r="Q2198" s="1"/>
      <c r="R2198" s="8" t="s">
        <v>108</v>
      </c>
      <c r="S2198" s="5"/>
      <c r="T2198" s="1" t="str">
        <f>IFERROR(__xludf.DUMMYFUNCTION("INDEX(SPLIT(A2198, ""/""), 2)"),"کانون‌های فرهنگی هنری")</f>
        <v>کانون‌های فرهنگی هنری</v>
      </c>
      <c r="U2198" s="1" t="str">
        <f>IFERROR(__xludf.DUMMYFUNCTION("INDEX(SPLIT(A2198, ""/""), 3)"),"کانون شعر و ادب")</f>
        <v>کانون شعر و ادب</v>
      </c>
      <c r="V2198" s="1" t="str">
        <f>IFERROR(__xludf.DUMMYFUNCTION("INDEX(SPLIT(A2198, ""/""), 4)"),"بوطیقا")</f>
        <v>بوطیقا</v>
      </c>
    </row>
    <row r="2199">
      <c r="A2199" s="1" t="s">
        <v>6645</v>
      </c>
      <c r="B2199" s="1" t="s">
        <v>6658</v>
      </c>
      <c r="C2199" s="1" t="s">
        <v>21</v>
      </c>
      <c r="D2199" s="4" t="s">
        <v>6659</v>
      </c>
      <c r="E2199" s="1" t="s">
        <v>6509</v>
      </c>
      <c r="F2199" s="1" t="s">
        <v>6653</v>
      </c>
      <c r="G2199" s="1" t="s">
        <v>6660</v>
      </c>
      <c r="H2199" s="1" t="s">
        <v>115</v>
      </c>
      <c r="I2199" s="1" t="str">
        <f t="shared" si="1"/>
        <v>x</v>
      </c>
      <c r="J2199" s="5"/>
      <c r="K2199" s="1" t="str">
        <f t="shared" si="2"/>
        <v>x</v>
      </c>
      <c r="L2199" s="1">
        <v>1.0</v>
      </c>
      <c r="M2199" s="2" t="str">
        <f t="shared" si="3"/>
        <v>1399</v>
      </c>
      <c r="N2199" s="5"/>
      <c r="O2199" s="2">
        <v>5.0</v>
      </c>
      <c r="P2199" s="1"/>
      <c r="Q2199" s="1"/>
      <c r="R2199" s="8" t="s">
        <v>116</v>
      </c>
      <c r="S2199" s="5"/>
      <c r="T2199" s="1" t="str">
        <f>IFERROR(__xludf.DUMMYFUNCTION("INDEX(SPLIT(A2199, ""/""), 2)"),"کانون‌های فرهنگی هنری")</f>
        <v>کانون‌های فرهنگی هنری</v>
      </c>
      <c r="U2199" s="1" t="str">
        <f>IFERROR(__xludf.DUMMYFUNCTION("INDEX(SPLIT(A2199, ""/""), 3)"),"کانون شعر و ادب")</f>
        <v>کانون شعر و ادب</v>
      </c>
      <c r="V2199" s="1" t="str">
        <f>IFERROR(__xludf.DUMMYFUNCTION("INDEX(SPLIT(A2199, ""/""), 4)"),"بوطیقا")</f>
        <v>بوطیقا</v>
      </c>
    </row>
    <row r="2200">
      <c r="A2200" s="1" t="s">
        <v>6645</v>
      </c>
      <c r="B2200" s="1" t="s">
        <v>6661</v>
      </c>
      <c r="C2200" s="1" t="s">
        <v>21</v>
      </c>
      <c r="D2200" s="4" t="s">
        <v>6662</v>
      </c>
      <c r="E2200" s="1" t="s">
        <v>6509</v>
      </c>
      <c r="F2200" s="1" t="s">
        <v>6663</v>
      </c>
      <c r="G2200" s="1" t="s">
        <v>6664</v>
      </c>
      <c r="H2200" s="1" t="s">
        <v>115</v>
      </c>
      <c r="I2200" s="1" t="str">
        <f t="shared" si="1"/>
        <v>x</v>
      </c>
      <c r="J2200" s="5"/>
      <c r="K2200" s="1" t="str">
        <f t="shared" si="2"/>
        <v>x</v>
      </c>
      <c r="L2200" s="1">
        <v>3.0</v>
      </c>
      <c r="M2200" s="2" t="str">
        <f t="shared" si="3"/>
        <v>1399</v>
      </c>
      <c r="N2200" s="5"/>
      <c r="O2200" s="2">
        <v>6.0</v>
      </c>
      <c r="P2200" s="1"/>
      <c r="Q2200" s="1"/>
      <c r="R2200" s="8" t="s">
        <v>116</v>
      </c>
      <c r="S2200" s="5"/>
      <c r="T2200" s="1" t="str">
        <f>IFERROR(__xludf.DUMMYFUNCTION("INDEX(SPLIT(A2200, ""/""), 2)"),"کانون‌های فرهنگی هنری")</f>
        <v>کانون‌های فرهنگی هنری</v>
      </c>
      <c r="U2200" s="1" t="str">
        <f>IFERROR(__xludf.DUMMYFUNCTION("INDEX(SPLIT(A2200, ""/""), 3)"),"کانون شعر و ادب")</f>
        <v>کانون شعر و ادب</v>
      </c>
      <c r="V2200" s="1" t="str">
        <f>IFERROR(__xludf.DUMMYFUNCTION("INDEX(SPLIT(A2200, ""/""), 4)"),"بوطیقا")</f>
        <v>بوطیقا</v>
      </c>
    </row>
    <row r="2201">
      <c r="A2201" s="1" t="s">
        <v>6665</v>
      </c>
      <c r="B2201" s="1" t="s">
        <v>6666</v>
      </c>
      <c r="C2201" s="1" t="s">
        <v>21</v>
      </c>
      <c r="D2201" s="4" t="s">
        <v>6667</v>
      </c>
      <c r="E2201" s="1" t="s">
        <v>6509</v>
      </c>
      <c r="F2201" s="1" t="s">
        <v>6668</v>
      </c>
      <c r="G2201" s="1" t="s">
        <v>6669</v>
      </c>
      <c r="H2201" s="1" t="s">
        <v>898</v>
      </c>
      <c r="I2201" s="1" t="str">
        <f t="shared" si="1"/>
        <v>x</v>
      </c>
      <c r="J2201" s="5"/>
      <c r="K2201" s="1" t="str">
        <f t="shared" si="2"/>
        <v>12</v>
      </c>
      <c r="L2201" s="5"/>
      <c r="M2201" s="2" t="str">
        <f t="shared" si="3"/>
        <v>1384</v>
      </c>
      <c r="N2201" s="5"/>
      <c r="O2201" s="2">
        <v>2.0</v>
      </c>
      <c r="P2201" s="5"/>
      <c r="Q2201" s="5"/>
      <c r="R2201" s="6" t="s">
        <v>899</v>
      </c>
      <c r="S2201" s="5"/>
      <c r="T2201" s="1" t="str">
        <f>IFERROR(__xludf.DUMMYFUNCTION("INDEX(SPLIT(A2201, ""/""), 2)"),"کانون‌های فرهنگی هنری")</f>
        <v>کانون‌های فرهنگی هنری</v>
      </c>
      <c r="U2201" s="1" t="str">
        <f>IFERROR(__xludf.DUMMYFUNCTION("INDEX(SPLIT(A2201, ""/""), 3)"),"کانون شعر و ادب")</f>
        <v>کانون شعر و ادب</v>
      </c>
      <c r="V2201" s="1" t="str">
        <f>IFERROR(__xludf.DUMMYFUNCTION("INDEX(SPLIT(A2201, ""/""), 4)"),"پستو")</f>
        <v>پستو</v>
      </c>
    </row>
    <row r="2202">
      <c r="A2202" s="1" t="s">
        <v>6665</v>
      </c>
      <c r="B2202" s="1" t="s">
        <v>6670</v>
      </c>
      <c r="C2202" s="1" t="s">
        <v>21</v>
      </c>
      <c r="D2202" s="4" t="s">
        <v>6671</v>
      </c>
      <c r="E2202" s="1" t="s">
        <v>6509</v>
      </c>
      <c r="F2202" s="1" t="s">
        <v>6668</v>
      </c>
      <c r="G2202" s="1" t="s">
        <v>6669</v>
      </c>
      <c r="H2202" s="1" t="s">
        <v>82</v>
      </c>
      <c r="I2202" s="1" t="str">
        <f t="shared" si="1"/>
        <v>x</v>
      </c>
      <c r="J2202" s="5"/>
      <c r="K2202" s="1" t="str">
        <f t="shared" si="2"/>
        <v>2</v>
      </c>
      <c r="L2202" s="5"/>
      <c r="M2202" s="2" t="str">
        <f t="shared" si="3"/>
        <v>1385</v>
      </c>
      <c r="N2202" s="5"/>
      <c r="O2202" s="2">
        <v>3.0</v>
      </c>
      <c r="P2202" s="5"/>
      <c r="Q2202" s="5"/>
      <c r="R2202" s="6" t="s">
        <v>83</v>
      </c>
      <c r="S2202" s="5"/>
      <c r="T2202" s="1" t="str">
        <f>IFERROR(__xludf.DUMMYFUNCTION("INDEX(SPLIT(A2202, ""/""), 2)"),"کانون‌های فرهنگی هنری")</f>
        <v>کانون‌های فرهنگی هنری</v>
      </c>
      <c r="U2202" s="1" t="str">
        <f>IFERROR(__xludf.DUMMYFUNCTION("INDEX(SPLIT(A2202, ""/""), 3)"),"کانون شعر و ادب")</f>
        <v>کانون شعر و ادب</v>
      </c>
      <c r="V2202" s="1" t="str">
        <f>IFERROR(__xludf.DUMMYFUNCTION("INDEX(SPLIT(A2202, ""/""), 4)"),"پستو")</f>
        <v>پستو</v>
      </c>
    </row>
    <row r="2203">
      <c r="A2203" s="1" t="s">
        <v>6665</v>
      </c>
      <c r="B2203" s="1" t="s">
        <v>6672</v>
      </c>
      <c r="C2203" s="1" t="s">
        <v>21</v>
      </c>
      <c r="D2203" s="4" t="s">
        <v>6673</v>
      </c>
      <c r="E2203" s="1" t="s">
        <v>6509</v>
      </c>
      <c r="F2203" s="1" t="s">
        <v>6668</v>
      </c>
      <c r="G2203" s="1" t="s">
        <v>71</v>
      </c>
      <c r="H2203" s="1" t="s">
        <v>291</v>
      </c>
      <c r="I2203" s="1" t="str">
        <f t="shared" si="1"/>
        <v>x</v>
      </c>
      <c r="J2203" s="5"/>
      <c r="K2203" s="1" t="str">
        <f t="shared" si="2"/>
        <v>x</v>
      </c>
      <c r="L2203" s="5"/>
      <c r="M2203" s="2" t="str">
        <f t="shared" si="3"/>
        <v>x</v>
      </c>
      <c r="N2203" s="5"/>
      <c r="O2203" s="2">
        <v>5.0</v>
      </c>
      <c r="P2203" s="7" t="s">
        <v>2976</v>
      </c>
      <c r="Q2203" s="1" t="s">
        <v>1103</v>
      </c>
      <c r="R2203" s="6" t="s">
        <v>6674</v>
      </c>
      <c r="S2203" s="5"/>
      <c r="T2203" s="1" t="str">
        <f>IFERROR(__xludf.DUMMYFUNCTION("INDEX(SPLIT(A2203, ""/""), 2)"),"کانون‌های فرهنگی هنری")</f>
        <v>کانون‌های فرهنگی هنری</v>
      </c>
      <c r="U2203" s="1" t="str">
        <f>IFERROR(__xludf.DUMMYFUNCTION("INDEX(SPLIT(A2203, ""/""), 3)"),"کانون شعر و ادب")</f>
        <v>کانون شعر و ادب</v>
      </c>
      <c r="V2203" s="1" t="str">
        <f>IFERROR(__xludf.DUMMYFUNCTION("INDEX(SPLIT(A2203, ""/""), 4)"),"پستو")</f>
        <v>پستو</v>
      </c>
    </row>
    <row r="2204">
      <c r="A2204" s="1" t="s">
        <v>6665</v>
      </c>
      <c r="B2204" s="1" t="s">
        <v>6675</v>
      </c>
      <c r="C2204" s="1" t="s">
        <v>21</v>
      </c>
      <c r="D2204" s="4" t="s">
        <v>6676</v>
      </c>
      <c r="E2204" s="1" t="s">
        <v>6509</v>
      </c>
      <c r="F2204" s="1" t="s">
        <v>71</v>
      </c>
      <c r="G2204" s="1" t="s">
        <v>71</v>
      </c>
      <c r="H2204" s="1" t="s">
        <v>291</v>
      </c>
      <c r="I2204" s="1" t="str">
        <f t="shared" si="1"/>
        <v>x</v>
      </c>
      <c r="J2204" s="5"/>
      <c r="K2204" s="1" t="str">
        <f t="shared" si="2"/>
        <v>x</v>
      </c>
      <c r="L2204" s="5"/>
      <c r="M2204" s="2" t="str">
        <f t="shared" si="3"/>
        <v>x</v>
      </c>
      <c r="N2204" s="5"/>
      <c r="O2204" s="2">
        <v>9.0</v>
      </c>
      <c r="P2204" s="7" t="s">
        <v>2976</v>
      </c>
      <c r="Q2204" s="1" t="s">
        <v>1103</v>
      </c>
      <c r="R2204" s="6" t="s">
        <v>6674</v>
      </c>
      <c r="S2204" s="5"/>
      <c r="T2204" s="1" t="str">
        <f>IFERROR(__xludf.DUMMYFUNCTION("INDEX(SPLIT(A2204, ""/""), 2)"),"کانون‌های فرهنگی هنری")</f>
        <v>کانون‌های فرهنگی هنری</v>
      </c>
      <c r="U2204" s="1" t="str">
        <f>IFERROR(__xludf.DUMMYFUNCTION("INDEX(SPLIT(A2204, ""/""), 3)"),"کانون شعر و ادب")</f>
        <v>کانون شعر و ادب</v>
      </c>
      <c r="V2204" s="1" t="str">
        <f>IFERROR(__xludf.DUMMYFUNCTION("INDEX(SPLIT(A2204, ""/""), 4)"),"پستو")</f>
        <v>پستو</v>
      </c>
    </row>
    <row r="2205">
      <c r="A2205" s="1" t="s">
        <v>6665</v>
      </c>
      <c r="B2205" s="1" t="s">
        <v>6677</v>
      </c>
      <c r="C2205" s="1" t="s">
        <v>21</v>
      </c>
      <c r="D2205" s="4" t="s">
        <v>6678</v>
      </c>
      <c r="E2205" s="1" t="s">
        <v>6509</v>
      </c>
      <c r="F2205" s="1" t="s">
        <v>6679</v>
      </c>
      <c r="G2205" s="1" t="s">
        <v>6679</v>
      </c>
      <c r="H2205" s="1" t="s">
        <v>1103</v>
      </c>
      <c r="I2205" s="1" t="str">
        <f t="shared" si="1"/>
        <v>21</v>
      </c>
      <c r="J2205" s="5"/>
      <c r="K2205" s="1" t="str">
        <f t="shared" si="2"/>
        <v>9</v>
      </c>
      <c r="L2205" s="5"/>
      <c r="M2205" s="2" t="str">
        <f t="shared" si="3"/>
        <v>1388</v>
      </c>
      <c r="N2205" s="5"/>
      <c r="O2205" s="2">
        <v>11.0</v>
      </c>
      <c r="P2205" s="5"/>
      <c r="Q2205" s="5"/>
      <c r="R2205" s="6" t="s">
        <v>1103</v>
      </c>
      <c r="S2205" s="5"/>
      <c r="T2205" s="1" t="str">
        <f>IFERROR(__xludf.DUMMYFUNCTION("INDEX(SPLIT(A2205, ""/""), 2)"),"کانون‌های فرهنگی هنری")</f>
        <v>کانون‌های فرهنگی هنری</v>
      </c>
      <c r="U2205" s="1" t="str">
        <f>IFERROR(__xludf.DUMMYFUNCTION("INDEX(SPLIT(A2205, ""/""), 3)"),"کانون شعر و ادب")</f>
        <v>کانون شعر و ادب</v>
      </c>
      <c r="V2205" s="1" t="str">
        <f>IFERROR(__xludf.DUMMYFUNCTION("INDEX(SPLIT(A2205, ""/""), 4)"),"پستو")</f>
        <v>پستو</v>
      </c>
    </row>
    <row r="2206">
      <c r="A2206" s="1" t="s">
        <v>6665</v>
      </c>
      <c r="B2206" s="1" t="s">
        <v>6680</v>
      </c>
      <c r="C2206" s="1" t="s">
        <v>21</v>
      </c>
      <c r="D2206" s="4" t="s">
        <v>6681</v>
      </c>
      <c r="E2206" s="1" t="s">
        <v>6509</v>
      </c>
      <c r="F2206" s="1" t="s">
        <v>6679</v>
      </c>
      <c r="G2206" s="1" t="s">
        <v>6679</v>
      </c>
      <c r="H2206" s="1" t="s">
        <v>291</v>
      </c>
      <c r="I2206" s="1" t="str">
        <f t="shared" si="1"/>
        <v>x</v>
      </c>
      <c r="J2206" s="5"/>
      <c r="K2206" s="1" t="str">
        <f t="shared" si="2"/>
        <v>x</v>
      </c>
      <c r="L2206" s="5"/>
      <c r="M2206" s="2" t="str">
        <f t="shared" si="3"/>
        <v>x</v>
      </c>
      <c r="N2206" s="5"/>
      <c r="O2206" s="2">
        <v>14.0</v>
      </c>
      <c r="P2206" s="1" t="s">
        <v>1103</v>
      </c>
      <c r="Q2206" s="7" t="s">
        <v>6643</v>
      </c>
      <c r="R2206" s="8" t="s">
        <v>6682</v>
      </c>
      <c r="S2206" s="5"/>
      <c r="T2206" s="1" t="str">
        <f>IFERROR(__xludf.DUMMYFUNCTION("INDEX(SPLIT(A2206, ""/""), 2)"),"کانون‌های فرهنگی هنری")</f>
        <v>کانون‌های فرهنگی هنری</v>
      </c>
      <c r="U2206" s="1" t="str">
        <f>IFERROR(__xludf.DUMMYFUNCTION("INDEX(SPLIT(A2206, ""/""), 3)"),"کانون شعر و ادب")</f>
        <v>کانون شعر و ادب</v>
      </c>
      <c r="V2206" s="1" t="str">
        <f>IFERROR(__xludf.DUMMYFUNCTION("INDEX(SPLIT(A2206, ""/""), 4)"),"پستو")</f>
        <v>پستو</v>
      </c>
    </row>
    <row r="2207">
      <c r="A2207" s="1" t="s">
        <v>6683</v>
      </c>
      <c r="B2207" s="1" t="s">
        <v>6684</v>
      </c>
      <c r="C2207" s="1" t="s">
        <v>21</v>
      </c>
      <c r="D2207" s="4" t="s">
        <v>6685</v>
      </c>
      <c r="E2207" s="1" t="s">
        <v>6686</v>
      </c>
      <c r="F2207" s="1" t="s">
        <v>6687</v>
      </c>
      <c r="G2207" s="1" t="s">
        <v>6688</v>
      </c>
      <c r="H2207" s="1" t="s">
        <v>591</v>
      </c>
      <c r="I2207" s="1" t="str">
        <f t="shared" si="1"/>
        <v>x</v>
      </c>
      <c r="J2207" s="5"/>
      <c r="K2207" s="1" t="str">
        <f t="shared" si="2"/>
        <v>2</v>
      </c>
      <c r="L2207" s="5"/>
      <c r="M2207" s="2" t="str">
        <f t="shared" si="3"/>
        <v>1394</v>
      </c>
      <c r="N2207" s="5"/>
      <c r="O2207" s="2">
        <v>1.0</v>
      </c>
      <c r="P2207" s="5"/>
      <c r="Q2207" s="5"/>
      <c r="R2207" s="6" t="s">
        <v>592</v>
      </c>
      <c r="S2207" s="5"/>
      <c r="T2207" s="1" t="str">
        <f>IFERROR(__xludf.DUMMYFUNCTION("INDEX(SPLIT(A2207, ""/""), 2)"),"کانون‌های فرهنگی هنری")</f>
        <v>کانون‌های فرهنگی هنری</v>
      </c>
      <c r="U2207" s="1" t="str">
        <f>IFERROR(__xludf.DUMMYFUNCTION("INDEX(SPLIT(A2207, ""/""), 3)"),"کانون هنرهای تجسمی")</f>
        <v>کانون هنرهای تجسمی</v>
      </c>
      <c r="V2207" s="1" t="str">
        <f>IFERROR(__xludf.DUMMYFUNCTION("INDEX(SPLIT(A2207, ""/""), 4)"),"نقش خیال")</f>
        <v>نقش خیال</v>
      </c>
    </row>
    <row r="2208">
      <c r="A2208" s="1" t="s">
        <v>6683</v>
      </c>
      <c r="B2208" s="1" t="s">
        <v>6689</v>
      </c>
      <c r="C2208" s="1" t="s">
        <v>21</v>
      </c>
      <c r="D2208" s="4" t="s">
        <v>6690</v>
      </c>
      <c r="E2208" s="1" t="s">
        <v>6686</v>
      </c>
      <c r="F2208" s="1" t="s">
        <v>6687</v>
      </c>
      <c r="G2208" s="1" t="s">
        <v>6688</v>
      </c>
      <c r="H2208" s="1" t="s">
        <v>242</v>
      </c>
      <c r="I2208" s="1" t="str">
        <f t="shared" si="1"/>
        <v>x</v>
      </c>
      <c r="J2208" s="5"/>
      <c r="K2208" s="1" t="str">
        <f t="shared" si="2"/>
        <v>3</v>
      </c>
      <c r="L2208" s="5"/>
      <c r="M2208" s="2" t="str">
        <f t="shared" si="3"/>
        <v>1395</v>
      </c>
      <c r="N2208" s="5"/>
      <c r="O2208" s="2">
        <v>2.0</v>
      </c>
      <c r="P2208" s="5"/>
      <c r="Q2208" s="5"/>
      <c r="R2208" s="6" t="s">
        <v>243</v>
      </c>
      <c r="S2208" s="5"/>
      <c r="T2208" s="1" t="str">
        <f>IFERROR(__xludf.DUMMYFUNCTION("INDEX(SPLIT(A2208, ""/""), 2)"),"کانون‌های فرهنگی هنری")</f>
        <v>کانون‌های فرهنگی هنری</v>
      </c>
      <c r="U2208" s="1" t="str">
        <f>IFERROR(__xludf.DUMMYFUNCTION("INDEX(SPLIT(A2208, ""/""), 3)"),"کانون هنرهای تجسمی")</f>
        <v>کانون هنرهای تجسمی</v>
      </c>
      <c r="V2208" s="1" t="str">
        <f>IFERROR(__xludf.DUMMYFUNCTION("INDEX(SPLIT(A2208, ""/""), 4)"),"نقش خیال")</f>
        <v>نقش خیال</v>
      </c>
    </row>
    <row r="2209">
      <c r="A2209" s="1" t="s">
        <v>6683</v>
      </c>
      <c r="B2209" s="1" t="s">
        <v>6691</v>
      </c>
      <c r="C2209" s="1" t="s">
        <v>21</v>
      </c>
      <c r="D2209" s="4" t="s">
        <v>6692</v>
      </c>
      <c r="E2209" s="1" t="s">
        <v>6693</v>
      </c>
      <c r="F2209" s="1" t="s">
        <v>6687</v>
      </c>
      <c r="G2209" s="1" t="s">
        <v>6694</v>
      </c>
      <c r="H2209" s="1" t="s">
        <v>250</v>
      </c>
      <c r="I2209" s="1" t="str">
        <f t="shared" si="1"/>
        <v>x</v>
      </c>
      <c r="J2209" s="5"/>
      <c r="K2209" s="1" t="str">
        <f t="shared" si="2"/>
        <v>11</v>
      </c>
      <c r="L2209" s="5"/>
      <c r="M2209" s="2" t="str">
        <f t="shared" si="3"/>
        <v>1395</v>
      </c>
      <c r="N2209" s="5"/>
      <c r="O2209" s="2">
        <v>3.0</v>
      </c>
      <c r="P2209" s="5"/>
      <c r="Q2209" s="5"/>
      <c r="R2209" s="6" t="s">
        <v>251</v>
      </c>
      <c r="S2209" s="5"/>
      <c r="T2209" s="1" t="str">
        <f>IFERROR(__xludf.DUMMYFUNCTION("INDEX(SPLIT(A2209, ""/""), 2)"),"کانون‌های فرهنگی هنری")</f>
        <v>کانون‌های فرهنگی هنری</v>
      </c>
      <c r="U2209" s="1" t="str">
        <f>IFERROR(__xludf.DUMMYFUNCTION("INDEX(SPLIT(A2209, ""/""), 3)"),"کانون هنرهای تجسمی")</f>
        <v>کانون هنرهای تجسمی</v>
      </c>
      <c r="V2209" s="1" t="str">
        <f>IFERROR(__xludf.DUMMYFUNCTION("INDEX(SPLIT(A2209, ""/""), 4)"),"نقش خیال")</f>
        <v>نقش خیال</v>
      </c>
    </row>
    <row r="2210">
      <c r="A2210" s="1" t="s">
        <v>6683</v>
      </c>
      <c r="B2210" s="1" t="s">
        <v>6695</v>
      </c>
      <c r="C2210" s="1" t="s">
        <v>21</v>
      </c>
      <c r="D2210" s="4" t="s">
        <v>6696</v>
      </c>
      <c r="E2210" s="1" t="s">
        <v>6693</v>
      </c>
      <c r="F2210" s="1" t="s">
        <v>6694</v>
      </c>
      <c r="G2210" s="1" t="s">
        <v>6697</v>
      </c>
      <c r="H2210" s="1" t="s">
        <v>287</v>
      </c>
      <c r="I2210" s="1" t="str">
        <f t="shared" si="1"/>
        <v>x</v>
      </c>
      <c r="J2210" s="5"/>
      <c r="K2210" s="1" t="str">
        <f t="shared" si="2"/>
        <v>12</v>
      </c>
      <c r="L2210" s="5"/>
      <c r="M2210" s="2" t="str">
        <f t="shared" si="3"/>
        <v>1396</v>
      </c>
      <c r="N2210" s="5"/>
      <c r="O2210" s="2">
        <v>4.0</v>
      </c>
      <c r="P2210" s="5"/>
      <c r="Q2210" s="5"/>
      <c r="R2210" s="6" t="s">
        <v>288</v>
      </c>
      <c r="S2210" s="5"/>
      <c r="T2210" s="1" t="str">
        <f>IFERROR(__xludf.DUMMYFUNCTION("INDEX(SPLIT(A2210, ""/""), 2)"),"کانون‌های فرهنگی هنری")</f>
        <v>کانون‌های فرهنگی هنری</v>
      </c>
      <c r="U2210" s="1" t="str">
        <f>IFERROR(__xludf.DUMMYFUNCTION("INDEX(SPLIT(A2210, ""/""), 3)"),"کانون هنرهای تجسمی")</f>
        <v>کانون هنرهای تجسمی</v>
      </c>
      <c r="V2210" s="1" t="str">
        <f>IFERROR(__xludf.DUMMYFUNCTION("INDEX(SPLIT(A2210, ""/""), 4)"),"نقش خیال")</f>
        <v>نقش خیال</v>
      </c>
    </row>
    <row r="2211">
      <c r="A2211" s="1" t="s">
        <v>6683</v>
      </c>
      <c r="B2211" s="1" t="s">
        <v>6698</v>
      </c>
      <c r="C2211" s="1" t="s">
        <v>21</v>
      </c>
      <c r="D2211" s="4" t="s">
        <v>6699</v>
      </c>
      <c r="E2211" s="1" t="s">
        <v>6693</v>
      </c>
      <c r="F2211" s="1" t="s">
        <v>6700</v>
      </c>
      <c r="G2211" s="1" t="s">
        <v>6701</v>
      </c>
      <c r="H2211" s="1" t="s">
        <v>177</v>
      </c>
      <c r="I2211" s="1" t="str">
        <f t="shared" si="1"/>
        <v>x</v>
      </c>
      <c r="J2211" s="5"/>
      <c r="K2211" s="1" t="str">
        <f t="shared" si="2"/>
        <v>11</v>
      </c>
      <c r="L2211" s="5"/>
      <c r="M2211" s="2" t="str">
        <f t="shared" si="3"/>
        <v>1397</v>
      </c>
      <c r="N2211" s="5"/>
      <c r="O2211" s="2">
        <v>5.0</v>
      </c>
      <c r="P2211" s="5"/>
      <c r="Q2211" s="5"/>
      <c r="R2211" s="6" t="s">
        <v>178</v>
      </c>
      <c r="S2211" s="5"/>
      <c r="T2211" s="1" t="str">
        <f>IFERROR(__xludf.DUMMYFUNCTION("INDEX(SPLIT(A2211, ""/""), 2)"),"کانون‌های فرهنگی هنری")</f>
        <v>کانون‌های فرهنگی هنری</v>
      </c>
      <c r="U2211" s="1" t="str">
        <f>IFERROR(__xludf.DUMMYFUNCTION("INDEX(SPLIT(A2211, ""/""), 3)"),"کانون هنرهای تجسمی")</f>
        <v>کانون هنرهای تجسمی</v>
      </c>
      <c r="V2211" s="1" t="str">
        <f>IFERROR(__xludf.DUMMYFUNCTION("INDEX(SPLIT(A2211, ""/""), 4)"),"نقش خیال")</f>
        <v>نقش خیال</v>
      </c>
    </row>
    <row r="2212">
      <c r="A2212" s="1" t="s">
        <v>6683</v>
      </c>
      <c r="B2212" s="1" t="s">
        <v>6702</v>
      </c>
      <c r="C2212" s="1" t="s">
        <v>21</v>
      </c>
      <c r="D2212" s="4" t="s">
        <v>6703</v>
      </c>
      <c r="E2212" s="1" t="s">
        <v>6693</v>
      </c>
      <c r="F2212" s="1" t="s">
        <v>6704</v>
      </c>
      <c r="G2212" s="1" t="s">
        <v>6705</v>
      </c>
      <c r="H2212" s="1" t="s">
        <v>217</v>
      </c>
      <c r="I2212" s="1" t="str">
        <f t="shared" si="1"/>
        <v>x</v>
      </c>
      <c r="J2212" s="5"/>
      <c r="K2212" s="1" t="str">
        <f t="shared" si="2"/>
        <v>12</v>
      </c>
      <c r="L2212" s="5"/>
      <c r="M2212" s="2" t="str">
        <f t="shared" si="3"/>
        <v>1398</v>
      </c>
      <c r="N2212" s="5"/>
      <c r="O2212" s="2">
        <v>6.0</v>
      </c>
      <c r="P2212" s="5"/>
      <c r="Q2212" s="5"/>
      <c r="R2212" s="6" t="s">
        <v>218</v>
      </c>
      <c r="S2212" s="5"/>
      <c r="T2212" s="1" t="str">
        <f>IFERROR(__xludf.DUMMYFUNCTION("INDEX(SPLIT(A2212, ""/""), 2)"),"کانون‌های فرهنگی هنری")</f>
        <v>کانون‌های فرهنگی هنری</v>
      </c>
      <c r="U2212" s="1" t="str">
        <f>IFERROR(__xludf.DUMMYFUNCTION("INDEX(SPLIT(A2212, ""/""), 3)"),"کانون هنرهای تجسمی")</f>
        <v>کانون هنرهای تجسمی</v>
      </c>
      <c r="V2212" s="1" t="str">
        <f>IFERROR(__xludf.DUMMYFUNCTION("INDEX(SPLIT(A2212, ""/""), 4)"),"نقش خیال")</f>
        <v>نقش خیال</v>
      </c>
    </row>
    <row r="2213">
      <c r="A2213" s="1" t="s">
        <v>6683</v>
      </c>
      <c r="B2213" s="1" t="s">
        <v>6706</v>
      </c>
      <c r="C2213" s="1" t="s">
        <v>21</v>
      </c>
      <c r="D2213" s="4" t="s">
        <v>6707</v>
      </c>
      <c r="E2213" s="1" t="s">
        <v>6693</v>
      </c>
      <c r="F2213" s="1" t="s">
        <v>6704</v>
      </c>
      <c r="G2213" s="1" t="s">
        <v>6705</v>
      </c>
      <c r="H2213" s="1" t="s">
        <v>38</v>
      </c>
      <c r="I2213" s="1" t="str">
        <f t="shared" si="1"/>
        <v>x</v>
      </c>
      <c r="J2213" s="5"/>
      <c r="K2213" s="1" t="str">
        <f t="shared" si="2"/>
        <v>9</v>
      </c>
      <c r="L2213" s="5"/>
      <c r="M2213" s="2" t="str">
        <f t="shared" si="3"/>
        <v>1399</v>
      </c>
      <c r="N2213" s="5"/>
      <c r="O2213" s="2">
        <v>7.0</v>
      </c>
      <c r="P2213" s="5"/>
      <c r="Q2213" s="5"/>
      <c r="R2213" s="6" t="s">
        <v>39</v>
      </c>
      <c r="S2213" s="5"/>
      <c r="T2213" s="1" t="str">
        <f>IFERROR(__xludf.DUMMYFUNCTION("INDEX(SPLIT(A2213, ""/""), 2)"),"کانون‌های فرهنگی هنری")</f>
        <v>کانون‌های فرهنگی هنری</v>
      </c>
      <c r="U2213" s="1" t="str">
        <f>IFERROR(__xludf.DUMMYFUNCTION("INDEX(SPLIT(A2213, ""/""), 3)"),"کانون هنرهای تجسمی")</f>
        <v>کانون هنرهای تجسمی</v>
      </c>
      <c r="V2213" s="1" t="str">
        <f>IFERROR(__xludf.DUMMYFUNCTION("INDEX(SPLIT(A2213, ""/""), 4)"),"نقش خیال")</f>
        <v>نقش خیال</v>
      </c>
    </row>
    <row r="2214">
      <c r="A2214" s="1" t="s">
        <v>6708</v>
      </c>
      <c r="B2214" s="1" t="s">
        <v>6709</v>
      </c>
      <c r="C2214" s="1" t="s">
        <v>21</v>
      </c>
      <c r="D2214" s="4" t="s">
        <v>6710</v>
      </c>
      <c r="E2214" s="1" t="s">
        <v>6711</v>
      </c>
      <c r="F2214" s="1" t="s">
        <v>6711</v>
      </c>
      <c r="G2214" s="1" t="s">
        <v>6711</v>
      </c>
      <c r="H2214" s="1" t="s">
        <v>409</v>
      </c>
      <c r="I2214" s="1" t="str">
        <f t="shared" si="1"/>
        <v>15</v>
      </c>
      <c r="J2214" s="5"/>
      <c r="K2214" s="1" t="str">
        <f t="shared" si="2"/>
        <v>7</v>
      </c>
      <c r="L2214" s="5"/>
      <c r="M2214" s="2" t="str">
        <f t="shared" si="3"/>
        <v>1400</v>
      </c>
      <c r="N2214" s="1">
        <v>1.0</v>
      </c>
      <c r="O2214" s="2">
        <v>1.0</v>
      </c>
      <c r="P2214" s="5"/>
      <c r="Q2214" s="5"/>
      <c r="R2214" s="6" t="s">
        <v>409</v>
      </c>
      <c r="S2214" s="5"/>
      <c r="T2214" s="1" t="str">
        <f>IFERROR(__xludf.DUMMYFUNCTION("INDEX(SPLIT(A2214, ""/""), 2)"),"انجمن‌های علمی و نشریات وابسته به دانشکده‌ها")</f>
        <v>انجمن‌های علمی و نشریات وابسته به دانشکده‌ها</v>
      </c>
      <c r="U2214" s="1" t="str">
        <f>IFERROR(__xludf.DUMMYFUNCTION("INDEX(SPLIT(A2214, ""/""), 3)"),"دانشکده مهندسی کامپیوتر")</f>
        <v>دانشکده مهندسی کامپیوتر</v>
      </c>
      <c r="V2214" s="1" t="str">
        <f>IFERROR(__xludf.DUMMYFUNCTION("INDEX(SPLIT(A2214, ""/""), 4)"),"کدنامه و بایت")</f>
        <v>کدنامه و بایت</v>
      </c>
    </row>
    <row r="2215">
      <c r="A2215" s="1" t="s">
        <v>6708</v>
      </c>
      <c r="B2215" s="1" t="s">
        <v>6712</v>
      </c>
      <c r="C2215" s="1" t="s">
        <v>21</v>
      </c>
      <c r="D2215" s="4" t="s">
        <v>6713</v>
      </c>
      <c r="E2215" s="1" t="s">
        <v>6711</v>
      </c>
      <c r="F2215" s="1" t="s">
        <v>6711</v>
      </c>
      <c r="G2215" s="1" t="s">
        <v>6711</v>
      </c>
      <c r="H2215" s="1" t="s">
        <v>6714</v>
      </c>
      <c r="I2215" s="1" t="str">
        <f t="shared" si="1"/>
        <v>22</v>
      </c>
      <c r="J2215" s="5"/>
      <c r="K2215" s="1" t="str">
        <f t="shared" si="2"/>
        <v>7</v>
      </c>
      <c r="L2215" s="5"/>
      <c r="M2215" s="2" t="str">
        <f t="shared" si="3"/>
        <v>1400</v>
      </c>
      <c r="N2215" s="1">
        <v>1.0</v>
      </c>
      <c r="O2215" s="2">
        <v>2.0</v>
      </c>
      <c r="P2215" s="5"/>
      <c r="Q2215" s="5"/>
      <c r="R2215" s="6" t="s">
        <v>6714</v>
      </c>
      <c r="S2215" s="5"/>
      <c r="T2215" s="1" t="str">
        <f>IFERROR(__xludf.DUMMYFUNCTION("INDEX(SPLIT(A2215, ""/""), 2)"),"انجمن‌های علمی و نشریات وابسته به دانشکده‌ها")</f>
        <v>انجمن‌های علمی و نشریات وابسته به دانشکده‌ها</v>
      </c>
      <c r="U2215" s="1" t="str">
        <f>IFERROR(__xludf.DUMMYFUNCTION("INDEX(SPLIT(A2215, ""/""), 3)"),"دانشکده مهندسی کامپیوتر")</f>
        <v>دانشکده مهندسی کامپیوتر</v>
      </c>
      <c r="V2215" s="1" t="str">
        <f>IFERROR(__xludf.DUMMYFUNCTION("INDEX(SPLIT(A2215, ""/""), 4)"),"کدنامه و بایت")</f>
        <v>کدنامه و بایت</v>
      </c>
    </row>
    <row r="2216">
      <c r="A2216" s="1" t="s">
        <v>6708</v>
      </c>
      <c r="B2216" s="1" t="s">
        <v>6715</v>
      </c>
      <c r="C2216" s="1" t="s">
        <v>21</v>
      </c>
      <c r="D2216" s="4" t="s">
        <v>6716</v>
      </c>
      <c r="E2216" s="1" t="s">
        <v>6711</v>
      </c>
      <c r="F2216" s="1" t="s">
        <v>6711</v>
      </c>
      <c r="G2216" s="1" t="s">
        <v>6711</v>
      </c>
      <c r="H2216" s="1" t="s">
        <v>6717</v>
      </c>
      <c r="I2216" s="1" t="str">
        <f t="shared" si="1"/>
        <v>29</v>
      </c>
      <c r="J2216" s="5"/>
      <c r="K2216" s="1" t="str">
        <f t="shared" si="2"/>
        <v>7</v>
      </c>
      <c r="L2216" s="5"/>
      <c r="M2216" s="2" t="str">
        <f t="shared" si="3"/>
        <v>1400</v>
      </c>
      <c r="N2216" s="1">
        <v>1.0</v>
      </c>
      <c r="O2216" s="2">
        <v>3.0</v>
      </c>
      <c r="P2216" s="5"/>
      <c r="Q2216" s="5"/>
      <c r="R2216" s="6" t="s">
        <v>6717</v>
      </c>
      <c r="S2216" s="5"/>
      <c r="T2216" s="1" t="str">
        <f>IFERROR(__xludf.DUMMYFUNCTION("INDEX(SPLIT(A2216, ""/""), 2)"),"انجمن‌های علمی و نشریات وابسته به دانشکده‌ها")</f>
        <v>انجمن‌های علمی و نشریات وابسته به دانشکده‌ها</v>
      </c>
      <c r="U2216" s="1" t="str">
        <f>IFERROR(__xludf.DUMMYFUNCTION("INDEX(SPLIT(A2216, ""/""), 3)"),"دانشکده مهندسی کامپیوتر")</f>
        <v>دانشکده مهندسی کامپیوتر</v>
      </c>
      <c r="V2216" s="1" t="str">
        <f>IFERROR(__xludf.DUMMYFUNCTION("INDEX(SPLIT(A2216, ""/""), 4)"),"کدنامه و بایت")</f>
        <v>کدنامه و بایت</v>
      </c>
    </row>
    <row r="2217">
      <c r="A2217" s="1" t="s">
        <v>6708</v>
      </c>
      <c r="B2217" s="1" t="s">
        <v>6718</v>
      </c>
      <c r="C2217" s="1" t="s">
        <v>21</v>
      </c>
      <c r="D2217" s="4" t="s">
        <v>6719</v>
      </c>
      <c r="E2217" s="1" t="s">
        <v>6711</v>
      </c>
      <c r="F2217" s="1" t="s">
        <v>6711</v>
      </c>
      <c r="G2217" s="1" t="s">
        <v>6711</v>
      </c>
      <c r="H2217" s="7" t="s">
        <v>6720</v>
      </c>
      <c r="I2217" s="1" t="str">
        <f t="shared" si="1"/>
        <v>6</v>
      </c>
      <c r="J2217" s="5"/>
      <c r="K2217" s="1" t="str">
        <f t="shared" si="2"/>
        <v>8</v>
      </c>
      <c r="L2217" s="5"/>
      <c r="M2217" s="2" t="str">
        <f t="shared" si="3"/>
        <v>1400</v>
      </c>
      <c r="N2217" s="1">
        <v>1.0</v>
      </c>
      <c r="O2217" s="2">
        <v>4.0</v>
      </c>
      <c r="P2217" s="5"/>
      <c r="Q2217" s="5"/>
      <c r="R2217" s="8" t="s">
        <v>6720</v>
      </c>
      <c r="S2217" s="5"/>
      <c r="T2217" s="1" t="str">
        <f>IFERROR(__xludf.DUMMYFUNCTION("INDEX(SPLIT(A2217, ""/""), 2)"),"انجمن‌های علمی و نشریات وابسته به دانشکده‌ها")</f>
        <v>انجمن‌های علمی و نشریات وابسته به دانشکده‌ها</v>
      </c>
      <c r="U2217" s="1" t="str">
        <f>IFERROR(__xludf.DUMMYFUNCTION("INDEX(SPLIT(A2217, ""/""), 3)"),"دانشکده مهندسی کامپیوتر")</f>
        <v>دانشکده مهندسی کامپیوتر</v>
      </c>
      <c r="V2217" s="1" t="str">
        <f>IFERROR(__xludf.DUMMYFUNCTION("INDEX(SPLIT(A2217, ""/""), 4)"),"کدنامه و بایت")</f>
        <v>کدنامه و بایت</v>
      </c>
    </row>
    <row r="2218">
      <c r="A2218" s="1" t="s">
        <v>6708</v>
      </c>
      <c r="B2218" s="1" t="s">
        <v>6721</v>
      </c>
      <c r="C2218" s="1" t="s">
        <v>21</v>
      </c>
      <c r="D2218" s="4" t="s">
        <v>6722</v>
      </c>
      <c r="E2218" s="1" t="s">
        <v>6711</v>
      </c>
      <c r="F2218" s="1" t="s">
        <v>6711</v>
      </c>
      <c r="G2218" s="1" t="s">
        <v>6711</v>
      </c>
      <c r="H2218" s="1" t="s">
        <v>6723</v>
      </c>
      <c r="I2218" s="1" t="str">
        <f t="shared" si="1"/>
        <v>21</v>
      </c>
      <c r="J2218" s="5"/>
      <c r="K2218" s="1" t="str">
        <f t="shared" si="2"/>
        <v>8</v>
      </c>
      <c r="L2218" s="5"/>
      <c r="M2218" s="2" t="str">
        <f t="shared" si="3"/>
        <v>1400</v>
      </c>
      <c r="N2218" s="1">
        <v>1.0</v>
      </c>
      <c r="O2218" s="2">
        <v>5.0</v>
      </c>
      <c r="P2218" s="5"/>
      <c r="Q2218" s="5"/>
      <c r="R2218" s="6" t="s">
        <v>6723</v>
      </c>
      <c r="S2218" s="5"/>
      <c r="T2218" s="1" t="str">
        <f>IFERROR(__xludf.DUMMYFUNCTION("INDEX(SPLIT(A2218, ""/""), 2)"),"انجمن‌های علمی و نشریات وابسته به دانشکده‌ها")</f>
        <v>انجمن‌های علمی و نشریات وابسته به دانشکده‌ها</v>
      </c>
      <c r="U2218" s="1" t="str">
        <f>IFERROR(__xludf.DUMMYFUNCTION("INDEX(SPLIT(A2218, ""/""), 3)"),"دانشکده مهندسی کامپیوتر")</f>
        <v>دانشکده مهندسی کامپیوتر</v>
      </c>
      <c r="V2218" s="1" t="str">
        <f>IFERROR(__xludf.DUMMYFUNCTION("INDEX(SPLIT(A2218, ""/""), 4)"),"کدنامه و بایت")</f>
        <v>کدنامه و بایت</v>
      </c>
    </row>
    <row r="2219">
      <c r="A2219" s="1" t="s">
        <v>6708</v>
      </c>
      <c r="B2219" s="1" t="s">
        <v>6724</v>
      </c>
      <c r="C2219" s="1" t="s">
        <v>21</v>
      </c>
      <c r="D2219" s="4" t="s">
        <v>6725</v>
      </c>
      <c r="E2219" s="1" t="s">
        <v>6711</v>
      </c>
      <c r="F2219" s="1" t="s">
        <v>6711</v>
      </c>
      <c r="G2219" s="1" t="s">
        <v>6711</v>
      </c>
      <c r="H2219" s="1" t="s">
        <v>6726</v>
      </c>
      <c r="I2219" s="1" t="str">
        <f t="shared" si="1"/>
        <v>25</v>
      </c>
      <c r="J2219" s="5"/>
      <c r="K2219" s="1" t="str">
        <f t="shared" si="2"/>
        <v>12</v>
      </c>
      <c r="L2219" s="5"/>
      <c r="M2219" s="2" t="str">
        <f t="shared" si="3"/>
        <v>1400</v>
      </c>
      <c r="N2219" s="1">
        <v>2.0</v>
      </c>
      <c r="O2219" s="2">
        <v>1.0</v>
      </c>
      <c r="P2219" s="5"/>
      <c r="Q2219" s="5"/>
      <c r="R2219" s="6" t="s">
        <v>6726</v>
      </c>
      <c r="S2219" s="5"/>
      <c r="T2219" s="1" t="str">
        <f>IFERROR(__xludf.DUMMYFUNCTION("INDEX(SPLIT(A2219, ""/""), 2)"),"انجمن‌های علمی و نشریات وابسته به دانشکده‌ها")</f>
        <v>انجمن‌های علمی و نشریات وابسته به دانشکده‌ها</v>
      </c>
      <c r="U2219" s="1" t="str">
        <f>IFERROR(__xludf.DUMMYFUNCTION("INDEX(SPLIT(A2219, ""/""), 3)"),"دانشکده مهندسی کامپیوتر")</f>
        <v>دانشکده مهندسی کامپیوتر</v>
      </c>
      <c r="V2219" s="1" t="str">
        <f>IFERROR(__xludf.DUMMYFUNCTION("INDEX(SPLIT(A2219, ""/""), 4)"),"کدنامه و بایت")</f>
        <v>کدنامه و بایت</v>
      </c>
    </row>
    <row r="2220">
      <c r="A2220" s="1" t="s">
        <v>6708</v>
      </c>
      <c r="B2220" s="1" t="s">
        <v>6727</v>
      </c>
      <c r="C2220" s="1" t="s">
        <v>21</v>
      </c>
      <c r="D2220" s="4" t="s">
        <v>6728</v>
      </c>
      <c r="E2220" s="1" t="s">
        <v>6711</v>
      </c>
      <c r="F2220" s="1" t="s">
        <v>6711</v>
      </c>
      <c r="G2220" s="1" t="s">
        <v>6711</v>
      </c>
      <c r="H2220" s="7" t="s">
        <v>6729</v>
      </c>
      <c r="I2220" s="1" t="str">
        <f t="shared" si="1"/>
        <v>3</v>
      </c>
      <c r="J2220" s="5"/>
      <c r="K2220" s="1" t="str">
        <f t="shared" si="2"/>
        <v>1</v>
      </c>
      <c r="L2220" s="5"/>
      <c r="M2220" s="2" t="str">
        <f t="shared" si="3"/>
        <v>1401</v>
      </c>
      <c r="N2220" s="1">
        <v>2.0</v>
      </c>
      <c r="O2220" s="2">
        <v>2.0</v>
      </c>
      <c r="P2220" s="5"/>
      <c r="Q2220" s="5"/>
      <c r="R2220" s="8" t="s">
        <v>6729</v>
      </c>
      <c r="S2220" s="5"/>
      <c r="T2220" s="1" t="str">
        <f>IFERROR(__xludf.DUMMYFUNCTION("INDEX(SPLIT(A2220, ""/""), 2)"),"انجمن‌های علمی و نشریات وابسته به دانشکده‌ها")</f>
        <v>انجمن‌های علمی و نشریات وابسته به دانشکده‌ها</v>
      </c>
      <c r="U2220" s="1" t="str">
        <f>IFERROR(__xludf.DUMMYFUNCTION("INDEX(SPLIT(A2220, ""/""), 3)"),"دانشکده مهندسی کامپیوتر")</f>
        <v>دانشکده مهندسی کامپیوتر</v>
      </c>
      <c r="V2220" s="1" t="str">
        <f>IFERROR(__xludf.DUMMYFUNCTION("INDEX(SPLIT(A2220, ""/""), 4)"),"کدنامه و بایت")</f>
        <v>کدنامه و بایت</v>
      </c>
    </row>
    <row r="2221">
      <c r="A2221" s="1" t="s">
        <v>6708</v>
      </c>
      <c r="B2221" s="1" t="s">
        <v>6730</v>
      </c>
      <c r="C2221" s="1" t="s">
        <v>21</v>
      </c>
      <c r="D2221" s="4" t="s">
        <v>6731</v>
      </c>
      <c r="E2221" s="1" t="s">
        <v>6711</v>
      </c>
      <c r="F2221" s="1" t="s">
        <v>6711</v>
      </c>
      <c r="G2221" s="1" t="s">
        <v>6711</v>
      </c>
      <c r="H2221" s="1" t="s">
        <v>6732</v>
      </c>
      <c r="I2221" s="1" t="str">
        <f t="shared" si="1"/>
        <v>21</v>
      </c>
      <c r="J2221" s="5"/>
      <c r="K2221" s="1" t="str">
        <f t="shared" si="2"/>
        <v>1</v>
      </c>
      <c r="L2221" s="5"/>
      <c r="M2221" s="2" t="str">
        <f t="shared" si="3"/>
        <v>1401</v>
      </c>
      <c r="N2221" s="1">
        <v>2.0</v>
      </c>
      <c r="O2221" s="2">
        <v>3.0</v>
      </c>
      <c r="P2221" s="5"/>
      <c r="Q2221" s="5"/>
      <c r="R2221" s="6" t="s">
        <v>6732</v>
      </c>
      <c r="S2221" s="5"/>
      <c r="T2221" s="1" t="str">
        <f>IFERROR(__xludf.DUMMYFUNCTION("INDEX(SPLIT(A2221, ""/""), 2)"),"انجمن‌های علمی و نشریات وابسته به دانشکده‌ها")</f>
        <v>انجمن‌های علمی و نشریات وابسته به دانشکده‌ها</v>
      </c>
      <c r="U2221" s="1" t="str">
        <f>IFERROR(__xludf.DUMMYFUNCTION("INDEX(SPLIT(A2221, ""/""), 3)"),"دانشکده مهندسی کامپیوتر")</f>
        <v>دانشکده مهندسی کامپیوتر</v>
      </c>
      <c r="V2221" s="1" t="str">
        <f>IFERROR(__xludf.DUMMYFUNCTION("INDEX(SPLIT(A2221, ""/""), 4)"),"کدنامه و بایت")</f>
        <v>کدنامه و بایت</v>
      </c>
    </row>
    <row r="2222">
      <c r="A2222" s="1" t="s">
        <v>6708</v>
      </c>
      <c r="B2222" s="1" t="s">
        <v>6733</v>
      </c>
      <c r="C2222" s="1" t="s">
        <v>21</v>
      </c>
      <c r="D2222" s="4" t="s">
        <v>6734</v>
      </c>
      <c r="E2222" s="1" t="s">
        <v>6711</v>
      </c>
      <c r="F2222" s="1" t="s">
        <v>6711</v>
      </c>
      <c r="G2222" s="1" t="s">
        <v>6711</v>
      </c>
      <c r="H2222" s="7" t="s">
        <v>6735</v>
      </c>
      <c r="I2222" s="1" t="str">
        <f t="shared" si="1"/>
        <v>1</v>
      </c>
      <c r="J2222" s="5"/>
      <c r="K2222" s="1" t="str">
        <f t="shared" si="2"/>
        <v>2</v>
      </c>
      <c r="L2222" s="5"/>
      <c r="M2222" s="2" t="str">
        <f t="shared" si="3"/>
        <v>1401</v>
      </c>
      <c r="N2222" s="1">
        <v>2.0</v>
      </c>
      <c r="O2222" s="2">
        <v>4.0</v>
      </c>
      <c r="P2222" s="5"/>
      <c r="Q2222" s="5"/>
      <c r="R2222" s="8" t="s">
        <v>6735</v>
      </c>
      <c r="S2222" s="5"/>
      <c r="T2222" s="1" t="str">
        <f>IFERROR(__xludf.DUMMYFUNCTION("INDEX(SPLIT(A2222, ""/""), 2)"),"انجمن‌های علمی و نشریات وابسته به دانشکده‌ها")</f>
        <v>انجمن‌های علمی و نشریات وابسته به دانشکده‌ها</v>
      </c>
      <c r="U2222" s="1" t="str">
        <f>IFERROR(__xludf.DUMMYFUNCTION("INDEX(SPLIT(A2222, ""/""), 3)"),"دانشکده مهندسی کامپیوتر")</f>
        <v>دانشکده مهندسی کامپیوتر</v>
      </c>
      <c r="V2222" s="1" t="str">
        <f>IFERROR(__xludf.DUMMYFUNCTION("INDEX(SPLIT(A2222, ""/""), 4)"),"کدنامه و بایت")</f>
        <v>کدنامه و بایت</v>
      </c>
    </row>
    <row r="2223">
      <c r="A2223" s="1" t="s">
        <v>6708</v>
      </c>
      <c r="B2223" s="1" t="s">
        <v>6736</v>
      </c>
      <c r="C2223" s="1" t="s">
        <v>21</v>
      </c>
      <c r="D2223" s="4" t="s">
        <v>6737</v>
      </c>
      <c r="E2223" s="1" t="s">
        <v>6711</v>
      </c>
      <c r="F2223" s="1" t="s">
        <v>6711</v>
      </c>
      <c r="G2223" s="1" t="s">
        <v>6711</v>
      </c>
      <c r="H2223" s="1" t="s">
        <v>6738</v>
      </c>
      <c r="I2223" s="1" t="str">
        <f t="shared" si="1"/>
        <v>15</v>
      </c>
      <c r="J2223" s="5"/>
      <c r="K2223" s="1" t="str">
        <f t="shared" si="2"/>
        <v>3</v>
      </c>
      <c r="L2223" s="5"/>
      <c r="M2223" s="2" t="str">
        <f t="shared" si="3"/>
        <v>1401</v>
      </c>
      <c r="N2223" s="1">
        <v>2.0</v>
      </c>
      <c r="O2223" s="2">
        <v>5.0</v>
      </c>
      <c r="P2223" s="5"/>
      <c r="Q2223" s="5"/>
      <c r="R2223" s="6" t="s">
        <v>6738</v>
      </c>
      <c r="S2223" s="5"/>
      <c r="T2223" s="1" t="str">
        <f>IFERROR(__xludf.DUMMYFUNCTION("INDEX(SPLIT(A2223, ""/""), 2)"),"انجمن‌های علمی و نشریات وابسته به دانشکده‌ها")</f>
        <v>انجمن‌های علمی و نشریات وابسته به دانشکده‌ها</v>
      </c>
      <c r="U2223" s="1" t="str">
        <f>IFERROR(__xludf.DUMMYFUNCTION("INDEX(SPLIT(A2223, ""/""), 3)"),"دانشکده مهندسی کامپیوتر")</f>
        <v>دانشکده مهندسی کامپیوتر</v>
      </c>
      <c r="V2223" s="1" t="str">
        <f>IFERROR(__xludf.DUMMYFUNCTION("INDEX(SPLIT(A2223, ""/""), 4)"),"کدنامه و بایت")</f>
        <v>کدنامه و بایت</v>
      </c>
    </row>
    <row r="2224">
      <c r="A2224" s="1" t="s">
        <v>6708</v>
      </c>
      <c r="B2224" s="1" t="s">
        <v>6739</v>
      </c>
      <c r="C2224" s="1" t="s">
        <v>21</v>
      </c>
      <c r="D2224" s="4" t="s">
        <v>6740</v>
      </c>
      <c r="E2224" s="1" t="s">
        <v>6711</v>
      </c>
      <c r="F2224" s="1" t="s">
        <v>6711</v>
      </c>
      <c r="G2224" s="1" t="s">
        <v>6711</v>
      </c>
      <c r="H2224" s="7" t="s">
        <v>6741</v>
      </c>
      <c r="I2224" s="1" t="str">
        <f t="shared" si="1"/>
        <v>1</v>
      </c>
      <c r="J2224" s="5"/>
      <c r="K2224" s="1" t="str">
        <f t="shared" si="2"/>
        <v>9</v>
      </c>
      <c r="L2224" s="5"/>
      <c r="M2224" s="2" t="str">
        <f t="shared" si="3"/>
        <v>1401</v>
      </c>
      <c r="N2224" s="1">
        <v>3.0</v>
      </c>
      <c r="O2224" s="2">
        <v>1.0</v>
      </c>
      <c r="P2224" s="5"/>
      <c r="Q2224" s="5"/>
      <c r="R2224" s="8" t="s">
        <v>6741</v>
      </c>
      <c r="S2224" s="5"/>
      <c r="T2224" s="1" t="str">
        <f>IFERROR(__xludf.DUMMYFUNCTION("INDEX(SPLIT(A2224, ""/""), 2)"),"انجمن‌های علمی و نشریات وابسته به دانشکده‌ها")</f>
        <v>انجمن‌های علمی و نشریات وابسته به دانشکده‌ها</v>
      </c>
      <c r="U2224" s="1" t="str">
        <f>IFERROR(__xludf.DUMMYFUNCTION("INDEX(SPLIT(A2224, ""/""), 3)"),"دانشکده مهندسی کامپیوتر")</f>
        <v>دانشکده مهندسی کامپیوتر</v>
      </c>
      <c r="V2224" s="1" t="str">
        <f>IFERROR(__xludf.DUMMYFUNCTION("INDEX(SPLIT(A2224, ""/""), 4)"),"کدنامه و بایت")</f>
        <v>کدنامه و بایت</v>
      </c>
    </row>
    <row r="2225">
      <c r="A2225" s="1" t="s">
        <v>6708</v>
      </c>
      <c r="B2225" s="1" t="s">
        <v>6742</v>
      </c>
      <c r="C2225" s="1" t="s">
        <v>21</v>
      </c>
      <c r="D2225" s="4" t="s">
        <v>6743</v>
      </c>
      <c r="E2225" s="1" t="s">
        <v>6711</v>
      </c>
      <c r="F2225" s="1" t="s">
        <v>6711</v>
      </c>
      <c r="G2225" s="1" t="s">
        <v>6711</v>
      </c>
      <c r="H2225" s="7" t="s">
        <v>6744</v>
      </c>
      <c r="I2225" s="1" t="str">
        <f t="shared" si="1"/>
        <v>2</v>
      </c>
      <c r="J2225" s="5"/>
      <c r="K2225" s="1" t="str">
        <f t="shared" si="2"/>
        <v>10</v>
      </c>
      <c r="L2225" s="5"/>
      <c r="M2225" s="2" t="str">
        <f t="shared" si="3"/>
        <v>1401</v>
      </c>
      <c r="N2225" s="1">
        <v>3.0</v>
      </c>
      <c r="O2225" s="2">
        <v>2.0</v>
      </c>
      <c r="P2225" s="5"/>
      <c r="Q2225" s="5"/>
      <c r="R2225" s="8" t="s">
        <v>6744</v>
      </c>
      <c r="S2225" s="5"/>
      <c r="T2225" s="1" t="str">
        <f>IFERROR(__xludf.DUMMYFUNCTION("INDEX(SPLIT(A2225, ""/""), 2)"),"انجمن‌های علمی و نشریات وابسته به دانشکده‌ها")</f>
        <v>انجمن‌های علمی و نشریات وابسته به دانشکده‌ها</v>
      </c>
      <c r="U2225" s="1" t="str">
        <f>IFERROR(__xludf.DUMMYFUNCTION("INDEX(SPLIT(A2225, ""/""), 3)"),"دانشکده مهندسی کامپیوتر")</f>
        <v>دانشکده مهندسی کامپیوتر</v>
      </c>
      <c r="V2225" s="1" t="str">
        <f>IFERROR(__xludf.DUMMYFUNCTION("INDEX(SPLIT(A2225, ""/""), 4)"),"کدنامه و بایت")</f>
        <v>کدنامه و بایت</v>
      </c>
    </row>
    <row r="2226">
      <c r="A2226" s="1" t="s">
        <v>6708</v>
      </c>
      <c r="B2226" s="1" t="s">
        <v>6745</v>
      </c>
      <c r="C2226" s="1" t="s">
        <v>21</v>
      </c>
      <c r="D2226" s="4" t="s">
        <v>6746</v>
      </c>
      <c r="E2226" s="1" t="s">
        <v>6711</v>
      </c>
      <c r="F2226" s="1" t="s">
        <v>6711</v>
      </c>
      <c r="G2226" s="1" t="s">
        <v>6711</v>
      </c>
      <c r="H2226" s="7" t="s">
        <v>6747</v>
      </c>
      <c r="I2226" s="1" t="str">
        <f t="shared" si="1"/>
        <v>7</v>
      </c>
      <c r="J2226" s="5"/>
      <c r="K2226" s="1" t="str">
        <f t="shared" si="2"/>
        <v>11</v>
      </c>
      <c r="L2226" s="5"/>
      <c r="M2226" s="2" t="str">
        <f t="shared" si="3"/>
        <v>1401</v>
      </c>
      <c r="N2226" s="1">
        <v>3.0</v>
      </c>
      <c r="O2226" s="2">
        <v>3.0</v>
      </c>
      <c r="P2226" s="5"/>
      <c r="Q2226" s="5"/>
      <c r="R2226" s="8" t="s">
        <v>6747</v>
      </c>
      <c r="S2226" s="5"/>
      <c r="T2226" s="1" t="str">
        <f>IFERROR(__xludf.DUMMYFUNCTION("INDEX(SPLIT(A2226, ""/""), 2)"),"انجمن‌های علمی و نشریات وابسته به دانشکده‌ها")</f>
        <v>انجمن‌های علمی و نشریات وابسته به دانشکده‌ها</v>
      </c>
      <c r="U2226" s="1" t="str">
        <f>IFERROR(__xludf.DUMMYFUNCTION("INDEX(SPLIT(A2226, ""/""), 3)"),"دانشکده مهندسی کامپیوتر")</f>
        <v>دانشکده مهندسی کامپیوتر</v>
      </c>
      <c r="V2226" s="1" t="str">
        <f>IFERROR(__xludf.DUMMYFUNCTION("INDEX(SPLIT(A2226, ""/""), 4)"),"کدنامه و بایت")</f>
        <v>کدنامه و بایت</v>
      </c>
    </row>
    <row r="2227">
      <c r="A2227" s="1" t="s">
        <v>6708</v>
      </c>
      <c r="B2227" s="1" t="s">
        <v>6748</v>
      </c>
      <c r="C2227" s="1" t="s">
        <v>21</v>
      </c>
      <c r="D2227" s="4" t="s">
        <v>6749</v>
      </c>
      <c r="E2227" s="1" t="s">
        <v>3380</v>
      </c>
      <c r="F2227" s="1" t="s">
        <v>6750</v>
      </c>
      <c r="G2227" s="1" t="s">
        <v>6751</v>
      </c>
      <c r="H2227" s="1" t="s">
        <v>462</v>
      </c>
      <c r="I2227" s="1" t="str">
        <f t="shared" si="1"/>
        <v>x</v>
      </c>
      <c r="J2227" s="5"/>
      <c r="K2227" s="1" t="str">
        <f t="shared" si="2"/>
        <v>8</v>
      </c>
      <c r="L2227" s="5"/>
      <c r="M2227" s="2" t="str">
        <f t="shared" si="3"/>
        <v>1402</v>
      </c>
      <c r="N2227" s="1">
        <v>4.0</v>
      </c>
      <c r="O2227" s="2">
        <v>1.0</v>
      </c>
      <c r="P2227" s="5"/>
      <c r="Q2227" s="5"/>
      <c r="R2227" s="6" t="s">
        <v>463</v>
      </c>
      <c r="S2227" s="5"/>
      <c r="T2227" s="1" t="str">
        <f>IFERROR(__xludf.DUMMYFUNCTION("INDEX(SPLIT(A2227, ""/""), 2)"),"انجمن‌های علمی و نشریات وابسته به دانشکده‌ها")</f>
        <v>انجمن‌های علمی و نشریات وابسته به دانشکده‌ها</v>
      </c>
      <c r="U2227" s="1" t="str">
        <f>IFERROR(__xludf.DUMMYFUNCTION("INDEX(SPLIT(A2227, ""/""), 3)"),"دانشکده مهندسی کامپیوتر")</f>
        <v>دانشکده مهندسی کامپیوتر</v>
      </c>
      <c r="V2227" s="1" t="str">
        <f>IFERROR(__xludf.DUMMYFUNCTION("INDEX(SPLIT(A2227, ""/""), 4)"),"کدنامه و بایت")</f>
        <v>کدنامه و بایت</v>
      </c>
    </row>
    <row r="2228">
      <c r="A2228" s="1" t="s">
        <v>6708</v>
      </c>
      <c r="B2228" s="1" t="s">
        <v>6752</v>
      </c>
      <c r="C2228" s="1" t="s">
        <v>21</v>
      </c>
      <c r="D2228" s="4" t="s">
        <v>6753</v>
      </c>
      <c r="E2228" s="1" t="s">
        <v>3380</v>
      </c>
      <c r="F2228" s="1" t="s">
        <v>2432</v>
      </c>
      <c r="G2228" s="1" t="s">
        <v>6754</v>
      </c>
      <c r="H2228" s="1" t="s">
        <v>1370</v>
      </c>
      <c r="I2228" s="1" t="str">
        <f t="shared" si="1"/>
        <v>x</v>
      </c>
      <c r="J2228" s="5"/>
      <c r="K2228" s="1" t="str">
        <f t="shared" si="2"/>
        <v>2</v>
      </c>
      <c r="L2228" s="5"/>
      <c r="M2228" s="2" t="str">
        <f t="shared" si="3"/>
        <v>1404</v>
      </c>
      <c r="N2228" s="1">
        <v>4.0</v>
      </c>
      <c r="O2228" s="2">
        <v>2.0</v>
      </c>
      <c r="P2228" s="5"/>
      <c r="Q2228" s="5"/>
      <c r="R2228" s="6" t="s">
        <v>1371</v>
      </c>
      <c r="S2228" s="5"/>
      <c r="T2228" s="1" t="str">
        <f>IFERROR(__xludf.DUMMYFUNCTION("INDEX(SPLIT(A2228, ""/""), 2)"),"انجمن‌های علمی و نشریات وابسته به دانشکده‌ها")</f>
        <v>انجمن‌های علمی و نشریات وابسته به دانشکده‌ها</v>
      </c>
      <c r="U2228" s="1" t="str">
        <f>IFERROR(__xludf.DUMMYFUNCTION("INDEX(SPLIT(A2228, ""/""), 3)"),"دانشکده مهندسی کامپیوتر")</f>
        <v>دانشکده مهندسی کامپیوتر</v>
      </c>
      <c r="V2228" s="1" t="str">
        <f>IFERROR(__xludf.DUMMYFUNCTION("INDEX(SPLIT(A2228, ""/""), 4)"),"کدنامه و بایت")</f>
        <v>کدنامه و بایت</v>
      </c>
    </row>
    <row r="2229">
      <c r="A2229" s="1" t="s">
        <v>6708</v>
      </c>
      <c r="B2229" s="1" t="s">
        <v>6755</v>
      </c>
      <c r="C2229" s="1" t="s">
        <v>21</v>
      </c>
      <c r="D2229" s="4" t="s">
        <v>6756</v>
      </c>
      <c r="E2229" s="1" t="s">
        <v>3380</v>
      </c>
      <c r="F2229" s="1" t="s">
        <v>2432</v>
      </c>
      <c r="G2229" s="1" t="s">
        <v>6754</v>
      </c>
      <c r="H2229" s="1" t="s">
        <v>686</v>
      </c>
      <c r="I2229" s="1" t="str">
        <f t="shared" si="1"/>
        <v>x</v>
      </c>
      <c r="J2229" s="5"/>
      <c r="K2229" s="1" t="str">
        <f t="shared" si="2"/>
        <v>4</v>
      </c>
      <c r="L2229" s="5"/>
      <c r="M2229" s="2" t="str">
        <f t="shared" si="3"/>
        <v>1404</v>
      </c>
      <c r="N2229" s="1">
        <v>4.0</v>
      </c>
      <c r="O2229" s="2">
        <v>3.0</v>
      </c>
      <c r="P2229" s="5"/>
      <c r="Q2229" s="5"/>
      <c r="R2229" s="6" t="s">
        <v>687</v>
      </c>
      <c r="S2229" s="5"/>
      <c r="T2229" s="1" t="str">
        <f>IFERROR(__xludf.DUMMYFUNCTION("INDEX(SPLIT(A2229, ""/""), 2)"),"انجمن‌های علمی و نشریات وابسته به دانشکده‌ها")</f>
        <v>انجمن‌های علمی و نشریات وابسته به دانشکده‌ها</v>
      </c>
      <c r="U2229" s="1" t="str">
        <f>IFERROR(__xludf.DUMMYFUNCTION("INDEX(SPLIT(A2229, ""/""), 3)"),"دانشکده مهندسی کامپیوتر")</f>
        <v>دانشکده مهندسی کامپیوتر</v>
      </c>
      <c r="V2229" s="1" t="str">
        <f>IFERROR(__xludf.DUMMYFUNCTION("INDEX(SPLIT(A2229, ""/""), 4)"),"کدنامه و بایت")</f>
        <v>کدنامه و بایت</v>
      </c>
    </row>
    <row r="2230">
      <c r="A2230" s="1" t="s">
        <v>6708</v>
      </c>
      <c r="B2230" s="1" t="s">
        <v>6757</v>
      </c>
      <c r="C2230" s="1" t="s">
        <v>21</v>
      </c>
      <c r="D2230" s="4" t="s">
        <v>6758</v>
      </c>
      <c r="E2230" s="1" t="s">
        <v>3380</v>
      </c>
      <c r="F2230" s="1" t="s">
        <v>2432</v>
      </c>
      <c r="G2230" s="1" t="s">
        <v>6754</v>
      </c>
      <c r="H2230" s="1" t="s">
        <v>6759</v>
      </c>
      <c r="I2230" s="1" t="str">
        <f t="shared" si="1"/>
        <v>30</v>
      </c>
      <c r="J2230" s="5"/>
      <c r="K2230" s="1" t="str">
        <f t="shared" si="2"/>
        <v>5</v>
      </c>
      <c r="L2230" s="5"/>
      <c r="M2230" s="2" t="str">
        <f t="shared" si="3"/>
        <v>1404</v>
      </c>
      <c r="N2230" s="1">
        <v>4.0</v>
      </c>
      <c r="O2230" s="2">
        <v>4.0</v>
      </c>
      <c r="P2230" s="5"/>
      <c r="Q2230" s="5"/>
      <c r="R2230" s="6" t="s">
        <v>6759</v>
      </c>
      <c r="S2230" s="5"/>
      <c r="T2230" s="1" t="str">
        <f>IFERROR(__xludf.DUMMYFUNCTION("INDEX(SPLIT(A2230, ""/""), 2)"),"انجمن‌های علمی و نشریات وابسته به دانشکده‌ها")</f>
        <v>انجمن‌های علمی و نشریات وابسته به دانشکده‌ها</v>
      </c>
      <c r="U2230" s="1" t="str">
        <f>IFERROR(__xludf.DUMMYFUNCTION("INDEX(SPLIT(A2230, ""/""), 3)"),"دانشکده مهندسی کامپیوتر")</f>
        <v>دانشکده مهندسی کامپیوتر</v>
      </c>
      <c r="V2230" s="1" t="str">
        <f>IFERROR(__xludf.DUMMYFUNCTION("INDEX(SPLIT(A2230, ""/""), 4)"),"کدنامه و بایت")</f>
        <v>کدنامه و بایت</v>
      </c>
    </row>
    <row r="2231">
      <c r="A2231" s="1" t="s">
        <v>6760</v>
      </c>
      <c r="B2231" s="1" t="s">
        <v>6761</v>
      </c>
      <c r="C2231" s="1" t="s">
        <v>21</v>
      </c>
      <c r="D2231" s="4" t="s">
        <v>6762</v>
      </c>
      <c r="E2231" s="1" t="s">
        <v>71</v>
      </c>
      <c r="F2231" s="1" t="s">
        <v>1350</v>
      </c>
      <c r="G2231" s="1" t="s">
        <v>1350</v>
      </c>
      <c r="H2231" s="1" t="s">
        <v>742</v>
      </c>
      <c r="I2231" s="1" t="str">
        <f t="shared" si="1"/>
        <v>x</v>
      </c>
      <c r="J2231" s="5"/>
      <c r="K2231" s="1" t="str">
        <f t="shared" si="2"/>
        <v>x</v>
      </c>
      <c r="L2231" s="1">
        <v>2.0</v>
      </c>
      <c r="M2231" s="2" t="str">
        <f t="shared" si="3"/>
        <v>1400</v>
      </c>
      <c r="N2231" s="1"/>
      <c r="O2231" s="1">
        <v>1.0</v>
      </c>
      <c r="P2231" s="1"/>
      <c r="Q2231" s="1"/>
      <c r="R2231" s="8" t="s">
        <v>744</v>
      </c>
      <c r="S2231" s="5"/>
      <c r="T2231" s="1" t="str">
        <f>IFERROR(__xludf.DUMMYFUNCTION("INDEX(SPLIT(A2231, ""/""), 2)"),"انجمن‌های علمی و نشریات وابسته به دانشکده‌ها")</f>
        <v>انجمن‌های علمی و نشریات وابسته به دانشکده‌ها</v>
      </c>
      <c r="U2231" s="1" t="str">
        <f>IFERROR(__xludf.DUMMYFUNCTION("INDEX(SPLIT(A2231, ""/""), 3)"),"دانشکده مهندسی مواد و متالورژی")</f>
        <v>دانشکده مهندسی مواد و متالورژی</v>
      </c>
      <c r="V2231" s="1" t="str">
        <f>IFERROR(__xludf.DUMMYFUNCTION("INDEX(SPLIT(A2231, ""/""), 4)"),"متریال‌تایمز")</f>
        <v>متریال‌تایمز</v>
      </c>
    </row>
    <row r="2232">
      <c r="A2232" s="1" t="s">
        <v>6763</v>
      </c>
      <c r="B2232" s="1" t="s">
        <v>6764</v>
      </c>
      <c r="C2232" s="1" t="s">
        <v>21</v>
      </c>
      <c r="D2232" s="4" t="s">
        <v>6765</v>
      </c>
      <c r="E2232" s="1" t="s">
        <v>3546</v>
      </c>
      <c r="F2232" s="1" t="s">
        <v>3547</v>
      </c>
      <c r="G2232" s="1" t="s">
        <v>71</v>
      </c>
      <c r="H2232" s="1" t="s">
        <v>3519</v>
      </c>
      <c r="I2232" s="1" t="str">
        <f t="shared" si="1"/>
        <v>x</v>
      </c>
      <c r="J2232" s="5"/>
      <c r="K2232" s="1" t="str">
        <f t="shared" si="2"/>
        <v>2</v>
      </c>
      <c r="L2232" s="5"/>
      <c r="M2232" s="2" t="str">
        <f t="shared" si="3"/>
        <v>1375</v>
      </c>
      <c r="N2232" s="5"/>
      <c r="O2232" s="2">
        <v>3.0</v>
      </c>
      <c r="P2232" s="5"/>
      <c r="Q2232" s="5"/>
      <c r="R2232" s="6" t="s">
        <v>3520</v>
      </c>
      <c r="S2232" s="5"/>
      <c r="T2232" s="1" t="str">
        <f>IFERROR(__xludf.DUMMYFUNCTION("INDEX(SPLIT(A2232, ""/""), 2)"),"انجمن‌های علمی و نشریات وابسته به دانشکده‌ها")</f>
        <v>انجمن‌های علمی و نشریات وابسته به دانشکده‌ها</v>
      </c>
      <c r="U2232" s="1" t="str">
        <f>IFERROR(__xludf.DUMMYFUNCTION("INDEX(SPLIT(A2232, ""/""), 3)"),"دانشکده مهندسی برق")</f>
        <v>دانشکده مهندسی برق</v>
      </c>
      <c r="V2232" s="1" t="str">
        <f>IFERROR(__xludf.DUMMYFUNCTION("INDEX(SPLIT(A2232, ""/""), 4)"),"مجله برق شریف")</f>
        <v>مجله برق شریف</v>
      </c>
    </row>
    <row r="2233">
      <c r="A2233" s="1" t="s">
        <v>6763</v>
      </c>
      <c r="B2233" s="1" t="s">
        <v>6766</v>
      </c>
      <c r="C2233" s="1" t="s">
        <v>21</v>
      </c>
      <c r="D2233" s="4" t="s">
        <v>6767</v>
      </c>
      <c r="E2233" s="1" t="s">
        <v>3546</v>
      </c>
      <c r="F2233" s="1" t="s">
        <v>3547</v>
      </c>
      <c r="G2233" s="1" t="s">
        <v>71</v>
      </c>
      <c r="H2233" s="1" t="s">
        <v>6768</v>
      </c>
      <c r="I2233" s="1" t="str">
        <f t="shared" si="1"/>
        <v>x</v>
      </c>
      <c r="J2233" s="5"/>
      <c r="K2233" s="1" t="str">
        <f t="shared" si="2"/>
        <v>x</v>
      </c>
      <c r="L2233" s="1">
        <v>4.0</v>
      </c>
      <c r="M2233" s="2" t="str">
        <f t="shared" si="3"/>
        <v>1375</v>
      </c>
      <c r="N2233" s="5"/>
      <c r="O2233" s="2">
        <v>4.0</v>
      </c>
      <c r="P2233" s="5"/>
      <c r="Q2233" s="5"/>
      <c r="R2233" s="8" t="s">
        <v>6769</v>
      </c>
      <c r="S2233" s="5"/>
      <c r="T2233" s="1" t="str">
        <f>IFERROR(__xludf.DUMMYFUNCTION("INDEX(SPLIT(A2233, ""/""), 2)"),"انجمن‌های علمی و نشریات وابسته به دانشکده‌ها")</f>
        <v>انجمن‌های علمی و نشریات وابسته به دانشکده‌ها</v>
      </c>
      <c r="U2233" s="1" t="str">
        <f>IFERROR(__xludf.DUMMYFUNCTION("INDEX(SPLIT(A2233, ""/""), 3)"),"دانشکده مهندسی برق")</f>
        <v>دانشکده مهندسی برق</v>
      </c>
      <c r="V2233" s="1" t="str">
        <f>IFERROR(__xludf.DUMMYFUNCTION("INDEX(SPLIT(A2233, ""/""), 4)"),"مجله برق شریف")</f>
        <v>مجله برق شریف</v>
      </c>
    </row>
    <row r="2234">
      <c r="A2234" s="1" t="s">
        <v>6763</v>
      </c>
      <c r="B2234" s="1" t="s">
        <v>6770</v>
      </c>
      <c r="C2234" s="1" t="s">
        <v>21</v>
      </c>
      <c r="D2234" s="4" t="s">
        <v>6771</v>
      </c>
      <c r="E2234" s="1" t="s">
        <v>3546</v>
      </c>
      <c r="F2234" s="1" t="s">
        <v>3547</v>
      </c>
      <c r="G2234" s="1" t="s">
        <v>6772</v>
      </c>
      <c r="H2234" s="1" t="s">
        <v>6773</v>
      </c>
      <c r="I2234" s="1" t="str">
        <f t="shared" si="1"/>
        <v>x</v>
      </c>
      <c r="J2234" s="5"/>
      <c r="K2234" s="1" t="str">
        <f t="shared" si="2"/>
        <v>x</v>
      </c>
      <c r="L2234" s="1">
        <v>1.0</v>
      </c>
      <c r="M2234" s="2" t="str">
        <f t="shared" si="3"/>
        <v>1377</v>
      </c>
      <c r="N2234" s="5"/>
      <c r="O2234" s="2">
        <v>5.0</v>
      </c>
      <c r="P2234" s="5"/>
      <c r="Q2234" s="5"/>
      <c r="R2234" s="8" t="s">
        <v>6774</v>
      </c>
      <c r="S2234" s="5"/>
      <c r="T2234" s="1" t="str">
        <f>IFERROR(__xludf.DUMMYFUNCTION("INDEX(SPLIT(A2234, ""/""), 2)"),"انجمن‌های علمی و نشریات وابسته به دانشکده‌ها")</f>
        <v>انجمن‌های علمی و نشریات وابسته به دانشکده‌ها</v>
      </c>
      <c r="U2234" s="1" t="str">
        <f>IFERROR(__xludf.DUMMYFUNCTION("INDEX(SPLIT(A2234, ""/""), 3)"),"دانشکده مهندسی برق")</f>
        <v>دانشکده مهندسی برق</v>
      </c>
      <c r="V2234" s="1" t="str">
        <f>IFERROR(__xludf.DUMMYFUNCTION("INDEX(SPLIT(A2234, ""/""), 4)"),"مجله برق شریف")</f>
        <v>مجله برق شریف</v>
      </c>
    </row>
    <row r="2235">
      <c r="A2235" s="1" t="s">
        <v>6763</v>
      </c>
      <c r="B2235" s="1" t="s">
        <v>6775</v>
      </c>
      <c r="C2235" s="1" t="s">
        <v>21</v>
      </c>
      <c r="D2235" s="4" t="s">
        <v>6776</v>
      </c>
      <c r="E2235" s="1" t="s">
        <v>3546</v>
      </c>
      <c r="F2235" s="1" t="s">
        <v>3547</v>
      </c>
      <c r="G2235" s="1" t="s">
        <v>6772</v>
      </c>
      <c r="H2235" s="1" t="s">
        <v>6773</v>
      </c>
      <c r="I2235" s="1" t="str">
        <f t="shared" si="1"/>
        <v>x</v>
      </c>
      <c r="J2235" s="5"/>
      <c r="K2235" s="1" t="str">
        <f t="shared" si="2"/>
        <v>x</v>
      </c>
      <c r="L2235" s="1">
        <v>3.0</v>
      </c>
      <c r="M2235" s="2" t="str">
        <f t="shared" si="3"/>
        <v>1377</v>
      </c>
      <c r="N2235" s="5"/>
      <c r="O2235" s="2">
        <v>6.0</v>
      </c>
      <c r="P2235" s="5"/>
      <c r="Q2235" s="5"/>
      <c r="R2235" s="8" t="s">
        <v>6774</v>
      </c>
      <c r="S2235" s="5"/>
      <c r="T2235" s="1" t="str">
        <f>IFERROR(__xludf.DUMMYFUNCTION("INDEX(SPLIT(A2235, ""/""), 2)"),"انجمن‌های علمی و نشریات وابسته به دانشکده‌ها")</f>
        <v>انجمن‌های علمی و نشریات وابسته به دانشکده‌ها</v>
      </c>
      <c r="U2235" s="1" t="str">
        <f>IFERROR(__xludf.DUMMYFUNCTION("INDEX(SPLIT(A2235, ""/""), 3)"),"دانشکده مهندسی برق")</f>
        <v>دانشکده مهندسی برق</v>
      </c>
      <c r="V2235" s="1" t="str">
        <f>IFERROR(__xludf.DUMMYFUNCTION("INDEX(SPLIT(A2235, ""/""), 4)"),"مجله برق شریف")</f>
        <v>مجله برق شریف</v>
      </c>
    </row>
    <row r="2236">
      <c r="A2236" s="1" t="s">
        <v>6763</v>
      </c>
      <c r="B2236" s="1" t="s">
        <v>6777</v>
      </c>
      <c r="C2236" s="1" t="s">
        <v>21</v>
      </c>
      <c r="D2236" s="4" t="s">
        <v>6778</v>
      </c>
      <c r="E2236" s="1" t="s">
        <v>3546</v>
      </c>
      <c r="F2236" s="1" t="s">
        <v>3547</v>
      </c>
      <c r="G2236" s="1" t="s">
        <v>6779</v>
      </c>
      <c r="H2236" s="1" t="s">
        <v>3530</v>
      </c>
      <c r="I2236" s="1" t="str">
        <f t="shared" si="1"/>
        <v>x</v>
      </c>
      <c r="J2236" s="5"/>
      <c r="K2236" s="1" t="str">
        <f t="shared" si="2"/>
        <v>x</v>
      </c>
      <c r="L2236" s="1">
        <v>4.0</v>
      </c>
      <c r="M2236" s="2" t="str">
        <f t="shared" si="3"/>
        <v>1378</v>
      </c>
      <c r="N2236" s="5"/>
      <c r="O2236" s="2">
        <v>8.0</v>
      </c>
      <c r="P2236" s="5"/>
      <c r="Q2236" s="5"/>
      <c r="R2236" s="8" t="s">
        <v>3531</v>
      </c>
      <c r="S2236" s="5"/>
      <c r="T2236" s="1" t="str">
        <f>IFERROR(__xludf.DUMMYFUNCTION("INDEX(SPLIT(A2236, ""/""), 2)"),"انجمن‌های علمی و نشریات وابسته به دانشکده‌ها")</f>
        <v>انجمن‌های علمی و نشریات وابسته به دانشکده‌ها</v>
      </c>
      <c r="U2236" s="1" t="str">
        <f>IFERROR(__xludf.DUMMYFUNCTION("INDEX(SPLIT(A2236, ""/""), 3)"),"دانشکده مهندسی برق")</f>
        <v>دانشکده مهندسی برق</v>
      </c>
      <c r="V2236" s="1" t="str">
        <f>IFERROR(__xludf.DUMMYFUNCTION("INDEX(SPLIT(A2236, ""/""), 4)"),"مجله برق شریف")</f>
        <v>مجله برق شریف</v>
      </c>
    </row>
    <row r="2237">
      <c r="A2237" s="1" t="s">
        <v>6763</v>
      </c>
      <c r="B2237" s="1" t="s">
        <v>6780</v>
      </c>
      <c r="C2237" s="1" t="s">
        <v>21</v>
      </c>
      <c r="D2237" s="4" t="s">
        <v>6781</v>
      </c>
      <c r="E2237" s="1" t="s">
        <v>3546</v>
      </c>
      <c r="F2237" s="1" t="s">
        <v>3547</v>
      </c>
      <c r="G2237" s="1" t="s">
        <v>6779</v>
      </c>
      <c r="H2237" s="1" t="s">
        <v>3538</v>
      </c>
      <c r="I2237" s="1" t="str">
        <f t="shared" si="1"/>
        <v>x</v>
      </c>
      <c r="J2237" s="5"/>
      <c r="K2237" s="1" t="str">
        <f t="shared" si="2"/>
        <v>x</v>
      </c>
      <c r="L2237" s="1">
        <v>2.0</v>
      </c>
      <c r="M2237" s="2" t="str">
        <f t="shared" si="3"/>
        <v>1379</v>
      </c>
      <c r="N2237" s="5"/>
      <c r="O2237" s="2">
        <v>9.0</v>
      </c>
      <c r="P2237" s="5"/>
      <c r="Q2237" s="5"/>
      <c r="R2237" s="8" t="s">
        <v>3539</v>
      </c>
      <c r="S2237" s="5"/>
      <c r="T2237" s="1" t="str">
        <f>IFERROR(__xludf.DUMMYFUNCTION("INDEX(SPLIT(A2237, ""/""), 2)"),"انجمن‌های علمی و نشریات وابسته به دانشکده‌ها")</f>
        <v>انجمن‌های علمی و نشریات وابسته به دانشکده‌ها</v>
      </c>
      <c r="U2237" s="1" t="str">
        <f>IFERROR(__xludf.DUMMYFUNCTION("INDEX(SPLIT(A2237, ""/""), 3)"),"دانشکده مهندسی برق")</f>
        <v>دانشکده مهندسی برق</v>
      </c>
      <c r="V2237" s="1" t="str">
        <f>IFERROR(__xludf.DUMMYFUNCTION("INDEX(SPLIT(A2237, ""/""), 4)"),"مجله برق شریف")</f>
        <v>مجله برق شریف</v>
      </c>
    </row>
    <row r="2238">
      <c r="A2238" s="1" t="s">
        <v>6763</v>
      </c>
      <c r="B2238" s="1" t="s">
        <v>6782</v>
      </c>
      <c r="C2238" s="1" t="s">
        <v>21</v>
      </c>
      <c r="D2238" s="4" t="s">
        <v>6783</v>
      </c>
      <c r="E2238" s="1" t="s">
        <v>3546</v>
      </c>
      <c r="F2238" s="1" t="s">
        <v>3547</v>
      </c>
      <c r="G2238" s="1" t="s">
        <v>6779</v>
      </c>
      <c r="H2238" s="1" t="s">
        <v>6784</v>
      </c>
      <c r="I2238" s="1" t="str">
        <f t="shared" si="1"/>
        <v>x</v>
      </c>
      <c r="J2238" s="5"/>
      <c r="K2238" s="1" t="str">
        <f t="shared" si="2"/>
        <v>11</v>
      </c>
      <c r="L2238" s="5"/>
      <c r="M2238" s="2" t="str">
        <f t="shared" si="3"/>
        <v>1379</v>
      </c>
      <c r="N2238" s="5"/>
      <c r="O2238" s="2">
        <v>10.0</v>
      </c>
      <c r="P2238" s="5"/>
      <c r="Q2238" s="5"/>
      <c r="R2238" s="6" t="s">
        <v>6785</v>
      </c>
      <c r="S2238" s="5"/>
      <c r="T2238" s="1" t="str">
        <f>IFERROR(__xludf.DUMMYFUNCTION("INDEX(SPLIT(A2238, ""/""), 2)"),"انجمن‌های علمی و نشریات وابسته به دانشکده‌ها")</f>
        <v>انجمن‌های علمی و نشریات وابسته به دانشکده‌ها</v>
      </c>
      <c r="U2238" s="1" t="str">
        <f>IFERROR(__xludf.DUMMYFUNCTION("INDEX(SPLIT(A2238, ""/""), 3)"),"دانشکده مهندسی برق")</f>
        <v>دانشکده مهندسی برق</v>
      </c>
      <c r="V2238" s="1" t="str">
        <f>IFERROR(__xludf.DUMMYFUNCTION("INDEX(SPLIT(A2238, ""/""), 4)"),"مجله برق شریف")</f>
        <v>مجله برق شریف</v>
      </c>
    </row>
    <row r="2239">
      <c r="A2239" s="1" t="s">
        <v>6786</v>
      </c>
      <c r="B2239" s="1" t="s">
        <v>6787</v>
      </c>
      <c r="C2239" s="1" t="s">
        <v>21</v>
      </c>
      <c r="D2239" s="4" t="s">
        <v>6788</v>
      </c>
      <c r="E2239" s="1" t="s">
        <v>71</v>
      </c>
      <c r="F2239" s="1" t="s">
        <v>6789</v>
      </c>
      <c r="G2239" s="1" t="s">
        <v>71</v>
      </c>
      <c r="H2239" s="1" t="s">
        <v>6790</v>
      </c>
      <c r="I2239" s="1" t="str">
        <f t="shared" si="1"/>
        <v>x</v>
      </c>
      <c r="J2239" s="5"/>
      <c r="K2239" s="1" t="str">
        <f t="shared" si="2"/>
        <v>x</v>
      </c>
      <c r="L2239" s="1">
        <v>3.0</v>
      </c>
      <c r="M2239" s="2" t="str">
        <f t="shared" si="3"/>
        <v>1372</v>
      </c>
      <c r="N2239" s="5"/>
      <c r="O2239" s="2">
        <v>1.0</v>
      </c>
      <c r="P2239" s="5"/>
      <c r="Q2239" s="5"/>
      <c r="R2239" s="8" t="s">
        <v>6791</v>
      </c>
      <c r="S2239" s="5"/>
      <c r="T2239" s="1" t="str">
        <f>IFERROR(__xludf.DUMMYFUNCTION("INDEX(SPLIT(A2239, ""/""), 2)"),"انجمن‌های علمی و نشریات وابسته به دانشکده‌ها")</f>
        <v>انجمن‌های علمی و نشریات وابسته به دانشکده‌ها</v>
      </c>
      <c r="U2239" s="1" t="str">
        <f>IFERROR(__xludf.DUMMYFUNCTION("INDEX(SPLIT(A2239, ""/""), 3)"),"دانشکده مهندسی صنایع")</f>
        <v>دانشکده مهندسی صنایع</v>
      </c>
      <c r="V2239" s="1" t="str">
        <f>IFERROR(__xludf.DUMMYFUNCTION("INDEX(SPLIT(A2239, ""/""), 4)"),"مجله صنایع")</f>
        <v>مجله صنایع</v>
      </c>
    </row>
    <row r="2240">
      <c r="A2240" s="1" t="s">
        <v>6786</v>
      </c>
      <c r="B2240" s="1" t="s">
        <v>6792</v>
      </c>
      <c r="C2240" s="1" t="s">
        <v>21</v>
      </c>
      <c r="D2240" s="4" t="s">
        <v>6793</v>
      </c>
      <c r="E2240" s="1" t="s">
        <v>6794</v>
      </c>
      <c r="F2240" s="1" t="s">
        <v>6795</v>
      </c>
      <c r="G2240" s="1" t="s">
        <v>6796</v>
      </c>
      <c r="H2240" s="1" t="s">
        <v>270</v>
      </c>
      <c r="I2240" s="1" t="str">
        <f t="shared" si="1"/>
        <v>x</v>
      </c>
      <c r="J2240" s="5"/>
      <c r="K2240" s="1" t="str">
        <f t="shared" si="2"/>
        <v>7</v>
      </c>
      <c r="L2240" s="5"/>
      <c r="M2240" s="2" t="str">
        <f t="shared" si="3"/>
        <v>1396</v>
      </c>
      <c r="N2240" s="5"/>
      <c r="O2240" s="2" t="s">
        <v>6797</v>
      </c>
      <c r="P2240" s="5"/>
      <c r="Q2240" s="5"/>
      <c r="R2240" s="6" t="s">
        <v>271</v>
      </c>
      <c r="S2240" s="5"/>
      <c r="T2240" s="1" t="str">
        <f>IFERROR(__xludf.DUMMYFUNCTION("INDEX(SPLIT(A2240, ""/""), 2)"),"انجمن‌های علمی و نشریات وابسته به دانشکده‌ها")</f>
        <v>انجمن‌های علمی و نشریات وابسته به دانشکده‌ها</v>
      </c>
      <c r="U2240" s="1" t="str">
        <f>IFERROR(__xludf.DUMMYFUNCTION("INDEX(SPLIT(A2240, ""/""), 3)"),"دانشکده مهندسی صنایع")</f>
        <v>دانشکده مهندسی صنایع</v>
      </c>
      <c r="V2240" s="1" t="str">
        <f>IFERROR(__xludf.DUMMYFUNCTION("INDEX(SPLIT(A2240, ""/""), 4)"),"مجله صنایع")</f>
        <v>مجله صنایع</v>
      </c>
    </row>
    <row r="2241">
      <c r="A2241" s="1" t="s">
        <v>6786</v>
      </c>
      <c r="B2241" s="1" t="s">
        <v>6798</v>
      </c>
      <c r="C2241" s="1" t="s">
        <v>21</v>
      </c>
      <c r="D2241" s="4" t="s">
        <v>6799</v>
      </c>
      <c r="E2241" s="1" t="s">
        <v>6794</v>
      </c>
      <c r="F2241" s="1" t="s">
        <v>6800</v>
      </c>
      <c r="G2241" s="1" t="s">
        <v>6801</v>
      </c>
      <c r="H2241" s="1" t="s">
        <v>3671</v>
      </c>
      <c r="I2241" s="1" t="str">
        <f t="shared" si="1"/>
        <v>x</v>
      </c>
      <c r="J2241" s="5"/>
      <c r="K2241" s="1" t="str">
        <f t="shared" si="2"/>
        <v>x</v>
      </c>
      <c r="L2241" s="1">
        <v>3.0</v>
      </c>
      <c r="M2241" s="2" t="str">
        <f t="shared" si="3"/>
        <v>1396</v>
      </c>
      <c r="N2241" s="5"/>
      <c r="O2241" s="2">
        <v>53.0</v>
      </c>
      <c r="P2241" s="5"/>
      <c r="Q2241" s="5"/>
      <c r="R2241" s="8" t="s">
        <v>2302</v>
      </c>
      <c r="S2241" s="5"/>
      <c r="T2241" s="1" t="str">
        <f>IFERROR(__xludf.DUMMYFUNCTION("INDEX(SPLIT(A2241, ""/""), 2)"),"انجمن‌های علمی و نشریات وابسته به دانشکده‌ها")</f>
        <v>انجمن‌های علمی و نشریات وابسته به دانشکده‌ها</v>
      </c>
      <c r="U2241" s="1" t="str">
        <f>IFERROR(__xludf.DUMMYFUNCTION("INDEX(SPLIT(A2241, ""/""), 3)"),"دانشکده مهندسی صنایع")</f>
        <v>دانشکده مهندسی صنایع</v>
      </c>
      <c r="V2241" s="1" t="str">
        <f>IFERROR(__xludf.DUMMYFUNCTION("INDEX(SPLIT(A2241, ""/""), 4)"),"مجله صنایع")</f>
        <v>مجله صنایع</v>
      </c>
    </row>
    <row r="2242">
      <c r="A2242" s="1" t="s">
        <v>6786</v>
      </c>
      <c r="B2242" s="1" t="s">
        <v>6802</v>
      </c>
      <c r="C2242" s="1" t="s">
        <v>21</v>
      </c>
      <c r="D2242" s="4" t="s">
        <v>6803</v>
      </c>
      <c r="E2242" s="1" t="s">
        <v>6794</v>
      </c>
      <c r="F2242" s="1" t="s">
        <v>6800</v>
      </c>
      <c r="G2242" s="1" t="s">
        <v>6804</v>
      </c>
      <c r="H2242" s="1" t="s">
        <v>3671</v>
      </c>
      <c r="I2242" s="1" t="str">
        <f t="shared" si="1"/>
        <v>x</v>
      </c>
      <c r="J2242" s="5"/>
      <c r="K2242" s="1" t="str">
        <f t="shared" si="2"/>
        <v>x</v>
      </c>
      <c r="L2242" s="1">
        <v>4.0</v>
      </c>
      <c r="M2242" s="2" t="str">
        <f t="shared" si="3"/>
        <v>1396</v>
      </c>
      <c r="N2242" s="5"/>
      <c r="O2242" s="2">
        <v>54.0</v>
      </c>
      <c r="P2242" s="5"/>
      <c r="Q2242" s="5"/>
      <c r="R2242" s="8" t="s">
        <v>2302</v>
      </c>
      <c r="S2242" s="5"/>
      <c r="T2242" s="1" t="str">
        <f>IFERROR(__xludf.DUMMYFUNCTION("INDEX(SPLIT(A2242, ""/""), 2)"),"انجمن‌های علمی و نشریات وابسته به دانشکده‌ها")</f>
        <v>انجمن‌های علمی و نشریات وابسته به دانشکده‌ها</v>
      </c>
      <c r="U2242" s="1" t="str">
        <f>IFERROR(__xludf.DUMMYFUNCTION("INDEX(SPLIT(A2242, ""/""), 3)"),"دانشکده مهندسی صنایع")</f>
        <v>دانشکده مهندسی صنایع</v>
      </c>
      <c r="V2242" s="1" t="str">
        <f>IFERROR(__xludf.DUMMYFUNCTION("INDEX(SPLIT(A2242, ""/""), 4)"),"مجله صنایع")</f>
        <v>مجله صنایع</v>
      </c>
    </row>
    <row r="2243">
      <c r="A2243" s="1" t="s">
        <v>6786</v>
      </c>
      <c r="B2243" s="1" t="s">
        <v>6805</v>
      </c>
      <c r="C2243" s="1" t="s">
        <v>21</v>
      </c>
      <c r="D2243" s="4" t="s">
        <v>6806</v>
      </c>
      <c r="E2243" s="1" t="s">
        <v>6794</v>
      </c>
      <c r="F2243" s="1" t="s">
        <v>6807</v>
      </c>
      <c r="G2243" s="1" t="s">
        <v>6808</v>
      </c>
      <c r="H2243" s="7" t="s">
        <v>6296</v>
      </c>
      <c r="I2243" s="1" t="str">
        <f t="shared" si="1"/>
        <v>11</v>
      </c>
      <c r="J2243" s="5"/>
      <c r="K2243" s="1" t="str">
        <f t="shared" si="2"/>
        <v>8</v>
      </c>
      <c r="L2243" s="5"/>
      <c r="M2243" s="2" t="str">
        <f t="shared" si="3"/>
        <v>1398</v>
      </c>
      <c r="N2243" s="5"/>
      <c r="O2243" s="2">
        <v>55.0</v>
      </c>
      <c r="P2243" s="5"/>
      <c r="Q2243" s="5"/>
      <c r="R2243" s="8" t="s">
        <v>6296</v>
      </c>
      <c r="S2243" s="5"/>
      <c r="T2243" s="1" t="str">
        <f>IFERROR(__xludf.DUMMYFUNCTION("INDEX(SPLIT(A2243, ""/""), 2)"),"انجمن‌های علمی و نشریات وابسته به دانشکده‌ها")</f>
        <v>انجمن‌های علمی و نشریات وابسته به دانشکده‌ها</v>
      </c>
      <c r="U2243" s="1" t="str">
        <f>IFERROR(__xludf.DUMMYFUNCTION("INDEX(SPLIT(A2243, ""/""), 3)"),"دانشکده مهندسی صنایع")</f>
        <v>دانشکده مهندسی صنایع</v>
      </c>
      <c r="V2243" s="1" t="str">
        <f>IFERROR(__xludf.DUMMYFUNCTION("INDEX(SPLIT(A2243, ""/""), 4)"),"مجله صنایع")</f>
        <v>مجله صنایع</v>
      </c>
    </row>
    <row r="2244">
      <c r="A2244" s="1" t="s">
        <v>6786</v>
      </c>
      <c r="B2244" s="1" t="s">
        <v>6809</v>
      </c>
      <c r="C2244" s="1" t="s">
        <v>21</v>
      </c>
      <c r="D2244" s="4" t="s">
        <v>6810</v>
      </c>
      <c r="E2244" s="1" t="s">
        <v>6794</v>
      </c>
      <c r="F2244" s="1" t="s">
        <v>6807</v>
      </c>
      <c r="G2244" s="1" t="s">
        <v>6811</v>
      </c>
      <c r="H2244" s="1" t="s">
        <v>371</v>
      </c>
      <c r="I2244" s="1" t="str">
        <f t="shared" si="1"/>
        <v>x</v>
      </c>
      <c r="J2244" s="5"/>
      <c r="K2244" s="1" t="str">
        <f t="shared" si="2"/>
        <v>2</v>
      </c>
      <c r="L2244" s="5"/>
      <c r="M2244" s="2" t="str">
        <f t="shared" si="3"/>
        <v>1399</v>
      </c>
      <c r="N2244" s="5"/>
      <c r="O2244" s="2">
        <v>56.0</v>
      </c>
      <c r="P2244" s="5"/>
      <c r="Q2244" s="5"/>
      <c r="R2244" s="6" t="s">
        <v>372</v>
      </c>
      <c r="S2244" s="5"/>
      <c r="T2244" s="1" t="str">
        <f>IFERROR(__xludf.DUMMYFUNCTION("INDEX(SPLIT(A2244, ""/""), 2)"),"انجمن‌های علمی و نشریات وابسته به دانشکده‌ها")</f>
        <v>انجمن‌های علمی و نشریات وابسته به دانشکده‌ها</v>
      </c>
      <c r="U2244" s="1" t="str">
        <f>IFERROR(__xludf.DUMMYFUNCTION("INDEX(SPLIT(A2244, ""/""), 3)"),"دانشکده مهندسی صنایع")</f>
        <v>دانشکده مهندسی صنایع</v>
      </c>
      <c r="V2244" s="1" t="str">
        <f>IFERROR(__xludf.DUMMYFUNCTION("INDEX(SPLIT(A2244, ""/""), 4)"),"مجله صنایع")</f>
        <v>مجله صنایع</v>
      </c>
    </row>
    <row r="2245">
      <c r="A2245" s="1" t="s">
        <v>6786</v>
      </c>
      <c r="B2245" s="1" t="s">
        <v>6812</v>
      </c>
      <c r="C2245" s="1" t="s">
        <v>21</v>
      </c>
      <c r="D2245" s="4" t="s">
        <v>6813</v>
      </c>
      <c r="E2245" s="1" t="s">
        <v>6794</v>
      </c>
      <c r="F2245" s="1" t="s">
        <v>6814</v>
      </c>
      <c r="G2245" s="1" t="s">
        <v>6815</v>
      </c>
      <c r="H2245" s="1" t="s">
        <v>291</v>
      </c>
      <c r="I2245" s="1" t="str">
        <f t="shared" si="1"/>
        <v>x</v>
      </c>
      <c r="J2245" s="5"/>
      <c r="K2245" s="1" t="str">
        <f t="shared" si="2"/>
        <v>x</v>
      </c>
      <c r="L2245" s="5"/>
      <c r="M2245" s="2" t="str">
        <f t="shared" si="3"/>
        <v>x</v>
      </c>
      <c r="N2245" s="5"/>
      <c r="O2245" s="2">
        <v>57.0</v>
      </c>
      <c r="P2245" s="7" t="s">
        <v>1828</v>
      </c>
      <c r="Q2245" s="1" t="s">
        <v>6816</v>
      </c>
      <c r="R2245" s="6" t="s">
        <v>6817</v>
      </c>
      <c r="S2245" s="5"/>
      <c r="T2245" s="1" t="str">
        <f>IFERROR(__xludf.DUMMYFUNCTION("INDEX(SPLIT(A2245, ""/""), 2)"),"انجمن‌های علمی و نشریات وابسته به دانشکده‌ها")</f>
        <v>انجمن‌های علمی و نشریات وابسته به دانشکده‌ها</v>
      </c>
      <c r="U2245" s="1" t="str">
        <f>IFERROR(__xludf.DUMMYFUNCTION("INDEX(SPLIT(A2245, ""/""), 3)"),"دانشکده مهندسی صنایع")</f>
        <v>دانشکده مهندسی صنایع</v>
      </c>
      <c r="V2245" s="1" t="str">
        <f>IFERROR(__xludf.DUMMYFUNCTION("INDEX(SPLIT(A2245, ""/""), 4)"),"مجله صنایع")</f>
        <v>مجله صنایع</v>
      </c>
    </row>
    <row r="2246">
      <c r="A2246" s="1" t="s">
        <v>6786</v>
      </c>
      <c r="B2246" s="1" t="s">
        <v>6818</v>
      </c>
      <c r="C2246" s="1" t="s">
        <v>21</v>
      </c>
      <c r="D2246" s="4" t="s">
        <v>6819</v>
      </c>
      <c r="E2246" s="1" t="s">
        <v>6794</v>
      </c>
      <c r="F2246" s="1" t="s">
        <v>6814</v>
      </c>
      <c r="G2246" s="1" t="s">
        <v>6815</v>
      </c>
      <c r="H2246" s="1" t="s">
        <v>291</v>
      </c>
      <c r="I2246" s="1" t="str">
        <f t="shared" si="1"/>
        <v>x</v>
      </c>
      <c r="J2246" s="5"/>
      <c r="K2246" s="1" t="str">
        <f t="shared" si="2"/>
        <v>x</v>
      </c>
      <c r="L2246" s="5"/>
      <c r="M2246" s="2" t="str">
        <f t="shared" si="3"/>
        <v>x</v>
      </c>
      <c r="N2246" s="5"/>
      <c r="O2246" s="2">
        <v>58.0</v>
      </c>
      <c r="P2246" s="7" t="s">
        <v>1828</v>
      </c>
      <c r="Q2246" s="1" t="s">
        <v>6816</v>
      </c>
      <c r="R2246" s="6" t="s">
        <v>6817</v>
      </c>
      <c r="S2246" s="5"/>
      <c r="T2246" s="1" t="str">
        <f>IFERROR(__xludf.DUMMYFUNCTION("INDEX(SPLIT(A2246, ""/""), 2)"),"انجمن‌های علمی و نشریات وابسته به دانشکده‌ها")</f>
        <v>انجمن‌های علمی و نشریات وابسته به دانشکده‌ها</v>
      </c>
      <c r="U2246" s="1" t="str">
        <f>IFERROR(__xludf.DUMMYFUNCTION("INDEX(SPLIT(A2246, ""/""), 3)"),"دانشکده مهندسی صنایع")</f>
        <v>دانشکده مهندسی صنایع</v>
      </c>
      <c r="V2246" s="1" t="str">
        <f>IFERROR(__xludf.DUMMYFUNCTION("INDEX(SPLIT(A2246, ""/""), 4)"),"مجله صنایع")</f>
        <v>مجله صنایع</v>
      </c>
    </row>
    <row r="2247">
      <c r="A2247" s="1" t="s">
        <v>6786</v>
      </c>
      <c r="B2247" s="1" t="s">
        <v>6820</v>
      </c>
      <c r="C2247" s="1" t="s">
        <v>21</v>
      </c>
      <c r="D2247" s="4" t="s">
        <v>6821</v>
      </c>
      <c r="E2247" s="1" t="s">
        <v>6794</v>
      </c>
      <c r="F2247" s="1" t="s">
        <v>6814</v>
      </c>
      <c r="G2247" s="1" t="s">
        <v>6815</v>
      </c>
      <c r="H2247" s="1" t="s">
        <v>291</v>
      </c>
      <c r="I2247" s="1" t="str">
        <f t="shared" si="1"/>
        <v>x</v>
      </c>
      <c r="J2247" s="5"/>
      <c r="K2247" s="1" t="str">
        <f t="shared" si="2"/>
        <v>x</v>
      </c>
      <c r="L2247" s="5"/>
      <c r="M2247" s="2" t="str">
        <f t="shared" si="3"/>
        <v>x</v>
      </c>
      <c r="N2247" s="5"/>
      <c r="O2247" s="2">
        <v>59.0</v>
      </c>
      <c r="P2247" s="7" t="s">
        <v>1828</v>
      </c>
      <c r="Q2247" s="1" t="s">
        <v>6816</v>
      </c>
      <c r="R2247" s="6" t="s">
        <v>6817</v>
      </c>
      <c r="S2247" s="5"/>
      <c r="T2247" s="1" t="str">
        <f>IFERROR(__xludf.DUMMYFUNCTION("INDEX(SPLIT(A2247, ""/""), 2)"),"انجمن‌های علمی و نشریات وابسته به دانشکده‌ها")</f>
        <v>انجمن‌های علمی و نشریات وابسته به دانشکده‌ها</v>
      </c>
      <c r="U2247" s="1" t="str">
        <f>IFERROR(__xludf.DUMMYFUNCTION("INDEX(SPLIT(A2247, ""/""), 3)"),"دانشکده مهندسی صنایع")</f>
        <v>دانشکده مهندسی صنایع</v>
      </c>
      <c r="V2247" s="1" t="str">
        <f>IFERROR(__xludf.DUMMYFUNCTION("INDEX(SPLIT(A2247, ""/""), 4)"),"مجله صنایع")</f>
        <v>مجله صنایع</v>
      </c>
    </row>
    <row r="2248">
      <c r="A2248" s="1" t="s">
        <v>6786</v>
      </c>
      <c r="B2248" s="1" t="s">
        <v>6822</v>
      </c>
      <c r="C2248" s="1" t="s">
        <v>21</v>
      </c>
      <c r="D2248" s="4" t="s">
        <v>6823</v>
      </c>
      <c r="E2248" s="1" t="s">
        <v>6794</v>
      </c>
      <c r="F2248" s="1" t="s">
        <v>6814</v>
      </c>
      <c r="G2248" s="1" t="s">
        <v>6824</v>
      </c>
      <c r="H2248" s="1" t="s">
        <v>146</v>
      </c>
      <c r="I2248" s="1" t="str">
        <f t="shared" si="1"/>
        <v>x</v>
      </c>
      <c r="J2248" s="5"/>
      <c r="K2248" s="1" t="str">
        <f t="shared" si="2"/>
        <v>5</v>
      </c>
      <c r="L2248" s="5"/>
      <c r="M2248" s="2" t="str">
        <f t="shared" si="3"/>
        <v>1401</v>
      </c>
      <c r="N2248" s="5"/>
      <c r="O2248" s="2">
        <v>60.0</v>
      </c>
      <c r="P2248" s="5"/>
      <c r="Q2248" s="5"/>
      <c r="R2248" s="6" t="s">
        <v>147</v>
      </c>
      <c r="S2248" s="5"/>
      <c r="T2248" s="1" t="str">
        <f>IFERROR(__xludf.DUMMYFUNCTION("INDEX(SPLIT(A2248, ""/""), 2)"),"انجمن‌های علمی و نشریات وابسته به دانشکده‌ها")</f>
        <v>انجمن‌های علمی و نشریات وابسته به دانشکده‌ها</v>
      </c>
      <c r="U2248" s="1" t="str">
        <f>IFERROR(__xludf.DUMMYFUNCTION("INDEX(SPLIT(A2248, ""/""), 3)"),"دانشکده مهندسی صنایع")</f>
        <v>دانشکده مهندسی صنایع</v>
      </c>
      <c r="V2248" s="1" t="str">
        <f>IFERROR(__xludf.DUMMYFUNCTION("INDEX(SPLIT(A2248, ""/""), 4)"),"مجله صنایع")</f>
        <v>مجله صنایع</v>
      </c>
    </row>
    <row r="2249">
      <c r="A2249" s="1" t="s">
        <v>6786</v>
      </c>
      <c r="B2249" s="1" t="s">
        <v>6825</v>
      </c>
      <c r="C2249" s="1" t="s">
        <v>21</v>
      </c>
      <c r="D2249" s="4" t="s">
        <v>6826</v>
      </c>
      <c r="E2249" s="1" t="s">
        <v>6794</v>
      </c>
      <c r="F2249" s="1" t="s">
        <v>6814</v>
      </c>
      <c r="G2249" s="1" t="s">
        <v>6824</v>
      </c>
      <c r="H2249" s="1" t="s">
        <v>433</v>
      </c>
      <c r="I2249" s="1" t="str">
        <f t="shared" si="1"/>
        <v>x</v>
      </c>
      <c r="J2249" s="5"/>
      <c r="K2249" s="1" t="str">
        <f t="shared" si="2"/>
        <v>6</v>
      </c>
      <c r="L2249" s="5"/>
      <c r="M2249" s="2" t="str">
        <f t="shared" si="3"/>
        <v>1401</v>
      </c>
      <c r="N2249" s="5"/>
      <c r="O2249" s="2">
        <v>61.0</v>
      </c>
      <c r="P2249" s="5"/>
      <c r="Q2249" s="5"/>
      <c r="R2249" s="6" t="s">
        <v>434</v>
      </c>
      <c r="S2249" s="5"/>
      <c r="T2249" s="1" t="str">
        <f>IFERROR(__xludf.DUMMYFUNCTION("INDEX(SPLIT(A2249, ""/""), 2)"),"انجمن‌های علمی و نشریات وابسته به دانشکده‌ها")</f>
        <v>انجمن‌های علمی و نشریات وابسته به دانشکده‌ها</v>
      </c>
      <c r="U2249" s="1" t="str">
        <f>IFERROR(__xludf.DUMMYFUNCTION("INDEX(SPLIT(A2249, ""/""), 3)"),"دانشکده مهندسی صنایع")</f>
        <v>دانشکده مهندسی صنایع</v>
      </c>
      <c r="V2249" s="1" t="str">
        <f>IFERROR(__xludf.DUMMYFUNCTION("INDEX(SPLIT(A2249, ""/""), 4)"),"مجله صنایع")</f>
        <v>مجله صنایع</v>
      </c>
    </row>
    <row r="2250">
      <c r="A2250" s="1" t="s">
        <v>6786</v>
      </c>
      <c r="B2250" s="1" t="s">
        <v>6827</v>
      </c>
      <c r="C2250" s="1" t="s">
        <v>21</v>
      </c>
      <c r="D2250" s="4" t="s">
        <v>6828</v>
      </c>
      <c r="E2250" s="1" t="s">
        <v>6794</v>
      </c>
      <c r="F2250" s="1" t="s">
        <v>6814</v>
      </c>
      <c r="G2250" s="1" t="s">
        <v>6824</v>
      </c>
      <c r="H2250" s="7" t="s">
        <v>6296</v>
      </c>
      <c r="I2250" s="1" t="str">
        <f t="shared" si="1"/>
        <v>11</v>
      </c>
      <c r="J2250" s="5"/>
      <c r="K2250" s="1" t="str">
        <f t="shared" si="2"/>
        <v>8</v>
      </c>
      <c r="L2250" s="5"/>
      <c r="M2250" s="2" t="str">
        <f t="shared" si="3"/>
        <v>1398</v>
      </c>
      <c r="N2250" s="5"/>
      <c r="O2250" s="2">
        <v>62.0</v>
      </c>
      <c r="P2250" s="5"/>
      <c r="Q2250" s="5"/>
      <c r="R2250" s="8" t="s">
        <v>6296</v>
      </c>
      <c r="S2250" s="5"/>
      <c r="T2250" s="1" t="str">
        <f>IFERROR(__xludf.DUMMYFUNCTION("INDEX(SPLIT(A2250, ""/""), 2)"),"انجمن‌های علمی و نشریات وابسته به دانشکده‌ها")</f>
        <v>انجمن‌های علمی و نشریات وابسته به دانشکده‌ها</v>
      </c>
      <c r="U2250" s="1" t="str">
        <f>IFERROR(__xludf.DUMMYFUNCTION("INDEX(SPLIT(A2250, ""/""), 3)"),"دانشکده مهندسی صنایع")</f>
        <v>دانشکده مهندسی صنایع</v>
      </c>
      <c r="V2250" s="1" t="str">
        <f>IFERROR(__xludf.DUMMYFUNCTION("INDEX(SPLIT(A2250, ""/""), 4)"),"مجله صنایع")</f>
        <v>مجله صنایع</v>
      </c>
    </row>
    <row r="2251">
      <c r="A2251" s="1" t="s">
        <v>6786</v>
      </c>
      <c r="B2251" s="1" t="s">
        <v>6829</v>
      </c>
      <c r="C2251" s="1" t="s">
        <v>21</v>
      </c>
      <c r="D2251" s="4" t="s">
        <v>6830</v>
      </c>
      <c r="E2251" s="1" t="s">
        <v>6794</v>
      </c>
      <c r="F2251" s="1" t="s">
        <v>6814</v>
      </c>
      <c r="G2251" s="1" t="s">
        <v>6831</v>
      </c>
      <c r="H2251" s="1" t="s">
        <v>1530</v>
      </c>
      <c r="I2251" s="1" t="str">
        <f t="shared" si="1"/>
        <v>x</v>
      </c>
      <c r="J2251" s="5"/>
      <c r="K2251" s="1" t="str">
        <f t="shared" si="2"/>
        <v>6</v>
      </c>
      <c r="L2251" s="5"/>
      <c r="M2251" s="2" t="str">
        <f t="shared" si="3"/>
        <v>1402</v>
      </c>
      <c r="N2251" s="5"/>
      <c r="O2251" s="2">
        <v>63.0</v>
      </c>
      <c r="P2251" s="5"/>
      <c r="Q2251" s="5"/>
      <c r="R2251" s="6" t="s">
        <v>1531</v>
      </c>
      <c r="S2251" s="5"/>
      <c r="T2251" s="1" t="str">
        <f>IFERROR(__xludf.DUMMYFUNCTION("INDEX(SPLIT(A2251, ""/""), 2)"),"انجمن‌های علمی و نشریات وابسته به دانشکده‌ها")</f>
        <v>انجمن‌های علمی و نشریات وابسته به دانشکده‌ها</v>
      </c>
      <c r="U2251" s="1" t="str">
        <f>IFERROR(__xludf.DUMMYFUNCTION("INDEX(SPLIT(A2251, ""/""), 3)"),"دانشکده مهندسی صنایع")</f>
        <v>دانشکده مهندسی صنایع</v>
      </c>
      <c r="V2251" s="1" t="str">
        <f>IFERROR(__xludf.DUMMYFUNCTION("INDEX(SPLIT(A2251, ""/""), 4)"),"مجله صنایع")</f>
        <v>مجله صنایع</v>
      </c>
    </row>
    <row r="2252">
      <c r="A2252" s="1" t="s">
        <v>6786</v>
      </c>
      <c r="B2252" s="1" t="s">
        <v>6832</v>
      </c>
      <c r="C2252" s="1" t="s">
        <v>21</v>
      </c>
      <c r="D2252" s="4" t="s">
        <v>6833</v>
      </c>
      <c r="E2252" s="1" t="s">
        <v>6794</v>
      </c>
      <c r="F2252" s="1" t="s">
        <v>6834</v>
      </c>
      <c r="G2252" s="1" t="s">
        <v>6831</v>
      </c>
      <c r="H2252" s="1" t="s">
        <v>2198</v>
      </c>
      <c r="I2252" s="1" t="str">
        <f t="shared" si="1"/>
        <v>x</v>
      </c>
      <c r="J2252" s="5"/>
      <c r="K2252" s="1" t="str">
        <f t="shared" si="2"/>
        <v>12</v>
      </c>
      <c r="L2252" s="5"/>
      <c r="M2252" s="2" t="str">
        <f t="shared" si="3"/>
        <v>1402</v>
      </c>
      <c r="N2252" s="5"/>
      <c r="O2252" s="2">
        <v>64.0</v>
      </c>
      <c r="P2252" s="5"/>
      <c r="Q2252" s="5"/>
      <c r="R2252" s="6" t="s">
        <v>2200</v>
      </c>
      <c r="S2252" s="5"/>
      <c r="T2252" s="1" t="str">
        <f>IFERROR(__xludf.DUMMYFUNCTION("INDEX(SPLIT(A2252, ""/""), 2)"),"انجمن‌های علمی و نشریات وابسته به دانشکده‌ها")</f>
        <v>انجمن‌های علمی و نشریات وابسته به دانشکده‌ها</v>
      </c>
      <c r="U2252" s="1" t="str">
        <f>IFERROR(__xludf.DUMMYFUNCTION("INDEX(SPLIT(A2252, ""/""), 3)"),"دانشکده مهندسی صنایع")</f>
        <v>دانشکده مهندسی صنایع</v>
      </c>
      <c r="V2252" s="1" t="str">
        <f>IFERROR(__xludf.DUMMYFUNCTION("INDEX(SPLIT(A2252, ""/""), 4)"),"مجله صنایع")</f>
        <v>مجله صنایع</v>
      </c>
    </row>
    <row r="2253">
      <c r="A2253" s="1" t="s">
        <v>6786</v>
      </c>
      <c r="B2253" s="1" t="s">
        <v>6835</v>
      </c>
      <c r="C2253" s="1" t="s">
        <v>21</v>
      </c>
      <c r="D2253" s="4" t="s">
        <v>6836</v>
      </c>
      <c r="E2253" s="1" t="s">
        <v>6794</v>
      </c>
      <c r="F2253" s="1" t="s">
        <v>6834</v>
      </c>
      <c r="G2253" s="1" t="s">
        <v>6831</v>
      </c>
      <c r="H2253" s="1" t="s">
        <v>471</v>
      </c>
      <c r="I2253" s="1" t="str">
        <f t="shared" si="1"/>
        <v>x</v>
      </c>
      <c r="J2253" s="5"/>
      <c r="K2253" s="1" t="str">
        <f t="shared" si="2"/>
        <v>3</v>
      </c>
      <c r="L2253" s="5"/>
      <c r="M2253" s="2" t="str">
        <f t="shared" si="3"/>
        <v>1403</v>
      </c>
      <c r="N2253" s="5"/>
      <c r="O2253" s="2">
        <v>65.0</v>
      </c>
      <c r="P2253" s="5"/>
      <c r="Q2253" s="5"/>
      <c r="R2253" s="6" t="s">
        <v>472</v>
      </c>
      <c r="S2253" s="5"/>
      <c r="T2253" s="1" t="str">
        <f>IFERROR(__xludf.DUMMYFUNCTION("INDEX(SPLIT(A2253, ""/""), 2)"),"انجمن‌های علمی و نشریات وابسته به دانشکده‌ها")</f>
        <v>انجمن‌های علمی و نشریات وابسته به دانشکده‌ها</v>
      </c>
      <c r="U2253" s="1" t="str">
        <f>IFERROR(__xludf.DUMMYFUNCTION("INDEX(SPLIT(A2253, ""/""), 3)"),"دانشکده مهندسی صنایع")</f>
        <v>دانشکده مهندسی صنایع</v>
      </c>
      <c r="V2253" s="1" t="str">
        <f>IFERROR(__xludf.DUMMYFUNCTION("INDEX(SPLIT(A2253, ""/""), 4)"),"مجله صنایع")</f>
        <v>مجله صنایع</v>
      </c>
    </row>
    <row r="2254">
      <c r="A2254" s="1" t="s">
        <v>6786</v>
      </c>
      <c r="B2254" s="1" t="s">
        <v>6837</v>
      </c>
      <c r="C2254" s="1" t="s">
        <v>21</v>
      </c>
      <c r="D2254" s="4" t="s">
        <v>6838</v>
      </c>
      <c r="E2254" s="1" t="s">
        <v>6794</v>
      </c>
      <c r="F2254" s="1" t="s">
        <v>6834</v>
      </c>
      <c r="G2254" s="1" t="s">
        <v>6831</v>
      </c>
      <c r="H2254" s="1" t="s">
        <v>2734</v>
      </c>
      <c r="I2254" s="1" t="str">
        <f t="shared" si="1"/>
        <v>x</v>
      </c>
      <c r="J2254" s="5"/>
      <c r="K2254" s="1" t="str">
        <f t="shared" si="2"/>
        <v>x</v>
      </c>
      <c r="L2254" s="1">
        <v>2.0</v>
      </c>
      <c r="M2254" s="2" t="str">
        <f t="shared" si="3"/>
        <v>1403</v>
      </c>
      <c r="N2254" s="5"/>
      <c r="O2254" s="2">
        <v>66.0</v>
      </c>
      <c r="P2254" s="5"/>
      <c r="Q2254" s="5"/>
      <c r="R2254" s="8" t="s">
        <v>2735</v>
      </c>
      <c r="S2254" s="5"/>
      <c r="T2254" s="1" t="str">
        <f>IFERROR(__xludf.DUMMYFUNCTION("INDEX(SPLIT(A2254, ""/""), 2)"),"انجمن‌های علمی و نشریات وابسته به دانشکده‌ها")</f>
        <v>انجمن‌های علمی و نشریات وابسته به دانشکده‌ها</v>
      </c>
      <c r="U2254" s="1" t="str">
        <f>IFERROR(__xludf.DUMMYFUNCTION("INDEX(SPLIT(A2254, ""/""), 3)"),"دانشکده مهندسی صنایع")</f>
        <v>دانشکده مهندسی صنایع</v>
      </c>
      <c r="V2254" s="1" t="str">
        <f>IFERROR(__xludf.DUMMYFUNCTION("INDEX(SPLIT(A2254, ""/""), 4)"),"مجله صنایع")</f>
        <v>مجله صنایع</v>
      </c>
    </row>
    <row r="2255">
      <c r="A2255" s="1" t="s">
        <v>6786</v>
      </c>
      <c r="B2255" s="1" t="s">
        <v>6839</v>
      </c>
      <c r="C2255" s="1" t="s">
        <v>21</v>
      </c>
      <c r="D2255" s="4" t="s">
        <v>6840</v>
      </c>
      <c r="E2255" s="1" t="s">
        <v>6794</v>
      </c>
      <c r="F2255" s="1" t="s">
        <v>6834</v>
      </c>
      <c r="G2255" s="1" t="s">
        <v>6841</v>
      </c>
      <c r="H2255" s="1" t="s">
        <v>728</v>
      </c>
      <c r="I2255" s="1" t="str">
        <f t="shared" si="1"/>
        <v>x</v>
      </c>
      <c r="J2255" s="5"/>
      <c r="K2255" s="1" t="str">
        <f t="shared" si="2"/>
        <v>8</v>
      </c>
      <c r="L2255" s="5"/>
      <c r="M2255" s="2" t="str">
        <f t="shared" si="3"/>
        <v>1403</v>
      </c>
      <c r="N2255" s="5"/>
      <c r="O2255" s="2">
        <v>67.0</v>
      </c>
      <c r="P2255" s="5"/>
      <c r="Q2255" s="5"/>
      <c r="R2255" s="6" t="s">
        <v>729</v>
      </c>
      <c r="S2255" s="5"/>
      <c r="T2255" s="1" t="str">
        <f>IFERROR(__xludf.DUMMYFUNCTION("INDEX(SPLIT(A2255, ""/""), 2)"),"انجمن‌های علمی و نشریات وابسته به دانشکده‌ها")</f>
        <v>انجمن‌های علمی و نشریات وابسته به دانشکده‌ها</v>
      </c>
      <c r="U2255" s="1" t="str">
        <f>IFERROR(__xludf.DUMMYFUNCTION("INDEX(SPLIT(A2255, ""/""), 3)"),"دانشکده مهندسی صنایع")</f>
        <v>دانشکده مهندسی صنایع</v>
      </c>
      <c r="V2255" s="1" t="str">
        <f>IFERROR(__xludf.DUMMYFUNCTION("INDEX(SPLIT(A2255, ""/""), 4)"),"مجله صنایع")</f>
        <v>مجله صنایع</v>
      </c>
    </row>
    <row r="2256">
      <c r="A2256" s="1" t="s">
        <v>6842</v>
      </c>
      <c r="B2256" s="1" t="s">
        <v>6843</v>
      </c>
      <c r="C2256" s="1" t="s">
        <v>21</v>
      </c>
      <c r="D2256" s="4" t="s">
        <v>6844</v>
      </c>
      <c r="E2256" s="1" t="s">
        <v>6845</v>
      </c>
      <c r="F2256" s="1" t="s">
        <v>6846</v>
      </c>
      <c r="G2256" s="1" t="s">
        <v>6847</v>
      </c>
      <c r="H2256" s="1" t="s">
        <v>520</v>
      </c>
      <c r="I2256" s="1" t="str">
        <f t="shared" si="1"/>
        <v>x</v>
      </c>
      <c r="J2256" s="5"/>
      <c r="K2256" s="1" t="str">
        <f t="shared" si="2"/>
        <v>x</v>
      </c>
      <c r="L2256" s="1">
        <v>1.0</v>
      </c>
      <c r="M2256" s="2" t="str">
        <f t="shared" si="3"/>
        <v>1401</v>
      </c>
      <c r="N2256" s="5"/>
      <c r="O2256" s="2">
        <v>1.0</v>
      </c>
      <c r="P2256" s="5"/>
      <c r="Q2256" s="5"/>
      <c r="R2256" s="8" t="s">
        <v>521</v>
      </c>
      <c r="S2256" s="5"/>
      <c r="T2256" s="1" t="str">
        <f>IFERROR(__xludf.DUMMYFUNCTION("INDEX(SPLIT(A2256, ""/""), 2)"),"انجمن‌های علمی و نشریات وابسته به دانشکده‌ها")</f>
        <v>انجمن‌های علمی و نشریات وابسته به دانشکده‌ها</v>
      </c>
      <c r="U2256" s="1" t="str">
        <f>IFERROR(__xludf.DUMMYFUNCTION("INDEX(SPLIT(A2256, ""/""), 3)"),"دانشکده مدیریت و اقتصاد")</f>
        <v>دانشکده مدیریت و اقتصاد</v>
      </c>
      <c r="V2256" s="1" t="str">
        <f>IFERROR(__xludf.DUMMYFUNCTION("INDEX(SPLIT(A2256, ""/""), 4)"),"مدیریت شریف")</f>
        <v>مدیریت شریف</v>
      </c>
    </row>
    <row r="2257">
      <c r="A2257" s="1" t="s">
        <v>6842</v>
      </c>
      <c r="B2257" s="1" t="s">
        <v>6848</v>
      </c>
      <c r="C2257" s="1" t="s">
        <v>21</v>
      </c>
      <c r="D2257" s="4" t="s">
        <v>6849</v>
      </c>
      <c r="E2257" s="1" t="s">
        <v>6845</v>
      </c>
      <c r="F2257" s="1" t="s">
        <v>6850</v>
      </c>
      <c r="G2257" s="1" t="s">
        <v>6851</v>
      </c>
      <c r="H2257" s="1" t="s">
        <v>2734</v>
      </c>
      <c r="I2257" s="1" t="str">
        <f t="shared" si="1"/>
        <v>x</v>
      </c>
      <c r="J2257" s="5"/>
      <c r="K2257" s="1" t="str">
        <f t="shared" si="2"/>
        <v>x</v>
      </c>
      <c r="L2257" s="1">
        <v>1.0</v>
      </c>
      <c r="M2257" s="2" t="str">
        <f t="shared" si="3"/>
        <v>1403</v>
      </c>
      <c r="N2257" s="5"/>
      <c r="O2257" s="2">
        <v>2.0</v>
      </c>
      <c r="P2257" s="5"/>
      <c r="Q2257" s="5"/>
      <c r="R2257" s="8" t="s">
        <v>2735</v>
      </c>
      <c r="S2257" s="5"/>
      <c r="T2257" s="1" t="str">
        <f>IFERROR(__xludf.DUMMYFUNCTION("INDEX(SPLIT(A2257, ""/""), 2)"),"انجمن‌های علمی و نشریات وابسته به دانشکده‌ها")</f>
        <v>انجمن‌های علمی و نشریات وابسته به دانشکده‌ها</v>
      </c>
      <c r="U2257" s="1" t="str">
        <f>IFERROR(__xludf.DUMMYFUNCTION("INDEX(SPLIT(A2257, ""/""), 3)"),"دانشکده مدیریت و اقتصاد")</f>
        <v>دانشکده مدیریت و اقتصاد</v>
      </c>
      <c r="V2257" s="1" t="str">
        <f>IFERROR(__xludf.DUMMYFUNCTION("INDEX(SPLIT(A2257, ""/""), 4)"),"مدیریت شریف")</f>
        <v>مدیریت شریف</v>
      </c>
    </row>
    <row r="2258">
      <c r="A2258" s="1" t="s">
        <v>6852</v>
      </c>
      <c r="B2258" s="1" t="s">
        <v>6853</v>
      </c>
      <c r="C2258" s="1" t="s">
        <v>21</v>
      </c>
      <c r="D2258" s="4" t="s">
        <v>6854</v>
      </c>
      <c r="E2258" s="1" t="s">
        <v>721</v>
      </c>
      <c r="F2258" s="1" t="s">
        <v>6855</v>
      </c>
      <c r="G2258" s="1" t="s">
        <v>6856</v>
      </c>
      <c r="H2258" s="1" t="s">
        <v>437</v>
      </c>
      <c r="I2258" s="1" t="str">
        <f t="shared" si="1"/>
        <v>x</v>
      </c>
      <c r="J2258" s="5"/>
      <c r="K2258" s="1" t="str">
        <f t="shared" si="2"/>
        <v>7</v>
      </c>
      <c r="L2258" s="5"/>
      <c r="M2258" s="2" t="str">
        <f t="shared" si="3"/>
        <v>1401</v>
      </c>
      <c r="N2258" s="5"/>
      <c r="O2258" s="2" t="s">
        <v>6857</v>
      </c>
      <c r="P2258" s="5"/>
      <c r="Q2258" s="5"/>
      <c r="R2258" s="6" t="s">
        <v>438</v>
      </c>
      <c r="S2258" s="5"/>
      <c r="T2258" s="1" t="str">
        <f>IFERROR(__xludf.DUMMYFUNCTION("INDEX(SPLIT(A2258, ""/""), 2)"),"انجمن‌های علمی و نشریات وابسته به دانشکده‌ها")</f>
        <v>انجمن‌های علمی و نشریات وابسته به دانشکده‌ها</v>
      </c>
      <c r="U2258" s="1" t="str">
        <f>IFERROR(__xludf.DUMMYFUNCTION("INDEX(SPLIT(A2258, ""/""), 3)"),"دانشکده مهندسی مواد و متالورژی")</f>
        <v>دانشکده مهندسی مواد و متالورژی</v>
      </c>
      <c r="V2258" s="1" t="str">
        <f>IFERROR(__xludf.DUMMYFUNCTION("INDEX(SPLIT(A2258, ""/""), 4)"),"نابجایی")</f>
        <v>نابجایی</v>
      </c>
    </row>
    <row r="2259">
      <c r="A2259" s="1" t="s">
        <v>6858</v>
      </c>
      <c r="B2259" s="1" t="s">
        <v>6859</v>
      </c>
      <c r="C2259" s="1" t="s">
        <v>21</v>
      </c>
      <c r="D2259" s="4" t="s">
        <v>6860</v>
      </c>
      <c r="E2259" s="1" t="s">
        <v>6861</v>
      </c>
      <c r="F2259" s="1" t="s">
        <v>6861</v>
      </c>
      <c r="G2259" s="1" t="s">
        <v>6862</v>
      </c>
      <c r="H2259" s="1" t="s">
        <v>6863</v>
      </c>
      <c r="I2259" s="1" t="str">
        <f t="shared" si="1"/>
        <v>x</v>
      </c>
      <c r="J2259" s="5"/>
      <c r="K2259" s="1" t="str">
        <f t="shared" si="2"/>
        <v>7,8</v>
      </c>
      <c r="L2259" s="5"/>
      <c r="M2259" s="2" t="str">
        <f t="shared" si="3"/>
        <v>1395</v>
      </c>
      <c r="N2259" s="5"/>
      <c r="O2259" s="2">
        <v>1.0</v>
      </c>
      <c r="P2259" s="5"/>
      <c r="Q2259" s="5"/>
      <c r="R2259" s="8" t="s">
        <v>2713</v>
      </c>
      <c r="S2259" s="1"/>
      <c r="T2259" s="1" t="str">
        <f>IFERROR(__xludf.DUMMYFUNCTION("INDEX(SPLIT(A2259, ""/""), 2)"),"انجمن‌های علمی و نشریات وابسته به دانشکده‌ها")</f>
        <v>انجمن‌های علمی و نشریات وابسته به دانشکده‌ها</v>
      </c>
      <c r="U2259" s="1" t="str">
        <f>IFERROR(__xludf.DUMMYFUNCTION("INDEX(SPLIT(A2259, ""/""), 3)"),"نشریات خارج دانشگاهی")</f>
        <v>نشریات خارج دانشگاهی</v>
      </c>
      <c r="V2259" s="1" t="str">
        <f>IFERROR(__xludf.DUMMYFUNCTION("INDEX(SPLIT(A2259, ""/""), 4)"),"پداگوژی - دانشگاه تهران")</f>
        <v>پداگوژی - دانشگاه تهران</v>
      </c>
    </row>
    <row r="2260">
      <c r="A2260" s="1" t="s">
        <v>6858</v>
      </c>
      <c r="B2260" s="1" t="s">
        <v>6864</v>
      </c>
      <c r="C2260" s="1" t="s">
        <v>21</v>
      </c>
      <c r="D2260" s="4" t="s">
        <v>6865</v>
      </c>
      <c r="E2260" s="1" t="s">
        <v>6861</v>
      </c>
      <c r="F2260" s="1" t="s">
        <v>6861</v>
      </c>
      <c r="G2260" s="1" t="s">
        <v>6862</v>
      </c>
      <c r="H2260" s="1" t="s">
        <v>6866</v>
      </c>
      <c r="I2260" s="1" t="str">
        <f t="shared" si="1"/>
        <v>x</v>
      </c>
      <c r="J2260" s="5"/>
      <c r="K2260" s="1" t="str">
        <f t="shared" si="2"/>
        <v>9,10</v>
      </c>
      <c r="L2260" s="5"/>
      <c r="M2260" s="2" t="str">
        <f t="shared" si="3"/>
        <v>1395</v>
      </c>
      <c r="N2260" s="5"/>
      <c r="O2260" s="2">
        <v>2.0</v>
      </c>
      <c r="P2260" s="5"/>
      <c r="Q2260" s="5"/>
      <c r="R2260" s="8" t="s">
        <v>2713</v>
      </c>
      <c r="S2260" s="1"/>
      <c r="T2260" s="1" t="str">
        <f>IFERROR(__xludf.DUMMYFUNCTION("INDEX(SPLIT(A2260, ""/""), 2)"),"انجمن‌های علمی و نشریات وابسته به دانشکده‌ها")</f>
        <v>انجمن‌های علمی و نشریات وابسته به دانشکده‌ها</v>
      </c>
      <c r="U2260" s="1" t="str">
        <f>IFERROR(__xludf.DUMMYFUNCTION("INDEX(SPLIT(A2260, ""/""), 3)"),"نشریات خارج دانشگاهی")</f>
        <v>نشریات خارج دانشگاهی</v>
      </c>
      <c r="V2260" s="1" t="str">
        <f>IFERROR(__xludf.DUMMYFUNCTION("INDEX(SPLIT(A2260, ""/""), 4)"),"پداگوژی - دانشگاه تهران")</f>
        <v>پداگوژی - دانشگاه تهران</v>
      </c>
    </row>
    <row r="2261">
      <c r="A2261" s="1" t="s">
        <v>6867</v>
      </c>
      <c r="B2261" s="1" t="s">
        <v>6868</v>
      </c>
      <c r="C2261" s="1" t="s">
        <v>21</v>
      </c>
      <c r="D2261" s="4" t="s">
        <v>6869</v>
      </c>
      <c r="E2261" s="1" t="s">
        <v>71</v>
      </c>
      <c r="F2261" s="1" t="s">
        <v>71</v>
      </c>
      <c r="G2261" s="1" t="s">
        <v>71</v>
      </c>
      <c r="H2261" s="1" t="s">
        <v>6870</v>
      </c>
      <c r="I2261" s="1" t="str">
        <f t="shared" si="1"/>
        <v>x</v>
      </c>
      <c r="J2261" s="1">
        <v>1.0</v>
      </c>
      <c r="K2261" s="1" t="str">
        <f t="shared" si="2"/>
        <v>12</v>
      </c>
      <c r="L2261" s="5"/>
      <c r="M2261" s="2" t="str">
        <f t="shared" si="3"/>
        <v>1388</v>
      </c>
      <c r="N2261" s="5"/>
      <c r="O2261" s="2">
        <v>29.0</v>
      </c>
      <c r="P2261" s="5"/>
      <c r="Q2261" s="5"/>
      <c r="R2261" s="6" t="s">
        <v>5420</v>
      </c>
      <c r="S2261" s="5"/>
      <c r="T2261" s="1" t="str">
        <f>IFERROR(__xludf.DUMMYFUNCTION("INDEX(SPLIT(A2261, ""/""), 2)"),"انجمن‌های علمی و نشریات وابسته به دانشکده‌ها")</f>
        <v>انجمن‌های علمی و نشریات وابسته به دانشکده‌ها</v>
      </c>
      <c r="U2261" s="1" t="str">
        <f>IFERROR(__xludf.DUMMYFUNCTION("INDEX(SPLIT(A2261, ""/""), 3)"),"نشریات خارج دانشگاهی")</f>
        <v>نشریات خارج دانشگاهی</v>
      </c>
      <c r="V2261" s="1" t="str">
        <f>IFERROR(__xludf.DUMMYFUNCTION("INDEX(SPLIT(A2261, ""/""), 4)"),"خبرنامه دانشجویان ایران")</f>
        <v>خبرنامه دانشجویان ایران</v>
      </c>
    </row>
    <row r="2262">
      <c r="A2262" s="1" t="s">
        <v>6867</v>
      </c>
      <c r="B2262" s="1" t="s">
        <v>6871</v>
      </c>
      <c r="C2262" s="1" t="s">
        <v>21</v>
      </c>
      <c r="D2262" s="4" t="s">
        <v>6872</v>
      </c>
      <c r="E2262" s="1" t="s">
        <v>6873</v>
      </c>
      <c r="F2262" s="1" t="s">
        <v>6873</v>
      </c>
      <c r="G2262" s="1" t="s">
        <v>71</v>
      </c>
      <c r="H2262" s="1" t="s">
        <v>291</v>
      </c>
      <c r="I2262" s="1" t="str">
        <f t="shared" si="1"/>
        <v>x</v>
      </c>
      <c r="J2262" s="5"/>
      <c r="K2262" s="1" t="str">
        <f t="shared" si="2"/>
        <v>x</v>
      </c>
      <c r="L2262" s="5"/>
      <c r="M2262" s="2" t="str">
        <f t="shared" si="3"/>
        <v>x</v>
      </c>
      <c r="N2262" s="5"/>
      <c r="O2262" s="2" t="s">
        <v>6874</v>
      </c>
      <c r="P2262" s="5"/>
      <c r="Q2262" s="5"/>
      <c r="R2262" s="10"/>
      <c r="S2262" s="5"/>
      <c r="T2262" s="1" t="str">
        <f>IFERROR(__xludf.DUMMYFUNCTION("INDEX(SPLIT(A2262, ""/""), 2)"),"انجمن‌های علمی و نشریات وابسته به دانشکده‌ها")</f>
        <v>انجمن‌های علمی و نشریات وابسته به دانشکده‌ها</v>
      </c>
      <c r="U2262" s="1" t="str">
        <f>IFERROR(__xludf.DUMMYFUNCTION("INDEX(SPLIT(A2262, ""/""), 3)"),"نشریات خارج دانشگاهی")</f>
        <v>نشریات خارج دانشگاهی</v>
      </c>
      <c r="V2262" s="1" t="str">
        <f>IFERROR(__xludf.DUMMYFUNCTION("INDEX(SPLIT(A2262, ""/""), 4)"),"خبرنامه دانشجویان ایران")</f>
        <v>خبرنامه دانشجویان ایران</v>
      </c>
    </row>
    <row r="2263">
      <c r="A2263" s="1" t="s">
        <v>6875</v>
      </c>
      <c r="B2263" s="1" t="s">
        <v>6876</v>
      </c>
      <c r="C2263" s="1" t="s">
        <v>21</v>
      </c>
      <c r="D2263" s="4" t="s">
        <v>6877</v>
      </c>
      <c r="E2263" s="1" t="s">
        <v>71</v>
      </c>
      <c r="F2263" s="1" t="s">
        <v>6878</v>
      </c>
      <c r="G2263" s="1" t="s">
        <v>71</v>
      </c>
      <c r="H2263" s="1" t="s">
        <v>6879</v>
      </c>
      <c r="I2263" s="1" t="str">
        <f t="shared" si="1"/>
        <v>x</v>
      </c>
      <c r="J2263" s="5"/>
      <c r="K2263" s="1" t="str">
        <f t="shared" si="2"/>
        <v>2</v>
      </c>
      <c r="L2263" s="5"/>
      <c r="M2263" s="2" t="str">
        <f t="shared" si="3"/>
        <v>1384</v>
      </c>
      <c r="N2263" s="5"/>
      <c r="O2263" s="2">
        <v>2.0</v>
      </c>
      <c r="P2263" s="5"/>
      <c r="Q2263" s="5"/>
      <c r="R2263" s="6" t="s">
        <v>6880</v>
      </c>
      <c r="S2263" s="5"/>
      <c r="T2263" s="1" t="str">
        <f>IFERROR(__xludf.DUMMYFUNCTION("INDEX(SPLIT(A2263, ""/""), 2)"),"انجمن‌های علمی و نشریات وابسته به دانشکده‌ها")</f>
        <v>انجمن‌های علمی و نشریات وابسته به دانشکده‌ها</v>
      </c>
      <c r="U2263" s="1" t="str">
        <f>IFERROR(__xludf.DUMMYFUNCTION("INDEX(SPLIT(A2263, ""/""), 3)"),"نشریات خارج دانشگاهی")</f>
        <v>نشریات خارج دانشگاهی</v>
      </c>
      <c r="V2263" s="1" t="str">
        <f>IFERROR(__xludf.DUMMYFUNCTION("INDEX(SPLIT(A2263, ""/""), 4)"),"سپیده")</f>
        <v>سپیده</v>
      </c>
    </row>
    <row r="2264">
      <c r="A2264" s="9" t="s">
        <v>6881</v>
      </c>
      <c r="B2264" s="1" t="s">
        <v>6882</v>
      </c>
      <c r="C2264" s="1" t="s">
        <v>21</v>
      </c>
      <c r="D2264" s="4" t="s">
        <v>6883</v>
      </c>
      <c r="E2264" s="1" t="s">
        <v>71</v>
      </c>
      <c r="F2264" s="1" t="s">
        <v>6884</v>
      </c>
      <c r="G2264" s="1" t="s">
        <v>6885</v>
      </c>
      <c r="H2264" s="1" t="s">
        <v>505</v>
      </c>
      <c r="I2264" s="1" t="str">
        <f t="shared" si="1"/>
        <v>x</v>
      </c>
      <c r="J2264" s="5"/>
      <c r="K2264" s="1" t="str">
        <f t="shared" si="2"/>
        <v>4,5</v>
      </c>
      <c r="L2264" s="5"/>
      <c r="M2264" s="2" t="str">
        <f t="shared" si="3"/>
        <v>1399</v>
      </c>
      <c r="N2264" s="5"/>
      <c r="O2264" s="2">
        <v>0.0</v>
      </c>
      <c r="P2264" s="5"/>
      <c r="Q2264" s="5"/>
      <c r="R2264" s="8" t="s">
        <v>116</v>
      </c>
      <c r="S2264" s="5"/>
      <c r="T2264" s="1" t="str">
        <f>IFERROR(__xludf.DUMMYFUNCTION("INDEX(SPLIT(A2264, ""/""), 2)"),"نشریات مستقل")</f>
        <v>نشریات مستقل</v>
      </c>
      <c r="U2264" s="1" t="str">
        <f>IFERROR(__xludf.DUMMYFUNCTION("INDEX(SPLIT(A2264, ""/""), 3)"),"آشتی دوباره با ریاضیات")</f>
        <v>آشتی دوباره با ریاضیات</v>
      </c>
      <c r="V2264" s="1" t="str">
        <f>IFERROR(__xludf.DUMMYFUNCTION("INDEX(SPLIT(A2264, ""/""), 4)"),"#REF!")</f>
        <v>#REF!</v>
      </c>
    </row>
    <row r="2265">
      <c r="A2265" s="9" t="s">
        <v>6886</v>
      </c>
      <c r="B2265" s="1" t="s">
        <v>6887</v>
      </c>
      <c r="C2265" s="1" t="s">
        <v>21</v>
      </c>
      <c r="D2265" s="4" t="s">
        <v>6888</v>
      </c>
      <c r="E2265" s="1" t="s">
        <v>6889</v>
      </c>
      <c r="F2265" s="1" t="s">
        <v>6889</v>
      </c>
      <c r="G2265" s="1" t="s">
        <v>6889</v>
      </c>
      <c r="H2265" s="1" t="s">
        <v>383</v>
      </c>
      <c r="I2265" s="1" t="str">
        <f t="shared" si="1"/>
        <v>x</v>
      </c>
      <c r="J2265" s="5"/>
      <c r="K2265" s="1" t="str">
        <f t="shared" si="2"/>
        <v>6</v>
      </c>
      <c r="L2265" s="5"/>
      <c r="M2265" s="2" t="str">
        <f t="shared" si="3"/>
        <v>1399</v>
      </c>
      <c r="N2265" s="5"/>
      <c r="O2265" s="2">
        <v>1.0</v>
      </c>
      <c r="P2265" s="5"/>
      <c r="Q2265" s="5"/>
      <c r="R2265" s="6" t="s">
        <v>384</v>
      </c>
      <c r="S2265" s="5"/>
      <c r="T2265" s="1" t="str">
        <f>IFERROR(__xludf.DUMMYFUNCTION("INDEX(SPLIT(A2265, ""/""), 2)"),"نشریات مستقل")</f>
        <v>نشریات مستقل</v>
      </c>
      <c r="U2265" s="1" t="str">
        <f>IFERROR(__xludf.DUMMYFUNCTION("INDEX(SPLIT(A2265, ""/""), 3)"),"آنومی")</f>
        <v>آنومی</v>
      </c>
      <c r="V2265" s="1" t="str">
        <f>IFERROR(__xludf.DUMMYFUNCTION("INDEX(SPLIT(A2265, ""/""), 4)"),"#REF!")</f>
        <v>#REF!</v>
      </c>
    </row>
    <row r="2266">
      <c r="A2266" s="1" t="s">
        <v>6890</v>
      </c>
      <c r="B2266" s="1" t="s">
        <v>6891</v>
      </c>
      <c r="C2266" s="1" t="s">
        <v>21</v>
      </c>
      <c r="D2266" s="4" t="s">
        <v>6892</v>
      </c>
      <c r="E2266" s="1" t="s">
        <v>6893</v>
      </c>
      <c r="F2266" s="1" t="s">
        <v>6894</v>
      </c>
      <c r="G2266" s="1" t="s">
        <v>752</v>
      </c>
      <c r="H2266" s="1" t="s">
        <v>6895</v>
      </c>
      <c r="I2266" s="1" t="str">
        <f t="shared" si="1"/>
        <v>x</v>
      </c>
      <c r="J2266" s="5"/>
      <c r="K2266" s="1" t="str">
        <f t="shared" si="2"/>
        <v>8</v>
      </c>
      <c r="L2266" s="5"/>
      <c r="M2266" s="2" t="str">
        <f t="shared" si="3"/>
        <v>1392</v>
      </c>
      <c r="N2266" s="5"/>
      <c r="O2266" s="2">
        <v>1.0</v>
      </c>
      <c r="P2266" s="5"/>
      <c r="Q2266" s="5"/>
      <c r="R2266" s="6" t="s">
        <v>6896</v>
      </c>
      <c r="S2266" s="5"/>
      <c r="T2266" s="1" t="str">
        <f>IFERROR(__xludf.DUMMYFUNCTION("INDEX(SPLIT(A2266, ""/""), 2)"),"نشریات مستقل")</f>
        <v>نشریات مستقل</v>
      </c>
      <c r="U2266" s="1" t="str">
        <f>IFERROR(__xludf.DUMMYFUNCTION("INDEX(SPLIT(A2266, ""/""), 3)"),"اقبال")</f>
        <v>اقبال</v>
      </c>
      <c r="V2266" s="1" t="str">
        <f>IFERROR(__xludf.DUMMYFUNCTION("INDEX(SPLIT(A2266, ""/""), 4)"),"#REF!")</f>
        <v>#REF!</v>
      </c>
    </row>
    <row r="2267">
      <c r="A2267" s="1" t="s">
        <v>6890</v>
      </c>
      <c r="B2267" s="1" t="s">
        <v>6897</v>
      </c>
      <c r="C2267" s="1" t="s">
        <v>21</v>
      </c>
      <c r="D2267" s="4" t="s">
        <v>6898</v>
      </c>
      <c r="E2267" s="1" t="s">
        <v>6893</v>
      </c>
      <c r="F2267" s="1" t="s">
        <v>6894</v>
      </c>
      <c r="G2267" s="1" t="s">
        <v>752</v>
      </c>
      <c r="H2267" s="1" t="s">
        <v>3841</v>
      </c>
      <c r="I2267" s="1" t="str">
        <f t="shared" si="1"/>
        <v>x</v>
      </c>
      <c r="J2267" s="5"/>
      <c r="K2267" s="1" t="str">
        <f t="shared" si="2"/>
        <v>9</v>
      </c>
      <c r="L2267" s="5"/>
      <c r="M2267" s="2" t="str">
        <f t="shared" si="3"/>
        <v>1392</v>
      </c>
      <c r="N2267" s="5"/>
      <c r="O2267" s="2">
        <v>2.0</v>
      </c>
      <c r="P2267" s="5"/>
      <c r="Q2267" s="5"/>
      <c r="R2267" s="6" t="s">
        <v>3842</v>
      </c>
      <c r="S2267" s="5"/>
      <c r="T2267" s="1" t="str">
        <f>IFERROR(__xludf.DUMMYFUNCTION("INDEX(SPLIT(A2267, ""/""), 2)"),"نشریات مستقل")</f>
        <v>نشریات مستقل</v>
      </c>
      <c r="U2267" s="1" t="str">
        <f>IFERROR(__xludf.DUMMYFUNCTION("INDEX(SPLIT(A2267, ""/""), 3)"),"اقبال")</f>
        <v>اقبال</v>
      </c>
      <c r="V2267" s="1" t="str">
        <f>IFERROR(__xludf.DUMMYFUNCTION("INDEX(SPLIT(A2267, ""/""), 4)"),"#REF!")</f>
        <v>#REF!</v>
      </c>
    </row>
    <row r="2268">
      <c r="A2268" s="1" t="s">
        <v>6890</v>
      </c>
      <c r="B2268" s="1" t="s">
        <v>6899</v>
      </c>
      <c r="C2268" s="1" t="s">
        <v>21</v>
      </c>
      <c r="D2268" s="4" t="s">
        <v>6900</v>
      </c>
      <c r="E2268" s="1" t="s">
        <v>6893</v>
      </c>
      <c r="F2268" s="1" t="s">
        <v>6894</v>
      </c>
      <c r="G2268" s="1" t="s">
        <v>752</v>
      </c>
      <c r="H2268" s="1" t="s">
        <v>3841</v>
      </c>
      <c r="I2268" s="1" t="str">
        <f t="shared" si="1"/>
        <v>x</v>
      </c>
      <c r="J2268" s="5"/>
      <c r="K2268" s="1" t="str">
        <f t="shared" si="2"/>
        <v>9</v>
      </c>
      <c r="L2268" s="5"/>
      <c r="M2268" s="2" t="str">
        <f t="shared" si="3"/>
        <v>1392</v>
      </c>
      <c r="N2268" s="5"/>
      <c r="O2268" s="2">
        <v>3.0</v>
      </c>
      <c r="P2268" s="5"/>
      <c r="Q2268" s="5"/>
      <c r="R2268" s="6" t="s">
        <v>3842</v>
      </c>
      <c r="S2268" s="5"/>
      <c r="T2268" s="1" t="str">
        <f>IFERROR(__xludf.DUMMYFUNCTION("INDEX(SPLIT(A2268, ""/""), 2)"),"نشریات مستقل")</f>
        <v>نشریات مستقل</v>
      </c>
      <c r="U2268" s="1" t="str">
        <f>IFERROR(__xludf.DUMMYFUNCTION("INDEX(SPLIT(A2268, ""/""), 3)"),"اقبال")</f>
        <v>اقبال</v>
      </c>
      <c r="V2268" s="1" t="str">
        <f>IFERROR(__xludf.DUMMYFUNCTION("INDEX(SPLIT(A2268, ""/""), 4)"),"#REF!")</f>
        <v>#REF!</v>
      </c>
    </row>
    <row r="2269">
      <c r="A2269" s="1" t="s">
        <v>6890</v>
      </c>
      <c r="B2269" s="1" t="s">
        <v>6901</v>
      </c>
      <c r="C2269" s="1" t="s">
        <v>21</v>
      </c>
      <c r="D2269" s="4" t="s">
        <v>6902</v>
      </c>
      <c r="E2269" s="1" t="s">
        <v>6893</v>
      </c>
      <c r="F2269" s="1" t="s">
        <v>6894</v>
      </c>
      <c r="G2269" s="1" t="s">
        <v>752</v>
      </c>
      <c r="H2269" s="1" t="s">
        <v>4030</v>
      </c>
      <c r="I2269" s="1" t="str">
        <f t="shared" si="1"/>
        <v>x</v>
      </c>
      <c r="J2269" s="5"/>
      <c r="K2269" s="1" t="str">
        <f t="shared" si="2"/>
        <v>12</v>
      </c>
      <c r="L2269" s="5"/>
      <c r="M2269" s="2" t="str">
        <f t="shared" si="3"/>
        <v>1392</v>
      </c>
      <c r="N2269" s="5"/>
      <c r="O2269" s="2">
        <v>4.0</v>
      </c>
      <c r="P2269" s="5"/>
      <c r="Q2269" s="5"/>
      <c r="R2269" s="6" t="s">
        <v>4031</v>
      </c>
      <c r="S2269" s="5"/>
      <c r="T2269" s="1" t="str">
        <f>IFERROR(__xludf.DUMMYFUNCTION("INDEX(SPLIT(A2269, ""/""), 2)"),"نشریات مستقل")</f>
        <v>نشریات مستقل</v>
      </c>
      <c r="U2269" s="1" t="str">
        <f>IFERROR(__xludf.DUMMYFUNCTION("INDEX(SPLIT(A2269, ""/""), 3)"),"اقبال")</f>
        <v>اقبال</v>
      </c>
      <c r="V2269" s="1" t="str">
        <f>IFERROR(__xludf.DUMMYFUNCTION("INDEX(SPLIT(A2269, ""/""), 4)"),"#REF!")</f>
        <v>#REF!</v>
      </c>
    </row>
    <row r="2270">
      <c r="A2270" s="1" t="s">
        <v>6890</v>
      </c>
      <c r="B2270" s="1" t="s">
        <v>6903</v>
      </c>
      <c r="C2270" s="1" t="s">
        <v>21</v>
      </c>
      <c r="D2270" s="4" t="s">
        <v>6904</v>
      </c>
      <c r="E2270" s="1" t="s">
        <v>6893</v>
      </c>
      <c r="F2270" s="1" t="s">
        <v>6894</v>
      </c>
      <c r="G2270" s="1" t="s">
        <v>752</v>
      </c>
      <c r="H2270" s="1" t="s">
        <v>6905</v>
      </c>
      <c r="I2270" s="1" t="str">
        <f t="shared" si="1"/>
        <v>x</v>
      </c>
      <c r="J2270" s="5"/>
      <c r="K2270" s="1" t="str">
        <f t="shared" si="2"/>
        <v>1</v>
      </c>
      <c r="L2270" s="5"/>
      <c r="M2270" s="2" t="str">
        <f t="shared" si="3"/>
        <v>1393</v>
      </c>
      <c r="N2270" s="5"/>
      <c r="O2270" s="2">
        <v>5.0</v>
      </c>
      <c r="P2270" s="5"/>
      <c r="Q2270" s="5"/>
      <c r="R2270" s="6" t="s">
        <v>6906</v>
      </c>
      <c r="S2270" s="5"/>
      <c r="T2270" s="1" t="str">
        <f>IFERROR(__xludf.DUMMYFUNCTION("INDEX(SPLIT(A2270, ""/""), 2)"),"نشریات مستقل")</f>
        <v>نشریات مستقل</v>
      </c>
      <c r="U2270" s="1" t="str">
        <f>IFERROR(__xludf.DUMMYFUNCTION("INDEX(SPLIT(A2270, ""/""), 3)"),"اقبال")</f>
        <v>اقبال</v>
      </c>
      <c r="V2270" s="1" t="str">
        <f>IFERROR(__xludf.DUMMYFUNCTION("INDEX(SPLIT(A2270, ""/""), 4)"),"#REF!")</f>
        <v>#REF!</v>
      </c>
    </row>
    <row r="2271">
      <c r="A2271" s="1" t="s">
        <v>6890</v>
      </c>
      <c r="B2271" s="1" t="s">
        <v>6907</v>
      </c>
      <c r="C2271" s="1" t="s">
        <v>21</v>
      </c>
      <c r="D2271" s="4" t="s">
        <v>6908</v>
      </c>
      <c r="E2271" s="1" t="s">
        <v>6893</v>
      </c>
      <c r="F2271" s="1" t="s">
        <v>6894</v>
      </c>
      <c r="G2271" s="1" t="s">
        <v>752</v>
      </c>
      <c r="H2271" s="1" t="s">
        <v>6909</v>
      </c>
      <c r="I2271" s="1" t="str">
        <f t="shared" si="1"/>
        <v>x</v>
      </c>
      <c r="J2271" s="5"/>
      <c r="K2271" s="1" t="str">
        <f t="shared" si="2"/>
        <v>2</v>
      </c>
      <c r="L2271" s="5"/>
      <c r="M2271" s="2" t="str">
        <f t="shared" si="3"/>
        <v>1393</v>
      </c>
      <c r="N2271" s="5"/>
      <c r="O2271" s="2">
        <v>6.0</v>
      </c>
      <c r="P2271" s="5"/>
      <c r="Q2271" s="5"/>
      <c r="R2271" s="6" t="s">
        <v>6910</v>
      </c>
      <c r="S2271" s="5"/>
      <c r="T2271" s="1" t="str">
        <f>IFERROR(__xludf.DUMMYFUNCTION("INDEX(SPLIT(A2271, ""/""), 2)"),"نشریات مستقل")</f>
        <v>نشریات مستقل</v>
      </c>
      <c r="U2271" s="1" t="str">
        <f>IFERROR(__xludf.DUMMYFUNCTION("INDEX(SPLIT(A2271, ""/""), 3)"),"اقبال")</f>
        <v>اقبال</v>
      </c>
      <c r="V2271" s="1" t="str">
        <f>IFERROR(__xludf.DUMMYFUNCTION("INDEX(SPLIT(A2271, ""/""), 4)"),"#REF!")</f>
        <v>#REF!</v>
      </c>
    </row>
    <row r="2272">
      <c r="A2272" s="1" t="s">
        <v>6890</v>
      </c>
      <c r="B2272" s="1" t="s">
        <v>6911</v>
      </c>
      <c r="C2272" s="1" t="s">
        <v>21</v>
      </c>
      <c r="D2272" s="4" t="s">
        <v>6912</v>
      </c>
      <c r="E2272" s="1" t="s">
        <v>6893</v>
      </c>
      <c r="F2272" s="1" t="s">
        <v>71</v>
      </c>
      <c r="G2272" s="1" t="s">
        <v>752</v>
      </c>
      <c r="H2272" s="1" t="s">
        <v>579</v>
      </c>
      <c r="I2272" s="1" t="str">
        <f t="shared" si="1"/>
        <v>x</v>
      </c>
      <c r="J2272" s="5"/>
      <c r="K2272" s="1" t="str">
        <f t="shared" si="2"/>
        <v>3</v>
      </c>
      <c r="L2272" s="5"/>
      <c r="M2272" s="2" t="str">
        <f t="shared" si="3"/>
        <v>1393</v>
      </c>
      <c r="N2272" s="5"/>
      <c r="O2272" s="2">
        <v>7.0</v>
      </c>
      <c r="P2272" s="5"/>
      <c r="Q2272" s="5"/>
      <c r="R2272" s="6" t="s">
        <v>580</v>
      </c>
      <c r="S2272" s="5"/>
      <c r="T2272" s="1" t="str">
        <f>IFERROR(__xludf.DUMMYFUNCTION("INDEX(SPLIT(A2272, ""/""), 2)"),"نشریات مستقل")</f>
        <v>نشریات مستقل</v>
      </c>
      <c r="U2272" s="1" t="str">
        <f>IFERROR(__xludf.DUMMYFUNCTION("INDEX(SPLIT(A2272, ""/""), 3)"),"اقبال")</f>
        <v>اقبال</v>
      </c>
      <c r="V2272" s="1" t="str">
        <f>IFERROR(__xludf.DUMMYFUNCTION("INDEX(SPLIT(A2272, ""/""), 4)"),"#REF!")</f>
        <v>#REF!</v>
      </c>
    </row>
    <row r="2273">
      <c r="A2273" s="1" t="s">
        <v>6890</v>
      </c>
      <c r="B2273" s="1" t="s">
        <v>6913</v>
      </c>
      <c r="C2273" s="1" t="s">
        <v>21</v>
      </c>
      <c r="D2273" s="4" t="s">
        <v>6914</v>
      </c>
      <c r="E2273" s="1" t="s">
        <v>6893</v>
      </c>
      <c r="F2273" s="1" t="s">
        <v>6915</v>
      </c>
      <c r="G2273" s="1" t="s">
        <v>752</v>
      </c>
      <c r="H2273" s="1" t="s">
        <v>3385</v>
      </c>
      <c r="I2273" s="1" t="str">
        <f t="shared" si="1"/>
        <v>x</v>
      </c>
      <c r="J2273" s="5"/>
      <c r="K2273" s="1" t="str">
        <f t="shared" si="2"/>
        <v>7</v>
      </c>
      <c r="L2273" s="5"/>
      <c r="M2273" s="2" t="str">
        <f t="shared" si="3"/>
        <v>1393</v>
      </c>
      <c r="N2273" s="5"/>
      <c r="O2273" s="2">
        <v>9.0</v>
      </c>
      <c r="P2273" s="5"/>
      <c r="Q2273" s="5"/>
      <c r="R2273" s="6" t="s">
        <v>3386</v>
      </c>
      <c r="S2273" s="5"/>
      <c r="T2273" s="1" t="str">
        <f>IFERROR(__xludf.DUMMYFUNCTION("INDEX(SPLIT(A2273, ""/""), 2)"),"نشریات مستقل")</f>
        <v>نشریات مستقل</v>
      </c>
      <c r="U2273" s="1" t="str">
        <f>IFERROR(__xludf.DUMMYFUNCTION("INDEX(SPLIT(A2273, ""/""), 3)"),"اقبال")</f>
        <v>اقبال</v>
      </c>
      <c r="V2273" s="1" t="str">
        <f>IFERROR(__xludf.DUMMYFUNCTION("INDEX(SPLIT(A2273, ""/""), 4)"),"#REF!")</f>
        <v>#REF!</v>
      </c>
    </row>
    <row r="2274">
      <c r="A2274" s="1" t="s">
        <v>6890</v>
      </c>
      <c r="B2274" s="1" t="s">
        <v>6916</v>
      </c>
      <c r="C2274" s="1" t="s">
        <v>21</v>
      </c>
      <c r="D2274" s="4" t="s">
        <v>6917</v>
      </c>
      <c r="E2274" s="1" t="s">
        <v>6893</v>
      </c>
      <c r="F2274" s="1" t="s">
        <v>6915</v>
      </c>
      <c r="G2274" s="1" t="s">
        <v>752</v>
      </c>
      <c r="H2274" s="1" t="s">
        <v>3385</v>
      </c>
      <c r="I2274" s="1" t="str">
        <f t="shared" si="1"/>
        <v>x</v>
      </c>
      <c r="J2274" s="5"/>
      <c r="K2274" s="1" t="str">
        <f t="shared" si="2"/>
        <v>7</v>
      </c>
      <c r="L2274" s="5"/>
      <c r="M2274" s="2" t="str">
        <f t="shared" si="3"/>
        <v>1393</v>
      </c>
      <c r="N2274" s="5"/>
      <c r="O2274" s="2">
        <v>10.0</v>
      </c>
      <c r="P2274" s="5"/>
      <c r="Q2274" s="5"/>
      <c r="R2274" s="6" t="s">
        <v>3386</v>
      </c>
      <c r="S2274" s="5"/>
      <c r="T2274" s="1" t="str">
        <f>IFERROR(__xludf.DUMMYFUNCTION("INDEX(SPLIT(A2274, ""/""), 2)"),"نشریات مستقل")</f>
        <v>نشریات مستقل</v>
      </c>
      <c r="U2274" s="1" t="str">
        <f>IFERROR(__xludf.DUMMYFUNCTION("INDEX(SPLIT(A2274, ""/""), 3)"),"اقبال")</f>
        <v>اقبال</v>
      </c>
      <c r="V2274" s="1" t="str">
        <f>IFERROR(__xludf.DUMMYFUNCTION("INDEX(SPLIT(A2274, ""/""), 4)"),"#REF!")</f>
        <v>#REF!</v>
      </c>
    </row>
    <row r="2275">
      <c r="A2275" s="1" t="s">
        <v>6890</v>
      </c>
      <c r="B2275" s="1" t="s">
        <v>6918</v>
      </c>
      <c r="C2275" s="1" t="s">
        <v>21</v>
      </c>
      <c r="D2275" s="4" t="s">
        <v>6919</v>
      </c>
      <c r="E2275" s="1" t="s">
        <v>6893</v>
      </c>
      <c r="F2275" s="1" t="s">
        <v>6920</v>
      </c>
      <c r="G2275" s="1" t="s">
        <v>752</v>
      </c>
      <c r="H2275" s="1" t="s">
        <v>3389</v>
      </c>
      <c r="I2275" s="1" t="str">
        <f t="shared" si="1"/>
        <v>x</v>
      </c>
      <c r="J2275" s="5"/>
      <c r="K2275" s="1" t="str">
        <f t="shared" si="2"/>
        <v>8</v>
      </c>
      <c r="L2275" s="5"/>
      <c r="M2275" s="2" t="str">
        <f t="shared" si="3"/>
        <v>1393</v>
      </c>
      <c r="N2275" s="5"/>
      <c r="O2275" s="2">
        <v>11.0</v>
      </c>
      <c r="P2275" s="5"/>
      <c r="Q2275" s="5"/>
      <c r="R2275" s="6" t="s">
        <v>3390</v>
      </c>
      <c r="S2275" s="5"/>
      <c r="T2275" s="1" t="str">
        <f>IFERROR(__xludf.DUMMYFUNCTION("INDEX(SPLIT(A2275, ""/""), 2)"),"نشریات مستقل")</f>
        <v>نشریات مستقل</v>
      </c>
      <c r="U2275" s="1" t="str">
        <f>IFERROR(__xludf.DUMMYFUNCTION("INDEX(SPLIT(A2275, ""/""), 3)"),"اقبال")</f>
        <v>اقبال</v>
      </c>
      <c r="V2275" s="1" t="str">
        <f>IFERROR(__xludf.DUMMYFUNCTION("INDEX(SPLIT(A2275, ""/""), 4)"),"#REF!")</f>
        <v>#REF!</v>
      </c>
    </row>
    <row r="2276">
      <c r="A2276" s="1" t="s">
        <v>6890</v>
      </c>
      <c r="B2276" s="1" t="s">
        <v>6921</v>
      </c>
      <c r="C2276" s="1" t="s">
        <v>21</v>
      </c>
      <c r="D2276" s="4" t="s">
        <v>6922</v>
      </c>
      <c r="E2276" s="1" t="s">
        <v>6893</v>
      </c>
      <c r="F2276" s="1" t="s">
        <v>6920</v>
      </c>
      <c r="G2276" s="1" t="s">
        <v>752</v>
      </c>
      <c r="H2276" s="1" t="s">
        <v>3389</v>
      </c>
      <c r="I2276" s="1" t="str">
        <f t="shared" si="1"/>
        <v>x</v>
      </c>
      <c r="J2276" s="5"/>
      <c r="K2276" s="1" t="str">
        <f t="shared" si="2"/>
        <v>8</v>
      </c>
      <c r="L2276" s="5"/>
      <c r="M2276" s="2" t="str">
        <f t="shared" si="3"/>
        <v>1393</v>
      </c>
      <c r="N2276" s="5"/>
      <c r="O2276" s="2">
        <v>12.0</v>
      </c>
      <c r="P2276" s="5"/>
      <c r="Q2276" s="5"/>
      <c r="R2276" s="6" t="s">
        <v>3390</v>
      </c>
      <c r="S2276" s="5"/>
      <c r="T2276" s="1" t="str">
        <f>IFERROR(__xludf.DUMMYFUNCTION("INDEX(SPLIT(A2276, ""/""), 2)"),"نشریات مستقل")</f>
        <v>نشریات مستقل</v>
      </c>
      <c r="U2276" s="1" t="str">
        <f>IFERROR(__xludf.DUMMYFUNCTION("INDEX(SPLIT(A2276, ""/""), 3)"),"اقبال")</f>
        <v>اقبال</v>
      </c>
      <c r="V2276" s="1" t="str">
        <f>IFERROR(__xludf.DUMMYFUNCTION("INDEX(SPLIT(A2276, ""/""), 4)"),"#REF!")</f>
        <v>#REF!</v>
      </c>
    </row>
    <row r="2277">
      <c r="A2277" s="1" t="s">
        <v>6890</v>
      </c>
      <c r="B2277" s="1" t="s">
        <v>6923</v>
      </c>
      <c r="C2277" s="1" t="s">
        <v>21</v>
      </c>
      <c r="D2277" s="4" t="s">
        <v>6924</v>
      </c>
      <c r="E2277" s="1" t="s">
        <v>6893</v>
      </c>
      <c r="F2277" s="1" t="s">
        <v>6920</v>
      </c>
      <c r="G2277" s="1" t="s">
        <v>71</v>
      </c>
      <c r="H2277" s="1" t="s">
        <v>3393</v>
      </c>
      <c r="I2277" s="1" t="str">
        <f t="shared" si="1"/>
        <v>x</v>
      </c>
      <c r="J2277" s="5"/>
      <c r="K2277" s="1" t="str">
        <f t="shared" si="2"/>
        <v>9</v>
      </c>
      <c r="L2277" s="5"/>
      <c r="M2277" s="2" t="str">
        <f t="shared" si="3"/>
        <v>1393</v>
      </c>
      <c r="N2277" s="5"/>
      <c r="O2277" s="2">
        <v>13.0</v>
      </c>
      <c r="P2277" s="5"/>
      <c r="Q2277" s="5"/>
      <c r="R2277" s="6" t="s">
        <v>3394</v>
      </c>
      <c r="S2277" s="5"/>
      <c r="T2277" s="1" t="str">
        <f>IFERROR(__xludf.DUMMYFUNCTION("INDEX(SPLIT(A2277, ""/""), 2)"),"نشریات مستقل")</f>
        <v>نشریات مستقل</v>
      </c>
      <c r="U2277" s="1" t="str">
        <f>IFERROR(__xludf.DUMMYFUNCTION("INDEX(SPLIT(A2277, ""/""), 3)"),"اقبال")</f>
        <v>اقبال</v>
      </c>
      <c r="V2277" s="1" t="str">
        <f>IFERROR(__xludf.DUMMYFUNCTION("INDEX(SPLIT(A2277, ""/""), 4)"),"#REF!")</f>
        <v>#REF!</v>
      </c>
    </row>
    <row r="2278">
      <c r="A2278" s="1" t="s">
        <v>6890</v>
      </c>
      <c r="B2278" s="1" t="s">
        <v>6925</v>
      </c>
      <c r="C2278" s="1" t="s">
        <v>21</v>
      </c>
      <c r="D2278" s="4" t="s">
        <v>6926</v>
      </c>
      <c r="E2278" s="1" t="s">
        <v>6893</v>
      </c>
      <c r="F2278" s="1" t="s">
        <v>6920</v>
      </c>
      <c r="G2278" s="1" t="s">
        <v>71</v>
      </c>
      <c r="H2278" s="1" t="s">
        <v>3393</v>
      </c>
      <c r="I2278" s="1" t="str">
        <f t="shared" si="1"/>
        <v>x</v>
      </c>
      <c r="J2278" s="5"/>
      <c r="K2278" s="1" t="str">
        <f t="shared" si="2"/>
        <v>9</v>
      </c>
      <c r="L2278" s="5"/>
      <c r="M2278" s="2" t="str">
        <f t="shared" si="3"/>
        <v>1393</v>
      </c>
      <c r="N2278" s="5"/>
      <c r="O2278" s="2">
        <v>14.0</v>
      </c>
      <c r="P2278" s="5"/>
      <c r="Q2278" s="5"/>
      <c r="R2278" s="6" t="s">
        <v>3394</v>
      </c>
      <c r="S2278" s="5"/>
      <c r="T2278" s="1" t="str">
        <f>IFERROR(__xludf.DUMMYFUNCTION("INDEX(SPLIT(A2278, ""/""), 2)"),"نشریات مستقل")</f>
        <v>نشریات مستقل</v>
      </c>
      <c r="U2278" s="1" t="str">
        <f>IFERROR(__xludf.DUMMYFUNCTION("INDEX(SPLIT(A2278, ""/""), 3)"),"اقبال")</f>
        <v>اقبال</v>
      </c>
      <c r="V2278" s="1" t="str">
        <f>IFERROR(__xludf.DUMMYFUNCTION("INDEX(SPLIT(A2278, ""/""), 4)"),"#REF!")</f>
        <v>#REF!</v>
      </c>
    </row>
    <row r="2279">
      <c r="A2279" s="1" t="s">
        <v>6890</v>
      </c>
      <c r="B2279" s="1" t="s">
        <v>6927</v>
      </c>
      <c r="C2279" s="1" t="s">
        <v>21</v>
      </c>
      <c r="D2279" s="4" t="s">
        <v>6928</v>
      </c>
      <c r="E2279" s="1" t="s">
        <v>6893</v>
      </c>
      <c r="F2279" s="1" t="s">
        <v>6920</v>
      </c>
      <c r="G2279" s="1" t="s">
        <v>6929</v>
      </c>
      <c r="H2279" s="1" t="s">
        <v>6930</v>
      </c>
      <c r="I2279" s="1" t="str">
        <f t="shared" si="1"/>
        <v>x</v>
      </c>
      <c r="J2279" s="5"/>
      <c r="K2279" s="1" t="str">
        <f t="shared" si="2"/>
        <v>11</v>
      </c>
      <c r="L2279" s="5"/>
      <c r="M2279" s="2" t="str">
        <f t="shared" si="3"/>
        <v>1393</v>
      </c>
      <c r="N2279" s="5"/>
      <c r="O2279" s="2">
        <v>17.0</v>
      </c>
      <c r="P2279" s="5"/>
      <c r="Q2279" s="5"/>
      <c r="R2279" s="6" t="s">
        <v>6931</v>
      </c>
      <c r="S2279" s="5"/>
      <c r="T2279" s="1" t="str">
        <f>IFERROR(__xludf.DUMMYFUNCTION("INDEX(SPLIT(A2279, ""/""), 2)"),"نشریات مستقل")</f>
        <v>نشریات مستقل</v>
      </c>
      <c r="U2279" s="1" t="str">
        <f>IFERROR(__xludf.DUMMYFUNCTION("INDEX(SPLIT(A2279, ""/""), 3)"),"اقبال")</f>
        <v>اقبال</v>
      </c>
      <c r="V2279" s="1" t="str">
        <f>IFERROR(__xludf.DUMMYFUNCTION("INDEX(SPLIT(A2279, ""/""), 4)"),"#REF!")</f>
        <v>#REF!</v>
      </c>
    </row>
    <row r="2280">
      <c r="A2280" s="1" t="s">
        <v>6890</v>
      </c>
      <c r="B2280" s="1" t="s">
        <v>6932</v>
      </c>
      <c r="C2280" s="1" t="s">
        <v>21</v>
      </c>
      <c r="D2280" s="4" t="s">
        <v>6933</v>
      </c>
      <c r="E2280" s="1" t="s">
        <v>6893</v>
      </c>
      <c r="F2280" s="1" t="s">
        <v>6920</v>
      </c>
      <c r="G2280" s="1" t="s">
        <v>6929</v>
      </c>
      <c r="H2280" s="1" t="s">
        <v>6930</v>
      </c>
      <c r="I2280" s="1" t="str">
        <f t="shared" si="1"/>
        <v>x</v>
      </c>
      <c r="J2280" s="5"/>
      <c r="K2280" s="1" t="str">
        <f t="shared" si="2"/>
        <v>11</v>
      </c>
      <c r="L2280" s="5"/>
      <c r="M2280" s="2" t="str">
        <f t="shared" si="3"/>
        <v>1393</v>
      </c>
      <c r="N2280" s="5"/>
      <c r="O2280" s="2">
        <v>18.0</v>
      </c>
      <c r="P2280" s="5"/>
      <c r="Q2280" s="5"/>
      <c r="R2280" s="6" t="s">
        <v>6931</v>
      </c>
      <c r="S2280" s="5"/>
      <c r="T2280" s="1" t="str">
        <f>IFERROR(__xludf.DUMMYFUNCTION("INDEX(SPLIT(A2280, ""/""), 2)"),"نشریات مستقل")</f>
        <v>نشریات مستقل</v>
      </c>
      <c r="U2280" s="1" t="str">
        <f>IFERROR(__xludf.DUMMYFUNCTION("INDEX(SPLIT(A2280, ""/""), 3)"),"اقبال")</f>
        <v>اقبال</v>
      </c>
      <c r="V2280" s="1" t="str">
        <f>IFERROR(__xludf.DUMMYFUNCTION("INDEX(SPLIT(A2280, ""/""), 4)"),"#REF!")</f>
        <v>#REF!</v>
      </c>
    </row>
    <row r="2281">
      <c r="A2281" s="1" t="s">
        <v>6890</v>
      </c>
      <c r="B2281" s="1" t="s">
        <v>6934</v>
      </c>
      <c r="C2281" s="1" t="s">
        <v>21</v>
      </c>
      <c r="D2281" s="4" t="s">
        <v>6935</v>
      </c>
      <c r="E2281" s="1" t="s">
        <v>6893</v>
      </c>
      <c r="F2281" s="1" t="s">
        <v>6920</v>
      </c>
      <c r="G2281" s="1" t="s">
        <v>6929</v>
      </c>
      <c r="H2281" s="1" t="s">
        <v>3397</v>
      </c>
      <c r="I2281" s="1" t="str">
        <f t="shared" si="1"/>
        <v>x</v>
      </c>
      <c r="J2281" s="5"/>
      <c r="K2281" s="1" t="str">
        <f t="shared" si="2"/>
        <v>12</v>
      </c>
      <c r="L2281" s="5"/>
      <c r="M2281" s="2" t="str">
        <f t="shared" si="3"/>
        <v>1393</v>
      </c>
      <c r="N2281" s="5"/>
      <c r="O2281" s="2">
        <v>19.0</v>
      </c>
      <c r="P2281" s="5"/>
      <c r="Q2281" s="5"/>
      <c r="R2281" s="6" t="s">
        <v>3398</v>
      </c>
      <c r="S2281" s="5"/>
      <c r="T2281" s="1" t="str">
        <f>IFERROR(__xludf.DUMMYFUNCTION("INDEX(SPLIT(A2281, ""/""), 2)"),"نشریات مستقل")</f>
        <v>نشریات مستقل</v>
      </c>
      <c r="U2281" s="1" t="str">
        <f>IFERROR(__xludf.DUMMYFUNCTION("INDEX(SPLIT(A2281, ""/""), 3)"),"اقبال")</f>
        <v>اقبال</v>
      </c>
      <c r="V2281" s="1" t="str">
        <f>IFERROR(__xludf.DUMMYFUNCTION("INDEX(SPLIT(A2281, ""/""), 4)"),"#REF!")</f>
        <v>#REF!</v>
      </c>
    </row>
    <row r="2282">
      <c r="A2282" s="1" t="s">
        <v>6936</v>
      </c>
      <c r="B2282" s="1" t="s">
        <v>6937</v>
      </c>
      <c r="C2282" s="1" t="s">
        <v>21</v>
      </c>
      <c r="D2282" s="4" t="s">
        <v>6938</v>
      </c>
      <c r="E2282" s="1" t="s">
        <v>6939</v>
      </c>
      <c r="F2282" s="1" t="s">
        <v>6940</v>
      </c>
      <c r="G2282" s="1" t="s">
        <v>6941</v>
      </c>
      <c r="H2282" s="1" t="s">
        <v>291</v>
      </c>
      <c r="I2282" s="1" t="str">
        <f t="shared" si="1"/>
        <v>x</v>
      </c>
      <c r="J2282" s="5"/>
      <c r="K2282" s="1" t="str">
        <f t="shared" si="2"/>
        <v>x</v>
      </c>
      <c r="L2282" s="5"/>
      <c r="M2282" s="2" t="str">
        <f t="shared" si="3"/>
        <v>x</v>
      </c>
      <c r="N2282" s="1"/>
      <c r="O2282" s="1">
        <v>1.0</v>
      </c>
      <c r="P2282" s="7" t="s">
        <v>6643</v>
      </c>
      <c r="Q2282" s="7" t="s">
        <v>6942</v>
      </c>
      <c r="R2282" s="6" t="s">
        <v>6943</v>
      </c>
      <c r="S2282" s="5"/>
      <c r="T2282" s="1" t="str">
        <f>IFERROR(__xludf.DUMMYFUNCTION("INDEX(SPLIT(A2282, ""/""), 2)"),"نشریات مستقل")</f>
        <v>نشریات مستقل</v>
      </c>
      <c r="U2282" s="1" t="str">
        <f>IFERROR(__xludf.DUMMYFUNCTION("INDEX(SPLIT(A2282, ""/""), 3)"),"امن")</f>
        <v>امن</v>
      </c>
      <c r="V2282" s="1" t="str">
        <f>IFERROR(__xludf.DUMMYFUNCTION("INDEX(SPLIT(A2282, ""/""), 4)"),"#REF!")</f>
        <v>#REF!</v>
      </c>
    </row>
    <row r="2283">
      <c r="A2283" s="1" t="s">
        <v>6936</v>
      </c>
      <c r="B2283" s="1" t="s">
        <v>6944</v>
      </c>
      <c r="C2283" s="1" t="s">
        <v>21</v>
      </c>
      <c r="D2283" s="4" t="s">
        <v>6945</v>
      </c>
      <c r="E2283" s="1" t="s">
        <v>6939</v>
      </c>
      <c r="F2283" s="1" t="s">
        <v>6940</v>
      </c>
      <c r="G2283" s="1" t="s">
        <v>6941</v>
      </c>
      <c r="H2283" s="1" t="s">
        <v>6946</v>
      </c>
      <c r="I2283" s="1" t="str">
        <f t="shared" si="1"/>
        <v>x</v>
      </c>
      <c r="J2283" s="5"/>
      <c r="K2283" s="1" t="str">
        <f t="shared" si="2"/>
        <v>8</v>
      </c>
      <c r="L2283" s="5"/>
      <c r="M2283" s="2" t="str">
        <f t="shared" si="3"/>
        <v>1391</v>
      </c>
      <c r="N2283" s="1"/>
      <c r="O2283" s="1">
        <v>2.0</v>
      </c>
      <c r="P2283" s="5"/>
      <c r="Q2283" s="5"/>
      <c r="R2283" s="6" t="s">
        <v>6947</v>
      </c>
      <c r="S2283" s="5"/>
      <c r="T2283" s="1" t="str">
        <f>IFERROR(__xludf.DUMMYFUNCTION("INDEX(SPLIT(A2283, ""/""), 2)"),"نشریات مستقل")</f>
        <v>نشریات مستقل</v>
      </c>
      <c r="U2283" s="1" t="str">
        <f>IFERROR(__xludf.DUMMYFUNCTION("INDEX(SPLIT(A2283, ""/""), 3)"),"امن")</f>
        <v>امن</v>
      </c>
      <c r="V2283" s="1" t="str">
        <f>IFERROR(__xludf.DUMMYFUNCTION("INDEX(SPLIT(A2283, ""/""), 4)"),"#REF!")</f>
        <v>#REF!</v>
      </c>
    </row>
    <row r="2284">
      <c r="A2284" s="1" t="s">
        <v>6936</v>
      </c>
      <c r="B2284" s="1" t="s">
        <v>6948</v>
      </c>
      <c r="C2284" s="1" t="s">
        <v>21</v>
      </c>
      <c r="D2284" s="4" t="s">
        <v>6949</v>
      </c>
      <c r="E2284" s="1" t="s">
        <v>6939</v>
      </c>
      <c r="F2284" s="1" t="s">
        <v>6940</v>
      </c>
      <c r="G2284" s="1" t="s">
        <v>6941</v>
      </c>
      <c r="H2284" s="1" t="s">
        <v>6950</v>
      </c>
      <c r="I2284" s="1" t="str">
        <f t="shared" si="1"/>
        <v>x</v>
      </c>
      <c r="J2284" s="5"/>
      <c r="K2284" s="1" t="str">
        <f t="shared" si="2"/>
        <v>9</v>
      </c>
      <c r="L2284" s="5"/>
      <c r="M2284" s="2" t="str">
        <f t="shared" si="3"/>
        <v>1391</v>
      </c>
      <c r="N2284" s="1"/>
      <c r="O2284" s="1">
        <v>3.0</v>
      </c>
      <c r="P2284" s="5"/>
      <c r="Q2284" s="5"/>
      <c r="R2284" s="6" t="s">
        <v>6951</v>
      </c>
      <c r="S2284" s="5"/>
      <c r="T2284" s="1" t="str">
        <f>IFERROR(__xludf.DUMMYFUNCTION("INDEX(SPLIT(A2284, ""/""), 2)"),"نشریات مستقل")</f>
        <v>نشریات مستقل</v>
      </c>
      <c r="U2284" s="1" t="str">
        <f>IFERROR(__xludf.DUMMYFUNCTION("INDEX(SPLIT(A2284, ""/""), 3)"),"امن")</f>
        <v>امن</v>
      </c>
      <c r="V2284" s="1" t="str">
        <f>IFERROR(__xludf.DUMMYFUNCTION("INDEX(SPLIT(A2284, ""/""), 4)"),"#REF!")</f>
        <v>#REF!</v>
      </c>
    </row>
    <row r="2285">
      <c r="A2285" s="1" t="s">
        <v>6936</v>
      </c>
      <c r="B2285" s="1" t="s">
        <v>6952</v>
      </c>
      <c r="C2285" s="1" t="s">
        <v>21</v>
      </c>
      <c r="D2285" s="4" t="s">
        <v>6953</v>
      </c>
      <c r="E2285" s="1" t="s">
        <v>6939</v>
      </c>
      <c r="F2285" s="1" t="s">
        <v>6940</v>
      </c>
      <c r="G2285" s="1" t="s">
        <v>6941</v>
      </c>
      <c r="H2285" s="1" t="s">
        <v>6954</v>
      </c>
      <c r="I2285" s="1" t="str">
        <f t="shared" si="1"/>
        <v>15</v>
      </c>
      <c r="J2285" s="5"/>
      <c r="K2285" s="1" t="str">
        <f t="shared" si="2"/>
        <v>11</v>
      </c>
      <c r="L2285" s="5"/>
      <c r="M2285" s="2" t="str">
        <f t="shared" si="3"/>
        <v>1391</v>
      </c>
      <c r="N2285" s="1"/>
      <c r="O2285" s="1">
        <v>4.0</v>
      </c>
      <c r="P2285" s="5"/>
      <c r="Q2285" s="5"/>
      <c r="R2285" s="6" t="s">
        <v>6954</v>
      </c>
      <c r="S2285" s="5"/>
      <c r="T2285" s="1" t="str">
        <f>IFERROR(__xludf.DUMMYFUNCTION("INDEX(SPLIT(A2285, ""/""), 2)"),"نشریات مستقل")</f>
        <v>نشریات مستقل</v>
      </c>
      <c r="U2285" s="1" t="str">
        <f>IFERROR(__xludf.DUMMYFUNCTION("INDEX(SPLIT(A2285, ""/""), 3)"),"امن")</f>
        <v>امن</v>
      </c>
      <c r="V2285" s="1" t="str">
        <f>IFERROR(__xludf.DUMMYFUNCTION("INDEX(SPLIT(A2285, ""/""), 4)"),"#REF!")</f>
        <v>#REF!</v>
      </c>
    </row>
    <row r="2286">
      <c r="A2286" s="1" t="s">
        <v>6936</v>
      </c>
      <c r="B2286" s="1" t="s">
        <v>6955</v>
      </c>
      <c r="C2286" s="1" t="s">
        <v>21</v>
      </c>
      <c r="D2286" s="4" t="s">
        <v>6956</v>
      </c>
      <c r="E2286" s="1" t="s">
        <v>6939</v>
      </c>
      <c r="F2286" s="1" t="s">
        <v>6940</v>
      </c>
      <c r="G2286" s="1" t="s">
        <v>6941</v>
      </c>
      <c r="H2286" s="1" t="s">
        <v>6957</v>
      </c>
      <c r="I2286" s="1" t="str">
        <f t="shared" si="1"/>
        <v>x</v>
      </c>
      <c r="J2286" s="5"/>
      <c r="K2286" s="1" t="str">
        <f t="shared" si="2"/>
        <v>2</v>
      </c>
      <c r="L2286" s="5"/>
      <c r="M2286" s="2" t="str">
        <f t="shared" si="3"/>
        <v>1392</v>
      </c>
      <c r="N2286" s="1"/>
      <c r="O2286" s="1">
        <v>5.0</v>
      </c>
      <c r="P2286" s="5"/>
      <c r="Q2286" s="5"/>
      <c r="R2286" s="6" t="s">
        <v>6958</v>
      </c>
      <c r="S2286" s="5"/>
      <c r="T2286" s="1" t="str">
        <f>IFERROR(__xludf.DUMMYFUNCTION("INDEX(SPLIT(A2286, ""/""), 2)"),"نشریات مستقل")</f>
        <v>نشریات مستقل</v>
      </c>
      <c r="U2286" s="1" t="str">
        <f>IFERROR(__xludf.DUMMYFUNCTION("INDEX(SPLIT(A2286, ""/""), 3)"),"امن")</f>
        <v>امن</v>
      </c>
      <c r="V2286" s="1" t="str">
        <f>IFERROR(__xludf.DUMMYFUNCTION("INDEX(SPLIT(A2286, ""/""), 4)"),"#REF!")</f>
        <v>#REF!</v>
      </c>
    </row>
    <row r="2287">
      <c r="A2287" s="1" t="s">
        <v>6936</v>
      </c>
      <c r="B2287" s="1" t="s">
        <v>6959</v>
      </c>
      <c r="C2287" s="1" t="s">
        <v>21</v>
      </c>
      <c r="D2287" s="4" t="s">
        <v>6960</v>
      </c>
      <c r="E2287" s="1" t="s">
        <v>6939</v>
      </c>
      <c r="F2287" s="1" t="s">
        <v>6961</v>
      </c>
      <c r="G2287" s="1" t="s">
        <v>6941</v>
      </c>
      <c r="H2287" s="1" t="s">
        <v>3829</v>
      </c>
      <c r="I2287" s="1" t="str">
        <f t="shared" si="1"/>
        <v>x</v>
      </c>
      <c r="J2287" s="5"/>
      <c r="K2287" s="1" t="str">
        <f t="shared" si="2"/>
        <v>7</v>
      </c>
      <c r="L2287" s="5"/>
      <c r="M2287" s="2" t="str">
        <f t="shared" si="3"/>
        <v>1392</v>
      </c>
      <c r="N2287" s="1"/>
      <c r="O2287" s="1">
        <v>7.0</v>
      </c>
      <c r="P2287" s="5"/>
      <c r="Q2287" s="5"/>
      <c r="R2287" s="6" t="s">
        <v>3830</v>
      </c>
      <c r="S2287" s="5"/>
      <c r="T2287" s="1" t="str">
        <f>IFERROR(__xludf.DUMMYFUNCTION("INDEX(SPLIT(A2287, ""/""), 2)"),"نشریات مستقل")</f>
        <v>نشریات مستقل</v>
      </c>
      <c r="U2287" s="1" t="str">
        <f>IFERROR(__xludf.DUMMYFUNCTION("INDEX(SPLIT(A2287, ""/""), 3)"),"امن")</f>
        <v>امن</v>
      </c>
      <c r="V2287" s="1" t="str">
        <f>IFERROR(__xludf.DUMMYFUNCTION("INDEX(SPLIT(A2287, ""/""), 4)"),"#REF!")</f>
        <v>#REF!</v>
      </c>
    </row>
    <row r="2288">
      <c r="A2288" s="1" t="s">
        <v>6936</v>
      </c>
      <c r="B2288" s="1" t="s">
        <v>6962</v>
      </c>
      <c r="C2288" s="1" t="s">
        <v>21</v>
      </c>
      <c r="D2288" s="4" t="s">
        <v>6963</v>
      </c>
      <c r="E2288" s="1" t="s">
        <v>6939</v>
      </c>
      <c r="F2288" s="1" t="s">
        <v>6961</v>
      </c>
      <c r="G2288" s="1" t="s">
        <v>6941</v>
      </c>
      <c r="H2288" s="1" t="s">
        <v>3829</v>
      </c>
      <c r="I2288" s="1" t="str">
        <f t="shared" si="1"/>
        <v>x</v>
      </c>
      <c r="J2288" s="5"/>
      <c r="K2288" s="1" t="str">
        <f t="shared" si="2"/>
        <v>7</v>
      </c>
      <c r="L2288" s="5"/>
      <c r="M2288" s="2" t="str">
        <f t="shared" si="3"/>
        <v>1392</v>
      </c>
      <c r="N2288" s="1"/>
      <c r="O2288" s="1">
        <v>8.0</v>
      </c>
      <c r="P2288" s="5"/>
      <c r="Q2288" s="5"/>
      <c r="R2288" s="6" t="s">
        <v>3830</v>
      </c>
      <c r="S2288" s="5"/>
      <c r="T2288" s="1" t="str">
        <f>IFERROR(__xludf.DUMMYFUNCTION("INDEX(SPLIT(A2288, ""/""), 2)"),"نشریات مستقل")</f>
        <v>نشریات مستقل</v>
      </c>
      <c r="U2288" s="1" t="str">
        <f>IFERROR(__xludf.DUMMYFUNCTION("INDEX(SPLIT(A2288, ""/""), 3)"),"امن")</f>
        <v>امن</v>
      </c>
      <c r="V2288" s="1" t="str">
        <f>IFERROR(__xludf.DUMMYFUNCTION("INDEX(SPLIT(A2288, ""/""), 4)"),"#REF!")</f>
        <v>#REF!</v>
      </c>
    </row>
    <row r="2289">
      <c r="A2289" s="1" t="s">
        <v>6964</v>
      </c>
      <c r="B2289" s="1" t="s">
        <v>6965</v>
      </c>
      <c r="C2289" s="1" t="s">
        <v>21</v>
      </c>
      <c r="D2289" s="4" t="s">
        <v>6966</v>
      </c>
      <c r="E2289" s="1" t="s">
        <v>6967</v>
      </c>
      <c r="F2289" s="1" t="s">
        <v>1415</v>
      </c>
      <c r="G2289" s="1" t="s">
        <v>792</v>
      </c>
      <c r="H2289" s="1" t="s">
        <v>1306</v>
      </c>
      <c r="I2289" s="1" t="str">
        <f t="shared" si="1"/>
        <v>30</v>
      </c>
      <c r="J2289" s="5"/>
      <c r="K2289" s="1" t="str">
        <f t="shared" si="2"/>
        <v>2</v>
      </c>
      <c r="L2289" s="5"/>
      <c r="M2289" s="2" t="str">
        <f t="shared" si="3"/>
        <v>1398</v>
      </c>
      <c r="N2289" s="5"/>
      <c r="O2289" s="2">
        <v>3.0</v>
      </c>
      <c r="P2289" s="5"/>
      <c r="Q2289" s="5"/>
      <c r="R2289" s="6" t="s">
        <v>1306</v>
      </c>
      <c r="S2289" s="5"/>
      <c r="T2289" s="1" t="str">
        <f>IFERROR(__xludf.DUMMYFUNCTION("INDEX(SPLIT(A2289, ""/""), 2)"),"نشریات مستقل")</f>
        <v>نشریات مستقل</v>
      </c>
      <c r="U2289" s="1" t="str">
        <f>IFERROR(__xludf.DUMMYFUNCTION("INDEX(SPLIT(A2289, ""/""), 3)"),"بخیه‌باز")</f>
        <v>بخیه‌باز</v>
      </c>
      <c r="V2289" s="1" t="str">
        <f>IFERROR(__xludf.DUMMYFUNCTION("INDEX(SPLIT(A2289, ""/""), 4)"),"#REF!")</f>
        <v>#REF!</v>
      </c>
    </row>
    <row r="2290">
      <c r="A2290" s="1" t="s">
        <v>6964</v>
      </c>
      <c r="B2290" s="1" t="s">
        <v>6968</v>
      </c>
      <c r="C2290" s="1" t="s">
        <v>21</v>
      </c>
      <c r="D2290" s="4" t="s">
        <v>6969</v>
      </c>
      <c r="E2290" s="1" t="s">
        <v>6967</v>
      </c>
      <c r="F2290" s="1" t="s">
        <v>1415</v>
      </c>
      <c r="G2290" s="1" t="s">
        <v>792</v>
      </c>
      <c r="H2290" s="1" t="s">
        <v>1306</v>
      </c>
      <c r="I2290" s="1" t="str">
        <f t="shared" si="1"/>
        <v>30</v>
      </c>
      <c r="J2290" s="5"/>
      <c r="K2290" s="1" t="str">
        <f t="shared" si="2"/>
        <v>2</v>
      </c>
      <c r="L2290" s="5"/>
      <c r="M2290" s="2" t="str">
        <f t="shared" si="3"/>
        <v>1398</v>
      </c>
      <c r="N2290" s="5"/>
      <c r="O2290" s="2" t="s">
        <v>6970</v>
      </c>
      <c r="P2290" s="5"/>
      <c r="Q2290" s="5"/>
      <c r="R2290" s="6" t="s">
        <v>1306</v>
      </c>
      <c r="S2290" s="5"/>
      <c r="T2290" s="1" t="str">
        <f>IFERROR(__xludf.DUMMYFUNCTION("INDEX(SPLIT(A2290, ""/""), 2)"),"نشریات مستقل")</f>
        <v>نشریات مستقل</v>
      </c>
      <c r="U2290" s="1" t="str">
        <f>IFERROR(__xludf.DUMMYFUNCTION("INDEX(SPLIT(A2290, ""/""), 3)"),"بخیه‌باز")</f>
        <v>بخیه‌باز</v>
      </c>
      <c r="V2290" s="1" t="str">
        <f>IFERROR(__xludf.DUMMYFUNCTION("INDEX(SPLIT(A2290, ""/""), 4)"),"#REF!")</f>
        <v>#REF!</v>
      </c>
    </row>
    <row r="2291">
      <c r="A2291" s="9" t="s">
        <v>6971</v>
      </c>
      <c r="B2291" s="1" t="s">
        <v>6972</v>
      </c>
      <c r="C2291" s="1" t="s">
        <v>21</v>
      </c>
      <c r="D2291" s="4" t="s">
        <v>6973</v>
      </c>
      <c r="E2291" s="1" t="s">
        <v>1535</v>
      </c>
      <c r="F2291" s="1" t="s">
        <v>1535</v>
      </c>
      <c r="G2291" s="1" t="s">
        <v>1535</v>
      </c>
      <c r="H2291" s="1" t="s">
        <v>6974</v>
      </c>
      <c r="I2291" s="1" t="str">
        <f t="shared" si="1"/>
        <v>20</v>
      </c>
      <c r="J2291" s="5"/>
      <c r="K2291" s="1" t="str">
        <f t="shared" si="2"/>
        <v>7</v>
      </c>
      <c r="L2291" s="5"/>
      <c r="M2291" s="2" t="str">
        <f t="shared" si="3"/>
        <v>1396</v>
      </c>
      <c r="N2291" s="5"/>
      <c r="O2291" s="2" t="s">
        <v>6975</v>
      </c>
      <c r="P2291" s="5"/>
      <c r="Q2291" s="5"/>
      <c r="R2291" s="6" t="s">
        <v>6974</v>
      </c>
      <c r="S2291" s="5"/>
      <c r="T2291" s="1" t="str">
        <f>IFERROR(__xludf.DUMMYFUNCTION("INDEX(SPLIT(A2291, ""/""), 2)"),"تشکل‌های اسلامی و سیاسی")</f>
        <v>تشکل‌های اسلامی و سیاسی</v>
      </c>
      <c r="U2291" s="1" t="str">
        <f>IFERROR(__xludf.DUMMYFUNCTION("INDEX(SPLIT(A2291, ""/""), 3)"),"انجمن اسلامی دانشجویان")</f>
        <v>انجمن اسلامی دانشجویان</v>
      </c>
      <c r="V2291" s="1" t="str">
        <f>IFERROR(__xludf.DUMMYFUNCTION("INDEX(SPLIT(A2291, ""/""), 4)"),"#REF!")</f>
        <v>#REF!</v>
      </c>
    </row>
    <row r="2292">
      <c r="A2292" s="1" t="s">
        <v>6976</v>
      </c>
      <c r="B2292" s="1" t="s">
        <v>6977</v>
      </c>
      <c r="C2292" s="1" t="s">
        <v>21</v>
      </c>
      <c r="D2292" s="4" t="s">
        <v>6978</v>
      </c>
      <c r="E2292" s="1" t="s">
        <v>791</v>
      </c>
      <c r="F2292" s="1" t="s">
        <v>6979</v>
      </c>
      <c r="G2292" s="1" t="s">
        <v>6980</v>
      </c>
      <c r="H2292" s="1" t="s">
        <v>2719</v>
      </c>
      <c r="I2292" s="1" t="str">
        <f t="shared" si="1"/>
        <v>x</v>
      </c>
      <c r="J2292" s="5"/>
      <c r="K2292" s="1" t="str">
        <f t="shared" si="2"/>
        <v>x</v>
      </c>
      <c r="L2292" s="1">
        <v>4.0</v>
      </c>
      <c r="M2292" s="2" t="str">
        <f t="shared" si="3"/>
        <v>1397</v>
      </c>
      <c r="N2292" s="5"/>
      <c r="O2292" s="2">
        <v>1.0</v>
      </c>
      <c r="P2292" s="5"/>
      <c r="Q2292" s="5"/>
      <c r="R2292" s="8" t="s">
        <v>2023</v>
      </c>
      <c r="S2292" s="5"/>
      <c r="T2292" s="1" t="str">
        <f>IFERROR(__xludf.DUMMYFUNCTION("INDEX(SPLIT(A2292, ""/""), 2)"),"نشریات مستقل")</f>
        <v>نشریات مستقل</v>
      </c>
      <c r="U2292" s="1" t="str">
        <f>IFERROR(__xludf.DUMMYFUNCTION("INDEX(SPLIT(A2292, ""/""), 3)"),"حرکت")</f>
        <v>حرکت</v>
      </c>
      <c r="V2292" s="1" t="str">
        <f>IFERROR(__xludf.DUMMYFUNCTION("INDEX(SPLIT(A2292, ""/""), 4)"),"#REF!")</f>
        <v>#REF!</v>
      </c>
    </row>
    <row r="2293">
      <c r="A2293" s="1" t="s">
        <v>6976</v>
      </c>
      <c r="B2293" s="1" t="s">
        <v>6981</v>
      </c>
      <c r="C2293" s="1" t="s">
        <v>21</v>
      </c>
      <c r="D2293" s="4" t="s">
        <v>6982</v>
      </c>
      <c r="E2293" s="1" t="s">
        <v>791</v>
      </c>
      <c r="F2293" s="1" t="s">
        <v>6979</v>
      </c>
      <c r="G2293" s="1" t="s">
        <v>6980</v>
      </c>
      <c r="H2293" s="1" t="s">
        <v>107</v>
      </c>
      <c r="I2293" s="1" t="str">
        <f t="shared" si="1"/>
        <v>x</v>
      </c>
      <c r="J2293" s="5"/>
      <c r="K2293" s="1" t="str">
        <f t="shared" si="2"/>
        <v>x</v>
      </c>
      <c r="L2293" s="1">
        <v>1.0</v>
      </c>
      <c r="M2293" s="2" t="str">
        <f t="shared" si="3"/>
        <v>1398</v>
      </c>
      <c r="N2293" s="5"/>
      <c r="O2293" s="2">
        <v>2.0</v>
      </c>
      <c r="P2293" s="5"/>
      <c r="Q2293" s="5"/>
      <c r="R2293" s="8" t="s">
        <v>108</v>
      </c>
      <c r="S2293" s="5"/>
      <c r="T2293" s="1" t="str">
        <f>IFERROR(__xludf.DUMMYFUNCTION("INDEX(SPLIT(A2293, ""/""), 2)"),"نشریات مستقل")</f>
        <v>نشریات مستقل</v>
      </c>
      <c r="U2293" s="1" t="str">
        <f>IFERROR(__xludf.DUMMYFUNCTION("INDEX(SPLIT(A2293, ""/""), 3)"),"حرکت")</f>
        <v>حرکت</v>
      </c>
      <c r="V2293" s="1" t="str">
        <f>IFERROR(__xludf.DUMMYFUNCTION("INDEX(SPLIT(A2293, ""/""), 4)"),"#REF!")</f>
        <v>#REF!</v>
      </c>
    </row>
    <row r="2294">
      <c r="A2294" s="1" t="s">
        <v>6976</v>
      </c>
      <c r="B2294" s="1" t="s">
        <v>6983</v>
      </c>
      <c r="C2294" s="1" t="s">
        <v>21</v>
      </c>
      <c r="D2294" s="4" t="s">
        <v>6984</v>
      </c>
      <c r="E2294" s="1" t="s">
        <v>791</v>
      </c>
      <c r="F2294" s="1" t="s">
        <v>6979</v>
      </c>
      <c r="G2294" s="1" t="s">
        <v>6980</v>
      </c>
      <c r="H2294" s="1" t="s">
        <v>107</v>
      </c>
      <c r="I2294" s="1" t="str">
        <f t="shared" si="1"/>
        <v>x</v>
      </c>
      <c r="J2294" s="5"/>
      <c r="K2294" s="1" t="str">
        <f t="shared" si="2"/>
        <v>x</v>
      </c>
      <c r="L2294" s="1">
        <v>2.0</v>
      </c>
      <c r="M2294" s="2" t="str">
        <f t="shared" si="3"/>
        <v>1398</v>
      </c>
      <c r="N2294" s="5"/>
      <c r="O2294" s="2">
        <v>3.0</v>
      </c>
      <c r="P2294" s="5"/>
      <c r="Q2294" s="5"/>
      <c r="R2294" s="8" t="s">
        <v>108</v>
      </c>
      <c r="S2294" s="5"/>
      <c r="T2294" s="1" t="str">
        <f>IFERROR(__xludf.DUMMYFUNCTION("INDEX(SPLIT(A2294, ""/""), 2)"),"نشریات مستقل")</f>
        <v>نشریات مستقل</v>
      </c>
      <c r="U2294" s="1" t="str">
        <f>IFERROR(__xludf.DUMMYFUNCTION("INDEX(SPLIT(A2294, ""/""), 3)"),"حرکت")</f>
        <v>حرکت</v>
      </c>
      <c r="V2294" s="1" t="str">
        <f>IFERROR(__xludf.DUMMYFUNCTION("INDEX(SPLIT(A2294, ""/""), 4)"),"#REF!")</f>
        <v>#REF!</v>
      </c>
    </row>
    <row r="2295">
      <c r="A2295" s="1" t="s">
        <v>6976</v>
      </c>
      <c r="B2295" s="1" t="s">
        <v>6985</v>
      </c>
      <c r="C2295" s="1" t="s">
        <v>21</v>
      </c>
      <c r="D2295" s="4" t="s">
        <v>6986</v>
      </c>
      <c r="E2295" s="1" t="s">
        <v>791</v>
      </c>
      <c r="F2295" s="1" t="s">
        <v>6979</v>
      </c>
      <c r="G2295" s="1" t="s">
        <v>6980</v>
      </c>
      <c r="H2295" s="1" t="s">
        <v>107</v>
      </c>
      <c r="I2295" s="1" t="str">
        <f t="shared" si="1"/>
        <v>x</v>
      </c>
      <c r="J2295" s="5"/>
      <c r="K2295" s="1" t="str">
        <f t="shared" si="2"/>
        <v>x</v>
      </c>
      <c r="L2295" s="1">
        <v>2.0</v>
      </c>
      <c r="M2295" s="2" t="str">
        <f t="shared" si="3"/>
        <v>1398</v>
      </c>
      <c r="N2295" s="5"/>
      <c r="O2295" s="2" t="s">
        <v>6987</v>
      </c>
      <c r="P2295" s="5"/>
      <c r="Q2295" s="5"/>
      <c r="R2295" s="8" t="s">
        <v>108</v>
      </c>
      <c r="S2295" s="5"/>
      <c r="T2295" s="1" t="str">
        <f>IFERROR(__xludf.DUMMYFUNCTION("INDEX(SPLIT(A2295, ""/""), 2)"),"نشریات مستقل")</f>
        <v>نشریات مستقل</v>
      </c>
      <c r="U2295" s="1" t="str">
        <f>IFERROR(__xludf.DUMMYFUNCTION("INDEX(SPLIT(A2295, ""/""), 3)"),"حرکت")</f>
        <v>حرکت</v>
      </c>
      <c r="V2295" s="1" t="str">
        <f>IFERROR(__xludf.DUMMYFUNCTION("INDEX(SPLIT(A2295, ""/""), 4)"),"#REF!")</f>
        <v>#REF!</v>
      </c>
    </row>
    <row r="2296">
      <c r="A2296" s="1" t="s">
        <v>6976</v>
      </c>
      <c r="B2296" s="1" t="s">
        <v>6988</v>
      </c>
      <c r="C2296" s="1" t="s">
        <v>21</v>
      </c>
      <c r="D2296" s="4" t="s">
        <v>6989</v>
      </c>
      <c r="E2296" s="1" t="s">
        <v>791</v>
      </c>
      <c r="F2296" s="1" t="s">
        <v>6979</v>
      </c>
      <c r="G2296" s="1" t="s">
        <v>6990</v>
      </c>
      <c r="H2296" s="1" t="s">
        <v>107</v>
      </c>
      <c r="I2296" s="1" t="str">
        <f t="shared" si="1"/>
        <v>x</v>
      </c>
      <c r="J2296" s="5"/>
      <c r="K2296" s="1" t="str">
        <f t="shared" si="2"/>
        <v>x</v>
      </c>
      <c r="L2296" s="1">
        <v>3.0</v>
      </c>
      <c r="M2296" s="2" t="str">
        <f t="shared" si="3"/>
        <v>1398</v>
      </c>
      <c r="N2296" s="5"/>
      <c r="O2296" s="2">
        <v>4.0</v>
      </c>
      <c r="P2296" s="5"/>
      <c r="Q2296" s="5"/>
      <c r="R2296" s="8" t="s">
        <v>108</v>
      </c>
      <c r="S2296" s="5"/>
      <c r="T2296" s="1" t="str">
        <f>IFERROR(__xludf.DUMMYFUNCTION("INDEX(SPLIT(A2296, ""/""), 2)"),"نشریات مستقل")</f>
        <v>نشریات مستقل</v>
      </c>
      <c r="U2296" s="1" t="str">
        <f>IFERROR(__xludf.DUMMYFUNCTION("INDEX(SPLIT(A2296, ""/""), 3)"),"حرکت")</f>
        <v>حرکت</v>
      </c>
      <c r="V2296" s="1" t="str">
        <f>IFERROR(__xludf.DUMMYFUNCTION("INDEX(SPLIT(A2296, ""/""), 4)"),"#REF!")</f>
        <v>#REF!</v>
      </c>
    </row>
    <row r="2297">
      <c r="A2297" s="1" t="s">
        <v>6976</v>
      </c>
      <c r="B2297" s="1" t="s">
        <v>6991</v>
      </c>
      <c r="C2297" s="1" t="s">
        <v>21</v>
      </c>
      <c r="D2297" s="4" t="s">
        <v>6992</v>
      </c>
      <c r="E2297" s="1" t="s">
        <v>791</v>
      </c>
      <c r="F2297" s="1" t="s">
        <v>6979</v>
      </c>
      <c r="G2297" s="1" t="s">
        <v>6990</v>
      </c>
      <c r="H2297" s="1" t="s">
        <v>107</v>
      </c>
      <c r="I2297" s="1" t="str">
        <f t="shared" si="1"/>
        <v>x</v>
      </c>
      <c r="J2297" s="5"/>
      <c r="K2297" s="1" t="str">
        <f t="shared" si="2"/>
        <v>x</v>
      </c>
      <c r="L2297" s="1">
        <v>3.0</v>
      </c>
      <c r="M2297" s="2" t="str">
        <f t="shared" si="3"/>
        <v>1398</v>
      </c>
      <c r="N2297" s="5"/>
      <c r="O2297" s="2" t="s">
        <v>6993</v>
      </c>
      <c r="P2297" s="5"/>
      <c r="Q2297" s="5"/>
      <c r="R2297" s="8" t="s">
        <v>108</v>
      </c>
      <c r="S2297" s="5"/>
      <c r="T2297" s="1" t="str">
        <f>IFERROR(__xludf.DUMMYFUNCTION("INDEX(SPLIT(A2297, ""/""), 2)"),"نشریات مستقل")</f>
        <v>نشریات مستقل</v>
      </c>
      <c r="U2297" s="1" t="str">
        <f>IFERROR(__xludf.DUMMYFUNCTION("INDEX(SPLIT(A2297, ""/""), 3)"),"حرکت")</f>
        <v>حرکت</v>
      </c>
      <c r="V2297" s="1" t="str">
        <f>IFERROR(__xludf.DUMMYFUNCTION("INDEX(SPLIT(A2297, ""/""), 4)"),"#REF!")</f>
        <v>#REF!</v>
      </c>
    </row>
    <row r="2298">
      <c r="A2298" s="1" t="s">
        <v>6976</v>
      </c>
      <c r="B2298" s="1" t="s">
        <v>6994</v>
      </c>
      <c r="C2298" s="1" t="s">
        <v>21</v>
      </c>
      <c r="D2298" s="4" t="s">
        <v>6995</v>
      </c>
      <c r="E2298" s="1" t="s">
        <v>791</v>
      </c>
      <c r="F2298" s="1" t="s">
        <v>6979</v>
      </c>
      <c r="G2298" s="1" t="s">
        <v>6990</v>
      </c>
      <c r="H2298" s="1" t="s">
        <v>199</v>
      </c>
      <c r="I2298" s="1" t="str">
        <f t="shared" si="1"/>
        <v>x</v>
      </c>
      <c r="J2298" s="5"/>
      <c r="K2298" s="1" t="str">
        <f t="shared" si="2"/>
        <v>11</v>
      </c>
      <c r="L2298" s="5"/>
      <c r="M2298" s="2" t="str">
        <f t="shared" si="3"/>
        <v>1398</v>
      </c>
      <c r="N2298" s="5"/>
      <c r="O2298" s="2">
        <v>5.0</v>
      </c>
      <c r="P2298" s="5"/>
      <c r="Q2298" s="5"/>
      <c r="R2298" s="6" t="s">
        <v>200</v>
      </c>
      <c r="S2298" s="5"/>
      <c r="T2298" s="1" t="str">
        <f>IFERROR(__xludf.DUMMYFUNCTION("INDEX(SPLIT(A2298, ""/""), 2)"),"نشریات مستقل")</f>
        <v>نشریات مستقل</v>
      </c>
      <c r="U2298" s="1" t="str">
        <f>IFERROR(__xludf.DUMMYFUNCTION("INDEX(SPLIT(A2298, ""/""), 3)"),"حرکت")</f>
        <v>حرکت</v>
      </c>
      <c r="V2298" s="1" t="str">
        <f>IFERROR(__xludf.DUMMYFUNCTION("INDEX(SPLIT(A2298, ""/""), 4)"),"#REF!")</f>
        <v>#REF!</v>
      </c>
    </row>
    <row r="2299">
      <c r="A2299" s="1" t="s">
        <v>6976</v>
      </c>
      <c r="B2299" s="1" t="s">
        <v>6996</v>
      </c>
      <c r="C2299" s="1" t="s">
        <v>21</v>
      </c>
      <c r="D2299" s="4" t="s">
        <v>6997</v>
      </c>
      <c r="E2299" s="1" t="s">
        <v>791</v>
      </c>
      <c r="F2299" s="1" t="s">
        <v>6979</v>
      </c>
      <c r="G2299" s="1" t="s">
        <v>6990</v>
      </c>
      <c r="H2299" s="1" t="s">
        <v>199</v>
      </c>
      <c r="I2299" s="1" t="str">
        <f t="shared" si="1"/>
        <v>x</v>
      </c>
      <c r="J2299" s="5"/>
      <c r="K2299" s="1" t="str">
        <f t="shared" si="2"/>
        <v>11</v>
      </c>
      <c r="L2299" s="5"/>
      <c r="M2299" s="2" t="str">
        <f t="shared" si="3"/>
        <v>1398</v>
      </c>
      <c r="N2299" s="5"/>
      <c r="O2299" s="2" t="s">
        <v>6998</v>
      </c>
      <c r="P2299" s="5"/>
      <c r="Q2299" s="5"/>
      <c r="R2299" s="6" t="s">
        <v>200</v>
      </c>
      <c r="S2299" s="5"/>
      <c r="T2299" s="1" t="str">
        <f>IFERROR(__xludf.DUMMYFUNCTION("INDEX(SPLIT(A2299, ""/""), 2)"),"نشریات مستقل")</f>
        <v>نشریات مستقل</v>
      </c>
      <c r="U2299" s="1" t="str">
        <f>IFERROR(__xludf.DUMMYFUNCTION("INDEX(SPLIT(A2299, ""/""), 3)"),"حرکت")</f>
        <v>حرکت</v>
      </c>
      <c r="V2299" s="1" t="str">
        <f>IFERROR(__xludf.DUMMYFUNCTION("INDEX(SPLIT(A2299, ""/""), 4)"),"#REF!")</f>
        <v>#REF!</v>
      </c>
    </row>
    <row r="2300">
      <c r="A2300" s="1" t="s">
        <v>6976</v>
      </c>
      <c r="B2300" s="1" t="s">
        <v>6999</v>
      </c>
      <c r="C2300" s="1" t="s">
        <v>21</v>
      </c>
      <c r="D2300" s="4" t="s">
        <v>7000</v>
      </c>
      <c r="E2300" s="1" t="s">
        <v>791</v>
      </c>
      <c r="F2300" s="1" t="s">
        <v>6979</v>
      </c>
      <c r="G2300" s="1" t="s">
        <v>7001</v>
      </c>
      <c r="H2300" s="1" t="s">
        <v>217</v>
      </c>
      <c r="I2300" s="1" t="str">
        <f t="shared" si="1"/>
        <v>x</v>
      </c>
      <c r="J2300" s="5"/>
      <c r="K2300" s="1" t="str">
        <f t="shared" si="2"/>
        <v>12</v>
      </c>
      <c r="L2300" s="5"/>
      <c r="M2300" s="2" t="str">
        <f t="shared" si="3"/>
        <v>1398</v>
      </c>
      <c r="N2300" s="5"/>
      <c r="O2300" s="2">
        <v>6.0</v>
      </c>
      <c r="P2300" s="5"/>
      <c r="Q2300" s="5"/>
      <c r="R2300" s="6" t="s">
        <v>218</v>
      </c>
      <c r="S2300" s="5"/>
      <c r="T2300" s="1" t="str">
        <f>IFERROR(__xludf.DUMMYFUNCTION("INDEX(SPLIT(A2300, ""/""), 2)"),"نشریات مستقل")</f>
        <v>نشریات مستقل</v>
      </c>
      <c r="U2300" s="1" t="str">
        <f>IFERROR(__xludf.DUMMYFUNCTION("INDEX(SPLIT(A2300, ""/""), 3)"),"حرکت")</f>
        <v>حرکت</v>
      </c>
      <c r="V2300" s="1" t="str">
        <f>IFERROR(__xludf.DUMMYFUNCTION("INDEX(SPLIT(A2300, ""/""), 4)"),"#REF!")</f>
        <v>#REF!</v>
      </c>
    </row>
    <row r="2301">
      <c r="A2301" s="1" t="s">
        <v>6976</v>
      </c>
      <c r="B2301" s="1" t="s">
        <v>7002</v>
      </c>
      <c r="C2301" s="1" t="s">
        <v>21</v>
      </c>
      <c r="D2301" s="4" t="s">
        <v>7003</v>
      </c>
      <c r="E2301" s="1" t="s">
        <v>7004</v>
      </c>
      <c r="F2301" s="1" t="s">
        <v>6990</v>
      </c>
      <c r="G2301" s="1" t="s">
        <v>7004</v>
      </c>
      <c r="H2301" s="1" t="s">
        <v>217</v>
      </c>
      <c r="I2301" s="1" t="str">
        <f t="shared" si="1"/>
        <v>x</v>
      </c>
      <c r="J2301" s="5"/>
      <c r="K2301" s="1" t="str">
        <f t="shared" si="2"/>
        <v>12</v>
      </c>
      <c r="L2301" s="5"/>
      <c r="M2301" s="2" t="str">
        <f t="shared" si="3"/>
        <v>1398</v>
      </c>
      <c r="N2301" s="5"/>
      <c r="O2301" s="2" t="s">
        <v>7005</v>
      </c>
      <c r="P2301" s="5"/>
      <c r="Q2301" s="5"/>
      <c r="R2301" s="6" t="s">
        <v>218</v>
      </c>
      <c r="S2301" s="5"/>
      <c r="T2301" s="1" t="str">
        <f>IFERROR(__xludf.DUMMYFUNCTION("INDEX(SPLIT(A2301, ""/""), 2)"),"نشریات مستقل")</f>
        <v>نشریات مستقل</v>
      </c>
      <c r="U2301" s="1" t="str">
        <f>IFERROR(__xludf.DUMMYFUNCTION("INDEX(SPLIT(A2301, ""/""), 3)"),"حرکت")</f>
        <v>حرکت</v>
      </c>
      <c r="V2301" s="1" t="str">
        <f>IFERROR(__xludf.DUMMYFUNCTION("INDEX(SPLIT(A2301, ""/""), 4)"),"#REF!")</f>
        <v>#REF!</v>
      </c>
    </row>
    <row r="2302">
      <c r="A2302" s="1" t="s">
        <v>6976</v>
      </c>
      <c r="B2302" s="1" t="s">
        <v>7006</v>
      </c>
      <c r="C2302" s="1" t="s">
        <v>21</v>
      </c>
      <c r="D2302" s="4" t="s">
        <v>7007</v>
      </c>
      <c r="E2302" s="1" t="s">
        <v>7004</v>
      </c>
      <c r="F2302" s="1" t="s">
        <v>6990</v>
      </c>
      <c r="G2302" s="1" t="s">
        <v>7004</v>
      </c>
      <c r="H2302" s="1" t="s">
        <v>291</v>
      </c>
      <c r="I2302" s="1" t="str">
        <f t="shared" si="1"/>
        <v>x</v>
      </c>
      <c r="J2302" s="5"/>
      <c r="K2302" s="1" t="str">
        <f t="shared" si="2"/>
        <v>x</v>
      </c>
      <c r="L2302" s="5"/>
      <c r="M2302" s="2" t="str">
        <f t="shared" si="3"/>
        <v>x</v>
      </c>
      <c r="N2302" s="5"/>
      <c r="O2302" s="2" t="s">
        <v>7008</v>
      </c>
      <c r="P2302" s="7" t="s">
        <v>1697</v>
      </c>
      <c r="Q2302" s="1" t="s">
        <v>6390</v>
      </c>
      <c r="R2302" s="8" t="s">
        <v>7009</v>
      </c>
      <c r="S2302" s="5"/>
      <c r="T2302" s="1" t="str">
        <f>IFERROR(__xludf.DUMMYFUNCTION("INDEX(SPLIT(A2302, ""/""), 2)"),"نشریات مستقل")</f>
        <v>نشریات مستقل</v>
      </c>
      <c r="U2302" s="1" t="str">
        <f>IFERROR(__xludf.DUMMYFUNCTION("INDEX(SPLIT(A2302, ""/""), 3)"),"حرکت")</f>
        <v>حرکت</v>
      </c>
      <c r="V2302" s="1" t="str">
        <f>IFERROR(__xludf.DUMMYFUNCTION("INDEX(SPLIT(A2302, ""/""), 4)"),"#REF!")</f>
        <v>#REF!</v>
      </c>
    </row>
    <row r="2303">
      <c r="A2303" s="1" t="s">
        <v>6976</v>
      </c>
      <c r="B2303" s="1" t="s">
        <v>7010</v>
      </c>
      <c r="C2303" s="1" t="s">
        <v>21</v>
      </c>
      <c r="D2303" s="4" t="s">
        <v>7011</v>
      </c>
      <c r="E2303" s="1" t="s">
        <v>7004</v>
      </c>
      <c r="F2303" s="1" t="s">
        <v>6990</v>
      </c>
      <c r="G2303" s="1" t="s">
        <v>7004</v>
      </c>
      <c r="H2303" s="1" t="s">
        <v>291</v>
      </c>
      <c r="I2303" s="1" t="str">
        <f t="shared" si="1"/>
        <v>x</v>
      </c>
      <c r="J2303" s="5"/>
      <c r="K2303" s="1" t="str">
        <f t="shared" si="2"/>
        <v>x</v>
      </c>
      <c r="L2303" s="5"/>
      <c r="M2303" s="2" t="str">
        <f t="shared" si="3"/>
        <v>x</v>
      </c>
      <c r="N2303" s="5"/>
      <c r="O2303" s="2" t="s">
        <v>7012</v>
      </c>
      <c r="P2303" s="7" t="s">
        <v>1697</v>
      </c>
      <c r="Q2303" s="1" t="s">
        <v>6390</v>
      </c>
      <c r="R2303" s="8" t="s">
        <v>7009</v>
      </c>
      <c r="S2303" s="5"/>
      <c r="T2303" s="1" t="str">
        <f>IFERROR(__xludf.DUMMYFUNCTION("INDEX(SPLIT(A2303, ""/""), 2)"),"نشریات مستقل")</f>
        <v>نشریات مستقل</v>
      </c>
      <c r="U2303" s="1" t="str">
        <f>IFERROR(__xludf.DUMMYFUNCTION("INDEX(SPLIT(A2303, ""/""), 3)"),"حرکت")</f>
        <v>حرکت</v>
      </c>
      <c r="V2303" s="1" t="str">
        <f>IFERROR(__xludf.DUMMYFUNCTION("INDEX(SPLIT(A2303, ""/""), 4)"),"#REF!")</f>
        <v>#REF!</v>
      </c>
    </row>
    <row r="2304">
      <c r="A2304" s="1" t="s">
        <v>6976</v>
      </c>
      <c r="B2304" s="1" t="s">
        <v>7013</v>
      </c>
      <c r="C2304" s="1" t="s">
        <v>21</v>
      </c>
      <c r="D2304" s="4" t="s">
        <v>7014</v>
      </c>
      <c r="E2304" s="1" t="s">
        <v>791</v>
      </c>
      <c r="F2304" s="1" t="s">
        <v>6979</v>
      </c>
      <c r="G2304" s="1" t="s">
        <v>7001</v>
      </c>
      <c r="H2304" s="1" t="s">
        <v>26</v>
      </c>
      <c r="I2304" s="1" t="str">
        <f t="shared" si="1"/>
        <v>x</v>
      </c>
      <c r="J2304" s="5"/>
      <c r="K2304" s="1" t="str">
        <f t="shared" si="2"/>
        <v>7</v>
      </c>
      <c r="L2304" s="5"/>
      <c r="M2304" s="2" t="str">
        <f t="shared" si="3"/>
        <v>1399</v>
      </c>
      <c r="N2304" s="5"/>
      <c r="O2304" s="2">
        <v>7.0</v>
      </c>
      <c r="P2304" s="5"/>
      <c r="Q2304" s="5"/>
      <c r="R2304" s="6" t="s">
        <v>27</v>
      </c>
      <c r="S2304" s="5"/>
      <c r="T2304" s="1" t="str">
        <f>IFERROR(__xludf.DUMMYFUNCTION("INDEX(SPLIT(A2304, ""/""), 2)"),"نشریات مستقل")</f>
        <v>نشریات مستقل</v>
      </c>
      <c r="U2304" s="1" t="str">
        <f>IFERROR(__xludf.DUMMYFUNCTION("INDEX(SPLIT(A2304, ""/""), 3)"),"حرکت")</f>
        <v>حرکت</v>
      </c>
      <c r="V2304" s="1" t="str">
        <f>IFERROR(__xludf.DUMMYFUNCTION("INDEX(SPLIT(A2304, ""/""), 4)"),"#REF!")</f>
        <v>#REF!</v>
      </c>
    </row>
    <row r="2305">
      <c r="A2305" s="1" t="s">
        <v>6976</v>
      </c>
      <c r="B2305" s="1" t="s">
        <v>7015</v>
      </c>
      <c r="C2305" s="1" t="s">
        <v>21</v>
      </c>
      <c r="D2305" s="4" t="s">
        <v>7016</v>
      </c>
      <c r="E2305" s="1" t="s">
        <v>7004</v>
      </c>
      <c r="F2305" s="1" t="s">
        <v>6990</v>
      </c>
      <c r="G2305" s="1" t="s">
        <v>7004</v>
      </c>
      <c r="H2305" s="1" t="s">
        <v>26</v>
      </c>
      <c r="I2305" s="1" t="str">
        <f t="shared" si="1"/>
        <v>x</v>
      </c>
      <c r="J2305" s="5"/>
      <c r="K2305" s="1" t="str">
        <f t="shared" si="2"/>
        <v>7</v>
      </c>
      <c r="L2305" s="5"/>
      <c r="M2305" s="2" t="str">
        <f t="shared" si="3"/>
        <v>1399</v>
      </c>
      <c r="N2305" s="5"/>
      <c r="O2305" s="2" t="s">
        <v>7017</v>
      </c>
      <c r="P2305" s="5"/>
      <c r="Q2305" s="5"/>
      <c r="R2305" s="6" t="s">
        <v>27</v>
      </c>
      <c r="S2305" s="5"/>
      <c r="T2305" s="1" t="str">
        <f>IFERROR(__xludf.DUMMYFUNCTION("INDEX(SPLIT(A2305, ""/""), 2)"),"نشریات مستقل")</f>
        <v>نشریات مستقل</v>
      </c>
      <c r="U2305" s="1" t="str">
        <f>IFERROR(__xludf.DUMMYFUNCTION("INDEX(SPLIT(A2305, ""/""), 3)"),"حرکت")</f>
        <v>حرکت</v>
      </c>
      <c r="V2305" s="1" t="str">
        <f>IFERROR(__xludf.DUMMYFUNCTION("INDEX(SPLIT(A2305, ""/""), 4)"),"#REF!")</f>
        <v>#REF!</v>
      </c>
    </row>
    <row r="2306">
      <c r="A2306" s="1" t="s">
        <v>6976</v>
      </c>
      <c r="B2306" s="1" t="s">
        <v>7018</v>
      </c>
      <c r="C2306" s="1" t="s">
        <v>21</v>
      </c>
      <c r="D2306" s="4" t="s">
        <v>7019</v>
      </c>
      <c r="E2306" s="1" t="s">
        <v>7020</v>
      </c>
      <c r="F2306" s="1" t="s">
        <v>7020</v>
      </c>
      <c r="G2306" s="1" t="s">
        <v>7021</v>
      </c>
      <c r="H2306" s="1" t="s">
        <v>44</v>
      </c>
      <c r="I2306" s="1" t="str">
        <f t="shared" si="1"/>
        <v>x</v>
      </c>
      <c r="J2306" s="5"/>
      <c r="K2306" s="1" t="str">
        <f t="shared" si="2"/>
        <v>10</v>
      </c>
      <c r="L2306" s="5"/>
      <c r="M2306" s="2" t="str">
        <f t="shared" si="3"/>
        <v>1399</v>
      </c>
      <c r="N2306" s="5"/>
      <c r="O2306" s="2">
        <v>8.0</v>
      </c>
      <c r="P2306" s="5"/>
      <c r="Q2306" s="5"/>
      <c r="R2306" s="6" t="s">
        <v>45</v>
      </c>
      <c r="S2306" s="5"/>
      <c r="T2306" s="1" t="str">
        <f>IFERROR(__xludf.DUMMYFUNCTION("INDEX(SPLIT(A2306, ""/""), 2)"),"نشریات مستقل")</f>
        <v>نشریات مستقل</v>
      </c>
      <c r="U2306" s="1" t="str">
        <f>IFERROR(__xludf.DUMMYFUNCTION("INDEX(SPLIT(A2306, ""/""), 3)"),"حرکت")</f>
        <v>حرکت</v>
      </c>
      <c r="V2306" s="1" t="str">
        <f>IFERROR(__xludf.DUMMYFUNCTION("INDEX(SPLIT(A2306, ""/""), 4)"),"#REF!")</f>
        <v>#REF!</v>
      </c>
    </row>
    <row r="2307">
      <c r="A2307" s="1" t="s">
        <v>6976</v>
      </c>
      <c r="B2307" s="1" t="s">
        <v>7022</v>
      </c>
      <c r="C2307" s="1" t="s">
        <v>21</v>
      </c>
      <c r="D2307" s="4" t="s">
        <v>7023</v>
      </c>
      <c r="E2307" s="1" t="s">
        <v>7024</v>
      </c>
      <c r="F2307" s="1" t="s">
        <v>7024</v>
      </c>
      <c r="G2307" s="1" t="s">
        <v>7024</v>
      </c>
      <c r="H2307" s="1" t="s">
        <v>44</v>
      </c>
      <c r="I2307" s="1" t="str">
        <f t="shared" si="1"/>
        <v>x</v>
      </c>
      <c r="J2307" s="5"/>
      <c r="K2307" s="1" t="str">
        <f t="shared" si="2"/>
        <v>10</v>
      </c>
      <c r="L2307" s="5"/>
      <c r="M2307" s="2" t="str">
        <f t="shared" si="3"/>
        <v>1399</v>
      </c>
      <c r="N2307" s="5"/>
      <c r="O2307" s="2" t="s">
        <v>7025</v>
      </c>
      <c r="P2307" s="5"/>
      <c r="Q2307" s="5"/>
      <c r="R2307" s="6" t="s">
        <v>45</v>
      </c>
      <c r="S2307" s="5"/>
      <c r="T2307" s="1" t="str">
        <f>IFERROR(__xludf.DUMMYFUNCTION("INDEX(SPLIT(A2307, ""/""), 2)"),"نشریات مستقل")</f>
        <v>نشریات مستقل</v>
      </c>
      <c r="U2307" s="1" t="str">
        <f>IFERROR(__xludf.DUMMYFUNCTION("INDEX(SPLIT(A2307, ""/""), 3)"),"حرکت")</f>
        <v>حرکت</v>
      </c>
      <c r="V2307" s="1" t="str">
        <f>IFERROR(__xludf.DUMMYFUNCTION("INDEX(SPLIT(A2307, ""/""), 4)"),"#REF!")</f>
        <v>#REF!</v>
      </c>
    </row>
    <row r="2308">
      <c r="A2308" s="1" t="s">
        <v>6976</v>
      </c>
      <c r="B2308" s="1" t="s">
        <v>7026</v>
      </c>
      <c r="C2308" s="1" t="s">
        <v>21</v>
      </c>
      <c r="D2308" s="4" t="s">
        <v>7027</v>
      </c>
      <c r="E2308" s="1" t="s">
        <v>7020</v>
      </c>
      <c r="F2308" s="1" t="s">
        <v>7020</v>
      </c>
      <c r="G2308" s="1" t="s">
        <v>7021</v>
      </c>
      <c r="H2308" s="1" t="s">
        <v>52</v>
      </c>
      <c r="I2308" s="1" t="str">
        <f t="shared" si="1"/>
        <v>x</v>
      </c>
      <c r="J2308" s="5"/>
      <c r="K2308" s="1" t="str">
        <f t="shared" si="2"/>
        <v>1</v>
      </c>
      <c r="L2308" s="5"/>
      <c r="M2308" s="2" t="str">
        <f t="shared" si="3"/>
        <v>1400</v>
      </c>
      <c r="N2308" s="5"/>
      <c r="O2308" s="2">
        <v>9.0</v>
      </c>
      <c r="P2308" s="5"/>
      <c r="Q2308" s="5"/>
      <c r="R2308" s="6" t="s">
        <v>54</v>
      </c>
      <c r="S2308" s="5"/>
      <c r="T2308" s="1" t="str">
        <f>IFERROR(__xludf.DUMMYFUNCTION("INDEX(SPLIT(A2308, ""/""), 2)"),"نشریات مستقل")</f>
        <v>نشریات مستقل</v>
      </c>
      <c r="U2308" s="1" t="str">
        <f>IFERROR(__xludf.DUMMYFUNCTION("INDEX(SPLIT(A2308, ""/""), 3)"),"حرکت")</f>
        <v>حرکت</v>
      </c>
      <c r="V2308" s="1" t="str">
        <f>IFERROR(__xludf.DUMMYFUNCTION("INDEX(SPLIT(A2308, ""/""), 4)"),"#REF!")</f>
        <v>#REF!</v>
      </c>
    </row>
    <row r="2309">
      <c r="A2309" s="1" t="s">
        <v>6976</v>
      </c>
      <c r="B2309" s="1" t="s">
        <v>7028</v>
      </c>
      <c r="C2309" s="1" t="s">
        <v>21</v>
      </c>
      <c r="D2309" s="4" t="s">
        <v>7029</v>
      </c>
      <c r="E2309" s="1" t="s">
        <v>7024</v>
      </c>
      <c r="F2309" s="1" t="s">
        <v>7024</v>
      </c>
      <c r="G2309" s="1" t="s">
        <v>7024</v>
      </c>
      <c r="H2309" s="1" t="s">
        <v>52</v>
      </c>
      <c r="I2309" s="1" t="str">
        <f t="shared" si="1"/>
        <v>x</v>
      </c>
      <c r="J2309" s="5"/>
      <c r="K2309" s="1" t="str">
        <f t="shared" si="2"/>
        <v>1</v>
      </c>
      <c r="L2309" s="5"/>
      <c r="M2309" s="2" t="str">
        <f t="shared" si="3"/>
        <v>1400</v>
      </c>
      <c r="N2309" s="5"/>
      <c r="O2309" s="2" t="s">
        <v>7030</v>
      </c>
      <c r="P2309" s="5"/>
      <c r="Q2309" s="5"/>
      <c r="R2309" s="6" t="s">
        <v>54</v>
      </c>
      <c r="S2309" s="5"/>
      <c r="T2309" s="1" t="str">
        <f>IFERROR(__xludf.DUMMYFUNCTION("INDEX(SPLIT(A2309, ""/""), 2)"),"نشریات مستقل")</f>
        <v>نشریات مستقل</v>
      </c>
      <c r="U2309" s="1" t="str">
        <f>IFERROR(__xludf.DUMMYFUNCTION("INDEX(SPLIT(A2309, ""/""), 3)"),"حرکت")</f>
        <v>حرکت</v>
      </c>
      <c r="V2309" s="1" t="str">
        <f>IFERROR(__xludf.DUMMYFUNCTION("INDEX(SPLIT(A2309, ""/""), 4)"),"#REF!")</f>
        <v>#REF!</v>
      </c>
    </row>
    <row r="2310">
      <c r="A2310" s="1" t="s">
        <v>6976</v>
      </c>
      <c r="B2310" s="1" t="s">
        <v>7031</v>
      </c>
      <c r="C2310" s="1" t="s">
        <v>21</v>
      </c>
      <c r="D2310" s="4" t="s">
        <v>7032</v>
      </c>
      <c r="E2310" s="1" t="s">
        <v>7020</v>
      </c>
      <c r="F2310" s="1" t="s">
        <v>7020</v>
      </c>
      <c r="G2310" s="1" t="s">
        <v>7021</v>
      </c>
      <c r="H2310" s="1" t="s">
        <v>66</v>
      </c>
      <c r="I2310" s="1" t="str">
        <f t="shared" si="1"/>
        <v>x</v>
      </c>
      <c r="J2310" s="5"/>
      <c r="K2310" s="1" t="str">
        <f t="shared" si="2"/>
        <v>3</v>
      </c>
      <c r="L2310" s="5"/>
      <c r="M2310" s="2" t="str">
        <f t="shared" si="3"/>
        <v>1400</v>
      </c>
      <c r="N2310" s="5"/>
      <c r="O2310" s="2">
        <v>10.0</v>
      </c>
      <c r="P2310" s="5"/>
      <c r="Q2310" s="5"/>
      <c r="R2310" s="6" t="s">
        <v>67</v>
      </c>
      <c r="S2310" s="5"/>
      <c r="T2310" s="1" t="str">
        <f>IFERROR(__xludf.DUMMYFUNCTION("INDEX(SPLIT(A2310, ""/""), 2)"),"نشریات مستقل")</f>
        <v>نشریات مستقل</v>
      </c>
      <c r="U2310" s="1" t="str">
        <f>IFERROR(__xludf.DUMMYFUNCTION("INDEX(SPLIT(A2310, ""/""), 3)"),"حرکت")</f>
        <v>حرکت</v>
      </c>
      <c r="V2310" s="1" t="str">
        <f>IFERROR(__xludf.DUMMYFUNCTION("INDEX(SPLIT(A2310, ""/""), 4)"),"#REF!")</f>
        <v>#REF!</v>
      </c>
    </row>
    <row r="2311">
      <c r="A2311" s="1" t="s">
        <v>6976</v>
      </c>
      <c r="B2311" s="1" t="s">
        <v>7033</v>
      </c>
      <c r="C2311" s="1" t="s">
        <v>21</v>
      </c>
      <c r="D2311" s="4" t="s">
        <v>7034</v>
      </c>
      <c r="E2311" s="1" t="s">
        <v>7020</v>
      </c>
      <c r="F2311" s="1" t="s">
        <v>7020</v>
      </c>
      <c r="G2311" s="1" t="s">
        <v>7021</v>
      </c>
      <c r="H2311" s="1" t="s">
        <v>138</v>
      </c>
      <c r="I2311" s="1" t="str">
        <f t="shared" si="1"/>
        <v>x</v>
      </c>
      <c r="J2311" s="5"/>
      <c r="K2311" s="1" t="str">
        <f t="shared" si="2"/>
        <v>8</v>
      </c>
      <c r="L2311" s="5"/>
      <c r="M2311" s="2" t="str">
        <f t="shared" si="3"/>
        <v>1400</v>
      </c>
      <c r="N2311" s="5"/>
      <c r="O2311" s="2">
        <v>11.0</v>
      </c>
      <c r="P2311" s="5"/>
      <c r="Q2311" s="5"/>
      <c r="R2311" s="6" t="s">
        <v>139</v>
      </c>
      <c r="S2311" s="5"/>
      <c r="T2311" s="1" t="str">
        <f>IFERROR(__xludf.DUMMYFUNCTION("INDEX(SPLIT(A2311, ""/""), 2)"),"نشریات مستقل")</f>
        <v>نشریات مستقل</v>
      </c>
      <c r="U2311" s="1" t="str">
        <f>IFERROR(__xludf.DUMMYFUNCTION("INDEX(SPLIT(A2311, ""/""), 3)"),"حرکت")</f>
        <v>حرکت</v>
      </c>
      <c r="V2311" s="1" t="str">
        <f>IFERROR(__xludf.DUMMYFUNCTION("INDEX(SPLIT(A2311, ""/""), 4)"),"#REF!")</f>
        <v>#REF!</v>
      </c>
    </row>
    <row r="2312">
      <c r="A2312" s="1" t="s">
        <v>6976</v>
      </c>
      <c r="B2312" s="1" t="s">
        <v>7035</v>
      </c>
      <c r="C2312" s="1" t="s">
        <v>21</v>
      </c>
      <c r="D2312" s="4" t="s">
        <v>7036</v>
      </c>
      <c r="E2312" s="1" t="s">
        <v>7037</v>
      </c>
      <c r="F2312" s="1" t="s">
        <v>7037</v>
      </c>
      <c r="G2312" s="1" t="s">
        <v>7037</v>
      </c>
      <c r="H2312" s="1" t="s">
        <v>138</v>
      </c>
      <c r="I2312" s="1" t="str">
        <f t="shared" si="1"/>
        <v>x</v>
      </c>
      <c r="J2312" s="5"/>
      <c r="K2312" s="1" t="str">
        <f t="shared" si="2"/>
        <v>8</v>
      </c>
      <c r="L2312" s="5"/>
      <c r="M2312" s="2" t="str">
        <f t="shared" si="3"/>
        <v>1400</v>
      </c>
      <c r="N2312" s="5"/>
      <c r="O2312" s="2" t="s">
        <v>7038</v>
      </c>
      <c r="P2312" s="5"/>
      <c r="Q2312" s="5"/>
      <c r="R2312" s="6" t="s">
        <v>139</v>
      </c>
      <c r="S2312" s="5"/>
      <c r="T2312" s="1" t="str">
        <f>IFERROR(__xludf.DUMMYFUNCTION("INDEX(SPLIT(A2312, ""/""), 2)"),"نشریات مستقل")</f>
        <v>نشریات مستقل</v>
      </c>
      <c r="U2312" s="1" t="str">
        <f>IFERROR(__xludf.DUMMYFUNCTION("INDEX(SPLIT(A2312, ""/""), 3)"),"حرکت")</f>
        <v>حرکت</v>
      </c>
      <c r="V2312" s="1" t="str">
        <f>IFERROR(__xludf.DUMMYFUNCTION("INDEX(SPLIT(A2312, ""/""), 4)"),"#REF!")</f>
        <v>#REF!</v>
      </c>
    </row>
    <row r="2313">
      <c r="A2313" s="1" t="s">
        <v>6976</v>
      </c>
      <c r="B2313" s="1" t="s">
        <v>7039</v>
      </c>
      <c r="C2313" s="1" t="s">
        <v>21</v>
      </c>
      <c r="D2313" s="4" t="s">
        <v>7040</v>
      </c>
      <c r="E2313" s="1" t="s">
        <v>7020</v>
      </c>
      <c r="F2313" s="1" t="s">
        <v>7020</v>
      </c>
      <c r="G2313" s="1" t="s">
        <v>7037</v>
      </c>
      <c r="H2313" s="1" t="s">
        <v>155</v>
      </c>
      <c r="I2313" s="1" t="str">
        <f t="shared" si="1"/>
        <v>x</v>
      </c>
      <c r="J2313" s="5"/>
      <c r="K2313" s="1" t="str">
        <f t="shared" si="2"/>
        <v>12</v>
      </c>
      <c r="L2313" s="5"/>
      <c r="M2313" s="2" t="str">
        <f t="shared" si="3"/>
        <v>1401</v>
      </c>
      <c r="N2313" s="5"/>
      <c r="O2313" s="2">
        <v>12.0</v>
      </c>
      <c r="P2313" s="5"/>
      <c r="Q2313" s="5"/>
      <c r="R2313" s="6" t="s">
        <v>156</v>
      </c>
      <c r="S2313" s="5"/>
      <c r="T2313" s="1" t="str">
        <f>IFERROR(__xludf.DUMMYFUNCTION("INDEX(SPLIT(A2313, ""/""), 2)"),"نشریات مستقل")</f>
        <v>نشریات مستقل</v>
      </c>
      <c r="U2313" s="1" t="str">
        <f>IFERROR(__xludf.DUMMYFUNCTION("INDEX(SPLIT(A2313, ""/""), 3)"),"حرکت")</f>
        <v>حرکت</v>
      </c>
      <c r="V2313" s="1" t="str">
        <f>IFERROR(__xludf.DUMMYFUNCTION("INDEX(SPLIT(A2313, ""/""), 4)"),"#REF!")</f>
        <v>#REF!</v>
      </c>
    </row>
    <row r="2314">
      <c r="A2314" s="1" t="s">
        <v>7041</v>
      </c>
      <c r="B2314" s="1" t="s">
        <v>7042</v>
      </c>
      <c r="C2314" s="1" t="s">
        <v>21</v>
      </c>
      <c r="D2314" s="4" t="s">
        <v>7043</v>
      </c>
      <c r="E2314" s="1" t="s">
        <v>7044</v>
      </c>
      <c r="F2314" s="1" t="s">
        <v>7045</v>
      </c>
      <c r="G2314" s="1" t="s">
        <v>7046</v>
      </c>
      <c r="H2314" s="7" t="s">
        <v>1769</v>
      </c>
      <c r="I2314" s="1" t="str">
        <f t="shared" si="1"/>
        <v>11</v>
      </c>
      <c r="J2314" s="5"/>
      <c r="K2314" s="1" t="str">
        <f t="shared" si="2"/>
        <v>9</v>
      </c>
      <c r="L2314" s="5"/>
      <c r="M2314" s="2" t="str">
        <f t="shared" si="3"/>
        <v>1396</v>
      </c>
      <c r="N2314" s="5"/>
      <c r="O2314" s="2">
        <v>0.0</v>
      </c>
      <c r="P2314" s="5"/>
      <c r="Q2314" s="5"/>
      <c r="R2314" s="8" t="s">
        <v>1769</v>
      </c>
      <c r="S2314" s="5"/>
      <c r="T2314" s="1" t="str">
        <f>IFERROR(__xludf.DUMMYFUNCTION("INDEX(SPLIT(A2314, ""/""), 2)"),"نشریات مستقل")</f>
        <v>نشریات مستقل</v>
      </c>
      <c r="U2314" s="1" t="str">
        <f>IFERROR(__xludf.DUMMYFUNCTION("INDEX(SPLIT(A2314, ""/""), 3)"),"داد و بیداد")</f>
        <v>داد و بیداد</v>
      </c>
      <c r="V2314" s="1" t="str">
        <f>IFERROR(__xludf.DUMMYFUNCTION("INDEX(SPLIT(A2314, ""/""), 4)"),"#REF!")</f>
        <v>#REF!</v>
      </c>
    </row>
    <row r="2315">
      <c r="A2315" s="1" t="s">
        <v>7041</v>
      </c>
      <c r="B2315" s="1" t="s">
        <v>7047</v>
      </c>
      <c r="C2315" s="1" t="s">
        <v>21</v>
      </c>
      <c r="D2315" s="4" t="s">
        <v>7048</v>
      </c>
      <c r="E2315" s="1" t="s">
        <v>7044</v>
      </c>
      <c r="F2315" s="1" t="s">
        <v>7045</v>
      </c>
      <c r="G2315" s="1" t="s">
        <v>7046</v>
      </c>
      <c r="H2315" s="1" t="s">
        <v>6071</v>
      </c>
      <c r="I2315" s="1" t="str">
        <f t="shared" si="1"/>
        <v>25</v>
      </c>
      <c r="J2315" s="5"/>
      <c r="K2315" s="1" t="str">
        <f t="shared" si="2"/>
        <v>9</v>
      </c>
      <c r="L2315" s="5"/>
      <c r="M2315" s="2" t="str">
        <f t="shared" si="3"/>
        <v>1396</v>
      </c>
      <c r="N2315" s="5"/>
      <c r="O2315" s="2">
        <v>1.0</v>
      </c>
      <c r="P2315" s="5"/>
      <c r="Q2315" s="5"/>
      <c r="R2315" s="6" t="s">
        <v>6071</v>
      </c>
      <c r="S2315" s="5"/>
      <c r="T2315" s="1" t="str">
        <f>IFERROR(__xludf.DUMMYFUNCTION("INDEX(SPLIT(A2315, ""/""), 2)"),"نشریات مستقل")</f>
        <v>نشریات مستقل</v>
      </c>
      <c r="U2315" s="1" t="str">
        <f>IFERROR(__xludf.DUMMYFUNCTION("INDEX(SPLIT(A2315, ""/""), 3)"),"داد و بیداد")</f>
        <v>داد و بیداد</v>
      </c>
      <c r="V2315" s="1" t="str">
        <f>IFERROR(__xludf.DUMMYFUNCTION("INDEX(SPLIT(A2315, ""/""), 4)"),"#REF!")</f>
        <v>#REF!</v>
      </c>
    </row>
    <row r="2316">
      <c r="A2316" s="1" t="s">
        <v>7041</v>
      </c>
      <c r="B2316" s="1" t="s">
        <v>7049</v>
      </c>
      <c r="C2316" s="1" t="s">
        <v>21</v>
      </c>
      <c r="D2316" s="4" t="s">
        <v>7050</v>
      </c>
      <c r="E2316" s="1" t="s">
        <v>7044</v>
      </c>
      <c r="F2316" s="1" t="s">
        <v>7045</v>
      </c>
      <c r="G2316" s="1" t="s">
        <v>7046</v>
      </c>
      <c r="H2316" s="1" t="s">
        <v>7051</v>
      </c>
      <c r="I2316" s="1" t="str">
        <f t="shared" si="1"/>
        <v>21</v>
      </c>
      <c r="J2316" s="5"/>
      <c r="K2316" s="1" t="str">
        <f t="shared" si="2"/>
        <v>11</v>
      </c>
      <c r="L2316" s="5"/>
      <c r="M2316" s="2" t="str">
        <f t="shared" si="3"/>
        <v>1396</v>
      </c>
      <c r="N2316" s="5"/>
      <c r="O2316" s="2">
        <v>2.0</v>
      </c>
      <c r="P2316" s="5"/>
      <c r="Q2316" s="5"/>
      <c r="R2316" s="6" t="s">
        <v>7051</v>
      </c>
      <c r="S2316" s="5"/>
      <c r="T2316" s="1" t="str">
        <f>IFERROR(__xludf.DUMMYFUNCTION("INDEX(SPLIT(A2316, ""/""), 2)"),"نشریات مستقل")</f>
        <v>نشریات مستقل</v>
      </c>
      <c r="U2316" s="1" t="str">
        <f>IFERROR(__xludf.DUMMYFUNCTION("INDEX(SPLIT(A2316, ""/""), 3)"),"داد و بیداد")</f>
        <v>داد و بیداد</v>
      </c>
      <c r="V2316" s="1" t="str">
        <f>IFERROR(__xludf.DUMMYFUNCTION("INDEX(SPLIT(A2316, ""/""), 4)"),"#REF!")</f>
        <v>#REF!</v>
      </c>
    </row>
    <row r="2317">
      <c r="A2317" s="1" t="s">
        <v>7041</v>
      </c>
      <c r="B2317" s="1" t="s">
        <v>7052</v>
      </c>
      <c r="C2317" s="1" t="s">
        <v>21</v>
      </c>
      <c r="D2317" s="4" t="s">
        <v>7053</v>
      </c>
      <c r="E2317" s="1" t="s">
        <v>7044</v>
      </c>
      <c r="F2317" s="1" t="s">
        <v>7045</v>
      </c>
      <c r="G2317" s="1" t="s">
        <v>7046</v>
      </c>
      <c r="H2317" s="7" t="s">
        <v>6082</v>
      </c>
      <c r="I2317" s="1" t="str">
        <f t="shared" si="1"/>
        <v>5</v>
      </c>
      <c r="J2317" s="5"/>
      <c r="K2317" s="1" t="str">
        <f t="shared" si="2"/>
        <v>12</v>
      </c>
      <c r="L2317" s="5"/>
      <c r="M2317" s="2" t="str">
        <f t="shared" si="3"/>
        <v>1396</v>
      </c>
      <c r="N2317" s="5"/>
      <c r="O2317" s="2">
        <v>3.0</v>
      </c>
      <c r="P2317" s="5"/>
      <c r="Q2317" s="5"/>
      <c r="R2317" s="8" t="s">
        <v>6082</v>
      </c>
      <c r="S2317" s="5"/>
      <c r="T2317" s="1" t="str">
        <f>IFERROR(__xludf.DUMMYFUNCTION("INDEX(SPLIT(A2317, ""/""), 2)"),"نشریات مستقل")</f>
        <v>نشریات مستقل</v>
      </c>
      <c r="U2317" s="1" t="str">
        <f>IFERROR(__xludf.DUMMYFUNCTION("INDEX(SPLIT(A2317, ""/""), 3)"),"داد و بیداد")</f>
        <v>داد و بیداد</v>
      </c>
      <c r="V2317" s="1" t="str">
        <f>IFERROR(__xludf.DUMMYFUNCTION("INDEX(SPLIT(A2317, ""/""), 4)"),"#REF!")</f>
        <v>#REF!</v>
      </c>
    </row>
    <row r="2318">
      <c r="A2318" s="1" t="s">
        <v>7041</v>
      </c>
      <c r="B2318" s="1" t="s">
        <v>7054</v>
      </c>
      <c r="C2318" s="1" t="s">
        <v>21</v>
      </c>
      <c r="D2318" s="4" t="s">
        <v>7055</v>
      </c>
      <c r="E2318" s="1" t="s">
        <v>7044</v>
      </c>
      <c r="F2318" s="1" t="s">
        <v>7045</v>
      </c>
      <c r="G2318" s="1" t="s">
        <v>7046</v>
      </c>
      <c r="H2318" s="1" t="s">
        <v>6089</v>
      </c>
      <c r="I2318" s="1" t="str">
        <f t="shared" si="1"/>
        <v>19</v>
      </c>
      <c r="J2318" s="5"/>
      <c r="K2318" s="1" t="str">
        <f t="shared" si="2"/>
        <v>12</v>
      </c>
      <c r="L2318" s="5"/>
      <c r="M2318" s="2" t="str">
        <f t="shared" si="3"/>
        <v>1396</v>
      </c>
      <c r="N2318" s="5"/>
      <c r="O2318" s="2">
        <v>4.0</v>
      </c>
      <c r="P2318" s="5"/>
      <c r="Q2318" s="5"/>
      <c r="R2318" s="6" t="s">
        <v>6089</v>
      </c>
      <c r="S2318" s="5"/>
      <c r="T2318" s="1" t="str">
        <f>IFERROR(__xludf.DUMMYFUNCTION("INDEX(SPLIT(A2318, ""/""), 2)"),"نشریات مستقل")</f>
        <v>نشریات مستقل</v>
      </c>
      <c r="U2318" s="1" t="str">
        <f>IFERROR(__xludf.DUMMYFUNCTION("INDEX(SPLIT(A2318, ""/""), 3)"),"داد و بیداد")</f>
        <v>داد و بیداد</v>
      </c>
      <c r="V2318" s="1" t="str">
        <f>IFERROR(__xludf.DUMMYFUNCTION("INDEX(SPLIT(A2318, ""/""), 4)"),"#REF!")</f>
        <v>#REF!</v>
      </c>
    </row>
    <row r="2319">
      <c r="A2319" s="1" t="s">
        <v>7041</v>
      </c>
      <c r="B2319" s="1" t="s">
        <v>7056</v>
      </c>
      <c r="C2319" s="1" t="s">
        <v>21</v>
      </c>
      <c r="D2319" s="4" t="s">
        <v>7057</v>
      </c>
      <c r="E2319" s="1" t="s">
        <v>7044</v>
      </c>
      <c r="F2319" s="1" t="s">
        <v>7045</v>
      </c>
      <c r="G2319" s="1" t="s">
        <v>7046</v>
      </c>
      <c r="H2319" s="1" t="s">
        <v>7058</v>
      </c>
      <c r="I2319" s="1" t="str">
        <f t="shared" si="1"/>
        <v>25</v>
      </c>
      <c r="J2319" s="5"/>
      <c r="K2319" s="1" t="str">
        <f t="shared" si="2"/>
        <v>1</v>
      </c>
      <c r="L2319" s="5"/>
      <c r="M2319" s="2" t="str">
        <f t="shared" si="3"/>
        <v>1397</v>
      </c>
      <c r="N2319" s="5"/>
      <c r="O2319" s="2">
        <v>5.0</v>
      </c>
      <c r="P2319" s="5"/>
      <c r="Q2319" s="5"/>
      <c r="R2319" s="6" t="s">
        <v>7058</v>
      </c>
      <c r="S2319" s="5"/>
      <c r="T2319" s="1" t="str">
        <f>IFERROR(__xludf.DUMMYFUNCTION("INDEX(SPLIT(A2319, ""/""), 2)"),"نشریات مستقل")</f>
        <v>نشریات مستقل</v>
      </c>
      <c r="U2319" s="1" t="str">
        <f>IFERROR(__xludf.DUMMYFUNCTION("INDEX(SPLIT(A2319, ""/""), 3)"),"داد و بیداد")</f>
        <v>داد و بیداد</v>
      </c>
      <c r="V2319" s="1" t="str">
        <f>IFERROR(__xludf.DUMMYFUNCTION("INDEX(SPLIT(A2319, ""/""), 4)"),"#REF!")</f>
        <v>#REF!</v>
      </c>
    </row>
    <row r="2320">
      <c r="A2320" s="1" t="s">
        <v>7041</v>
      </c>
      <c r="B2320" s="1" t="s">
        <v>7059</v>
      </c>
      <c r="C2320" s="1" t="s">
        <v>21</v>
      </c>
      <c r="D2320" s="4" t="s">
        <v>7060</v>
      </c>
      <c r="E2320" s="1" t="s">
        <v>7044</v>
      </c>
      <c r="F2320" s="1" t="s">
        <v>7045</v>
      </c>
      <c r="G2320" s="1" t="s">
        <v>7046</v>
      </c>
      <c r="H2320" s="7" t="s">
        <v>1779</v>
      </c>
      <c r="I2320" s="1" t="str">
        <f t="shared" si="1"/>
        <v>8</v>
      </c>
      <c r="J2320" s="5"/>
      <c r="K2320" s="1" t="str">
        <f t="shared" si="2"/>
        <v>2</v>
      </c>
      <c r="L2320" s="5"/>
      <c r="M2320" s="2" t="str">
        <f t="shared" si="3"/>
        <v>1397</v>
      </c>
      <c r="N2320" s="5"/>
      <c r="O2320" s="2">
        <v>6.0</v>
      </c>
      <c r="P2320" s="5"/>
      <c r="Q2320" s="5"/>
      <c r="R2320" s="8" t="s">
        <v>1779</v>
      </c>
      <c r="S2320" s="5"/>
      <c r="T2320" s="1" t="str">
        <f>IFERROR(__xludf.DUMMYFUNCTION("INDEX(SPLIT(A2320, ""/""), 2)"),"نشریات مستقل")</f>
        <v>نشریات مستقل</v>
      </c>
      <c r="U2320" s="1" t="str">
        <f>IFERROR(__xludf.DUMMYFUNCTION("INDEX(SPLIT(A2320, ""/""), 3)"),"داد و بیداد")</f>
        <v>داد و بیداد</v>
      </c>
      <c r="V2320" s="1" t="str">
        <f>IFERROR(__xludf.DUMMYFUNCTION("INDEX(SPLIT(A2320, ""/""), 4)"),"#REF!")</f>
        <v>#REF!</v>
      </c>
    </row>
    <row r="2321">
      <c r="A2321" s="1" t="s">
        <v>7041</v>
      </c>
      <c r="B2321" s="1" t="s">
        <v>7061</v>
      </c>
      <c r="C2321" s="1" t="s">
        <v>21</v>
      </c>
      <c r="D2321" s="4" t="s">
        <v>7062</v>
      </c>
      <c r="E2321" s="1" t="s">
        <v>7044</v>
      </c>
      <c r="F2321" s="1" t="s">
        <v>7045</v>
      </c>
      <c r="G2321" s="1" t="s">
        <v>7046</v>
      </c>
      <c r="H2321" s="1" t="s">
        <v>6117</v>
      </c>
      <c r="I2321" s="1" t="str">
        <f t="shared" si="1"/>
        <v>22</v>
      </c>
      <c r="J2321" s="5"/>
      <c r="K2321" s="1" t="str">
        <f t="shared" si="2"/>
        <v>2</v>
      </c>
      <c r="L2321" s="5"/>
      <c r="M2321" s="2" t="str">
        <f t="shared" si="3"/>
        <v>1397</v>
      </c>
      <c r="N2321" s="5"/>
      <c r="O2321" s="2">
        <v>7.0</v>
      </c>
      <c r="P2321" s="5"/>
      <c r="Q2321" s="5"/>
      <c r="R2321" s="6" t="s">
        <v>6117</v>
      </c>
      <c r="S2321" s="5"/>
      <c r="T2321" s="1" t="str">
        <f>IFERROR(__xludf.DUMMYFUNCTION("INDEX(SPLIT(A2321, ""/""), 2)"),"نشریات مستقل")</f>
        <v>نشریات مستقل</v>
      </c>
      <c r="U2321" s="1" t="str">
        <f>IFERROR(__xludf.DUMMYFUNCTION("INDEX(SPLIT(A2321, ""/""), 3)"),"داد و بیداد")</f>
        <v>داد و بیداد</v>
      </c>
      <c r="V2321" s="1" t="str">
        <f>IFERROR(__xludf.DUMMYFUNCTION("INDEX(SPLIT(A2321, ""/""), 4)"),"#REF!")</f>
        <v>#REF!</v>
      </c>
    </row>
    <row r="2322">
      <c r="A2322" s="1" t="s">
        <v>7041</v>
      </c>
      <c r="B2322" s="1" t="s">
        <v>7063</v>
      </c>
      <c r="C2322" s="1" t="s">
        <v>21</v>
      </c>
      <c r="D2322" s="4" t="s">
        <v>7064</v>
      </c>
      <c r="E2322" s="1" t="s">
        <v>7044</v>
      </c>
      <c r="F2322" s="1" t="s">
        <v>7045</v>
      </c>
      <c r="G2322" s="1" t="s">
        <v>7046</v>
      </c>
      <c r="H2322" s="7" t="s">
        <v>6129</v>
      </c>
      <c r="I2322" s="1" t="str">
        <f t="shared" si="1"/>
        <v>5</v>
      </c>
      <c r="J2322" s="5"/>
      <c r="K2322" s="1" t="str">
        <f t="shared" si="2"/>
        <v>3</v>
      </c>
      <c r="L2322" s="5"/>
      <c r="M2322" s="2" t="str">
        <f t="shared" si="3"/>
        <v>1397</v>
      </c>
      <c r="N2322" s="5"/>
      <c r="O2322" s="2">
        <v>8.0</v>
      </c>
      <c r="P2322" s="5"/>
      <c r="Q2322" s="5"/>
      <c r="R2322" s="8" t="s">
        <v>6129</v>
      </c>
      <c r="S2322" s="5"/>
      <c r="T2322" s="1" t="str">
        <f>IFERROR(__xludf.DUMMYFUNCTION("INDEX(SPLIT(A2322, ""/""), 2)"),"نشریات مستقل")</f>
        <v>نشریات مستقل</v>
      </c>
      <c r="U2322" s="1" t="str">
        <f>IFERROR(__xludf.DUMMYFUNCTION("INDEX(SPLIT(A2322, ""/""), 3)"),"داد و بیداد")</f>
        <v>داد و بیداد</v>
      </c>
      <c r="V2322" s="1" t="str">
        <f>IFERROR(__xludf.DUMMYFUNCTION("INDEX(SPLIT(A2322, ""/""), 4)"),"#REF!")</f>
        <v>#REF!</v>
      </c>
    </row>
    <row r="2323">
      <c r="A2323" s="1" t="s">
        <v>7041</v>
      </c>
      <c r="B2323" s="1" t="s">
        <v>7065</v>
      </c>
      <c r="C2323" s="1" t="s">
        <v>21</v>
      </c>
      <c r="D2323" s="4" t="s">
        <v>7066</v>
      </c>
      <c r="E2323" s="1" t="s">
        <v>7044</v>
      </c>
      <c r="F2323" s="1" t="s">
        <v>7045</v>
      </c>
      <c r="G2323" s="1" t="s">
        <v>7067</v>
      </c>
      <c r="H2323" s="1" t="s">
        <v>694</v>
      </c>
      <c r="I2323" s="1" t="str">
        <f t="shared" si="1"/>
        <v>31</v>
      </c>
      <c r="J2323" s="5"/>
      <c r="K2323" s="1" t="str">
        <f t="shared" si="2"/>
        <v>6</v>
      </c>
      <c r="L2323" s="5"/>
      <c r="M2323" s="2" t="str">
        <f t="shared" si="3"/>
        <v>1397</v>
      </c>
      <c r="N2323" s="5"/>
      <c r="O2323" s="2">
        <v>9.0</v>
      </c>
      <c r="P2323" s="5"/>
      <c r="Q2323" s="5"/>
      <c r="R2323" s="6" t="s">
        <v>694</v>
      </c>
      <c r="S2323" s="5"/>
      <c r="T2323" s="1" t="str">
        <f>IFERROR(__xludf.DUMMYFUNCTION("INDEX(SPLIT(A2323, ""/""), 2)"),"نشریات مستقل")</f>
        <v>نشریات مستقل</v>
      </c>
      <c r="U2323" s="1" t="str">
        <f>IFERROR(__xludf.DUMMYFUNCTION("INDEX(SPLIT(A2323, ""/""), 3)"),"داد و بیداد")</f>
        <v>داد و بیداد</v>
      </c>
      <c r="V2323" s="1" t="str">
        <f>IFERROR(__xludf.DUMMYFUNCTION("INDEX(SPLIT(A2323, ""/""), 4)"),"#REF!")</f>
        <v>#REF!</v>
      </c>
    </row>
    <row r="2324">
      <c r="A2324" s="1" t="s">
        <v>7041</v>
      </c>
      <c r="B2324" s="1" t="s">
        <v>7068</v>
      </c>
      <c r="C2324" s="1" t="s">
        <v>21</v>
      </c>
      <c r="D2324" s="4" t="s">
        <v>7069</v>
      </c>
      <c r="E2324" s="1" t="s">
        <v>7044</v>
      </c>
      <c r="F2324" s="1" t="s">
        <v>7045</v>
      </c>
      <c r="G2324" s="1" t="s">
        <v>7067</v>
      </c>
      <c r="H2324" s="1" t="s">
        <v>694</v>
      </c>
      <c r="I2324" s="1" t="str">
        <f t="shared" si="1"/>
        <v>31</v>
      </c>
      <c r="J2324" s="5"/>
      <c r="K2324" s="1" t="str">
        <f t="shared" si="2"/>
        <v>6</v>
      </c>
      <c r="L2324" s="5"/>
      <c r="M2324" s="2" t="str">
        <f t="shared" si="3"/>
        <v>1397</v>
      </c>
      <c r="N2324" s="5"/>
      <c r="O2324" s="2" t="s">
        <v>7070</v>
      </c>
      <c r="P2324" s="5"/>
      <c r="Q2324" s="5"/>
      <c r="R2324" s="6" t="s">
        <v>694</v>
      </c>
      <c r="S2324" s="5"/>
      <c r="T2324" s="1" t="str">
        <f>IFERROR(__xludf.DUMMYFUNCTION("INDEX(SPLIT(A2324, ""/""), 2)"),"نشریات مستقل")</f>
        <v>نشریات مستقل</v>
      </c>
      <c r="U2324" s="1" t="str">
        <f>IFERROR(__xludf.DUMMYFUNCTION("INDEX(SPLIT(A2324, ""/""), 3)"),"داد و بیداد")</f>
        <v>داد و بیداد</v>
      </c>
      <c r="V2324" s="1" t="str">
        <f>IFERROR(__xludf.DUMMYFUNCTION("INDEX(SPLIT(A2324, ""/""), 4)"),"#REF!")</f>
        <v>#REF!</v>
      </c>
    </row>
    <row r="2325">
      <c r="A2325" s="1" t="s">
        <v>7041</v>
      </c>
      <c r="B2325" s="1" t="s">
        <v>7071</v>
      </c>
      <c r="C2325" s="1" t="s">
        <v>21</v>
      </c>
      <c r="D2325" s="4" t="s">
        <v>7072</v>
      </c>
      <c r="E2325" s="1" t="s">
        <v>7044</v>
      </c>
      <c r="F2325" s="1" t="s">
        <v>7045</v>
      </c>
      <c r="G2325" s="1" t="s">
        <v>7067</v>
      </c>
      <c r="H2325" s="1" t="s">
        <v>6154</v>
      </c>
      <c r="I2325" s="1" t="str">
        <f t="shared" si="1"/>
        <v>14</v>
      </c>
      <c r="J2325" s="5"/>
      <c r="K2325" s="1" t="str">
        <f t="shared" si="2"/>
        <v>7</v>
      </c>
      <c r="L2325" s="5"/>
      <c r="M2325" s="2" t="str">
        <f t="shared" si="3"/>
        <v>1397</v>
      </c>
      <c r="N2325" s="5"/>
      <c r="O2325" s="2">
        <v>10.0</v>
      </c>
      <c r="P2325" s="5"/>
      <c r="Q2325" s="5"/>
      <c r="R2325" s="6" t="s">
        <v>6154</v>
      </c>
      <c r="S2325" s="5"/>
      <c r="T2325" s="1" t="str">
        <f>IFERROR(__xludf.DUMMYFUNCTION("INDEX(SPLIT(A2325, ""/""), 2)"),"نشریات مستقل")</f>
        <v>نشریات مستقل</v>
      </c>
      <c r="U2325" s="1" t="str">
        <f>IFERROR(__xludf.DUMMYFUNCTION("INDEX(SPLIT(A2325, ""/""), 3)"),"داد و بیداد")</f>
        <v>داد و بیداد</v>
      </c>
      <c r="V2325" s="1" t="str">
        <f>IFERROR(__xludf.DUMMYFUNCTION("INDEX(SPLIT(A2325, ""/""), 4)"),"#REF!")</f>
        <v>#REF!</v>
      </c>
    </row>
    <row r="2326">
      <c r="A2326" s="1" t="s">
        <v>7041</v>
      </c>
      <c r="B2326" s="1" t="s">
        <v>7073</v>
      </c>
      <c r="C2326" s="1" t="s">
        <v>21</v>
      </c>
      <c r="D2326" s="4" t="s">
        <v>7074</v>
      </c>
      <c r="E2326" s="1" t="s">
        <v>7044</v>
      </c>
      <c r="F2326" s="1" t="s">
        <v>7045</v>
      </c>
      <c r="G2326" s="1" t="s">
        <v>7067</v>
      </c>
      <c r="H2326" s="1" t="s">
        <v>6154</v>
      </c>
      <c r="I2326" s="1" t="str">
        <f t="shared" si="1"/>
        <v>14</v>
      </c>
      <c r="J2326" s="5"/>
      <c r="K2326" s="1" t="str">
        <f t="shared" si="2"/>
        <v>7</v>
      </c>
      <c r="L2326" s="5"/>
      <c r="M2326" s="2" t="str">
        <f t="shared" si="3"/>
        <v>1397</v>
      </c>
      <c r="N2326" s="5"/>
      <c r="O2326" s="2" t="s">
        <v>7075</v>
      </c>
      <c r="P2326" s="5"/>
      <c r="Q2326" s="5"/>
      <c r="R2326" s="6" t="s">
        <v>6154</v>
      </c>
      <c r="S2326" s="5"/>
      <c r="T2326" s="1" t="str">
        <f>IFERROR(__xludf.DUMMYFUNCTION("INDEX(SPLIT(A2326, ""/""), 2)"),"نشریات مستقل")</f>
        <v>نشریات مستقل</v>
      </c>
      <c r="U2326" s="1" t="str">
        <f>IFERROR(__xludf.DUMMYFUNCTION("INDEX(SPLIT(A2326, ""/""), 3)"),"داد و بیداد")</f>
        <v>داد و بیداد</v>
      </c>
      <c r="V2326" s="1" t="str">
        <f>IFERROR(__xludf.DUMMYFUNCTION("INDEX(SPLIT(A2326, ""/""), 4)"),"#REF!")</f>
        <v>#REF!</v>
      </c>
    </row>
    <row r="2327">
      <c r="A2327" s="1" t="s">
        <v>7041</v>
      </c>
      <c r="B2327" s="1" t="s">
        <v>7076</v>
      </c>
      <c r="C2327" s="1" t="s">
        <v>21</v>
      </c>
      <c r="D2327" s="4" t="s">
        <v>7077</v>
      </c>
      <c r="E2327" s="1" t="s">
        <v>7044</v>
      </c>
      <c r="F2327" s="1" t="s">
        <v>7045</v>
      </c>
      <c r="G2327" s="1" t="s">
        <v>7067</v>
      </c>
      <c r="H2327" s="1" t="s">
        <v>6166</v>
      </c>
      <c r="I2327" s="1" t="str">
        <f t="shared" si="1"/>
        <v>28</v>
      </c>
      <c r="J2327" s="5"/>
      <c r="K2327" s="1" t="str">
        <f t="shared" si="2"/>
        <v>7</v>
      </c>
      <c r="L2327" s="5"/>
      <c r="M2327" s="2" t="str">
        <f t="shared" si="3"/>
        <v>1397</v>
      </c>
      <c r="N2327" s="5"/>
      <c r="O2327" s="2">
        <v>11.0</v>
      </c>
      <c r="P2327" s="5"/>
      <c r="Q2327" s="5"/>
      <c r="R2327" s="6" t="s">
        <v>6166</v>
      </c>
      <c r="S2327" s="5"/>
      <c r="T2327" s="1" t="str">
        <f>IFERROR(__xludf.DUMMYFUNCTION("INDEX(SPLIT(A2327, ""/""), 2)"),"نشریات مستقل")</f>
        <v>نشریات مستقل</v>
      </c>
      <c r="U2327" s="1" t="str">
        <f>IFERROR(__xludf.DUMMYFUNCTION("INDEX(SPLIT(A2327, ""/""), 3)"),"داد و بیداد")</f>
        <v>داد و بیداد</v>
      </c>
      <c r="V2327" s="1" t="str">
        <f>IFERROR(__xludf.DUMMYFUNCTION("INDEX(SPLIT(A2327, ""/""), 4)"),"#REF!")</f>
        <v>#REF!</v>
      </c>
    </row>
    <row r="2328">
      <c r="A2328" s="1" t="s">
        <v>7041</v>
      </c>
      <c r="B2328" s="1" t="s">
        <v>7078</v>
      </c>
      <c r="C2328" s="1" t="s">
        <v>21</v>
      </c>
      <c r="D2328" s="4" t="s">
        <v>7079</v>
      </c>
      <c r="E2328" s="1" t="s">
        <v>7044</v>
      </c>
      <c r="F2328" s="1" t="s">
        <v>7045</v>
      </c>
      <c r="G2328" s="1" t="s">
        <v>7067</v>
      </c>
      <c r="H2328" s="1" t="s">
        <v>6166</v>
      </c>
      <c r="I2328" s="1" t="str">
        <f t="shared" si="1"/>
        <v>28</v>
      </c>
      <c r="J2328" s="5"/>
      <c r="K2328" s="1" t="str">
        <f t="shared" si="2"/>
        <v>7</v>
      </c>
      <c r="L2328" s="5"/>
      <c r="M2328" s="2" t="str">
        <f t="shared" si="3"/>
        <v>1397</v>
      </c>
      <c r="N2328" s="5"/>
      <c r="O2328" s="2" t="s">
        <v>7080</v>
      </c>
      <c r="P2328" s="5"/>
      <c r="Q2328" s="5"/>
      <c r="R2328" s="6" t="s">
        <v>6166</v>
      </c>
      <c r="S2328" s="5"/>
      <c r="T2328" s="1" t="str">
        <f>IFERROR(__xludf.DUMMYFUNCTION("INDEX(SPLIT(A2328, ""/""), 2)"),"نشریات مستقل")</f>
        <v>نشریات مستقل</v>
      </c>
      <c r="U2328" s="1" t="str">
        <f>IFERROR(__xludf.DUMMYFUNCTION("INDEX(SPLIT(A2328, ""/""), 3)"),"داد و بیداد")</f>
        <v>داد و بیداد</v>
      </c>
      <c r="V2328" s="1" t="str">
        <f>IFERROR(__xludf.DUMMYFUNCTION("INDEX(SPLIT(A2328, ""/""), 4)"),"#REF!")</f>
        <v>#REF!</v>
      </c>
    </row>
    <row r="2329">
      <c r="A2329" s="1" t="s">
        <v>7041</v>
      </c>
      <c r="B2329" s="1" t="s">
        <v>7081</v>
      </c>
      <c r="C2329" s="1" t="s">
        <v>21</v>
      </c>
      <c r="D2329" s="4" t="s">
        <v>7082</v>
      </c>
      <c r="E2329" s="1" t="s">
        <v>7044</v>
      </c>
      <c r="F2329" s="1" t="s">
        <v>7045</v>
      </c>
      <c r="G2329" s="1" t="s">
        <v>7067</v>
      </c>
      <c r="H2329" s="7" t="s">
        <v>6174</v>
      </c>
      <c r="I2329" s="1" t="str">
        <f t="shared" si="1"/>
        <v>12</v>
      </c>
      <c r="J2329" s="5"/>
      <c r="K2329" s="1" t="str">
        <f t="shared" si="2"/>
        <v>8</v>
      </c>
      <c r="L2329" s="5"/>
      <c r="M2329" s="2" t="str">
        <f t="shared" si="3"/>
        <v>1397</v>
      </c>
      <c r="N2329" s="5"/>
      <c r="O2329" s="2">
        <v>12.0</v>
      </c>
      <c r="P2329" s="5"/>
      <c r="Q2329" s="5"/>
      <c r="R2329" s="8" t="s">
        <v>6174</v>
      </c>
      <c r="S2329" s="5"/>
      <c r="T2329" s="1" t="str">
        <f>IFERROR(__xludf.DUMMYFUNCTION("INDEX(SPLIT(A2329, ""/""), 2)"),"نشریات مستقل")</f>
        <v>نشریات مستقل</v>
      </c>
      <c r="U2329" s="1" t="str">
        <f>IFERROR(__xludf.DUMMYFUNCTION("INDEX(SPLIT(A2329, ""/""), 3)"),"داد و بیداد")</f>
        <v>داد و بیداد</v>
      </c>
      <c r="V2329" s="1" t="str">
        <f>IFERROR(__xludf.DUMMYFUNCTION("INDEX(SPLIT(A2329, ""/""), 4)"),"#REF!")</f>
        <v>#REF!</v>
      </c>
    </row>
    <row r="2330">
      <c r="A2330" s="1" t="s">
        <v>7041</v>
      </c>
      <c r="B2330" s="1" t="s">
        <v>7083</v>
      </c>
      <c r="C2330" s="1" t="s">
        <v>21</v>
      </c>
      <c r="D2330" s="4" t="s">
        <v>7084</v>
      </c>
      <c r="E2330" s="1" t="s">
        <v>7044</v>
      </c>
      <c r="F2330" s="1" t="s">
        <v>7045</v>
      </c>
      <c r="G2330" s="1" t="s">
        <v>7067</v>
      </c>
      <c r="H2330" s="7" t="s">
        <v>6174</v>
      </c>
      <c r="I2330" s="1" t="str">
        <f t="shared" si="1"/>
        <v>12</v>
      </c>
      <c r="J2330" s="5"/>
      <c r="K2330" s="1" t="str">
        <f t="shared" si="2"/>
        <v>8</v>
      </c>
      <c r="L2330" s="5"/>
      <c r="M2330" s="2" t="str">
        <f t="shared" si="3"/>
        <v>1397</v>
      </c>
      <c r="N2330" s="5"/>
      <c r="O2330" s="2" t="s">
        <v>7085</v>
      </c>
      <c r="P2330" s="5"/>
      <c r="Q2330" s="5"/>
      <c r="R2330" s="8" t="s">
        <v>6174</v>
      </c>
      <c r="S2330" s="5"/>
      <c r="T2330" s="1" t="str">
        <f>IFERROR(__xludf.DUMMYFUNCTION("INDEX(SPLIT(A2330, ""/""), 2)"),"نشریات مستقل")</f>
        <v>نشریات مستقل</v>
      </c>
      <c r="U2330" s="1" t="str">
        <f>IFERROR(__xludf.DUMMYFUNCTION("INDEX(SPLIT(A2330, ""/""), 3)"),"داد و بیداد")</f>
        <v>داد و بیداد</v>
      </c>
      <c r="V2330" s="1" t="str">
        <f>IFERROR(__xludf.DUMMYFUNCTION("INDEX(SPLIT(A2330, ""/""), 4)"),"#REF!")</f>
        <v>#REF!</v>
      </c>
    </row>
    <row r="2331">
      <c r="A2331" s="1" t="s">
        <v>7041</v>
      </c>
      <c r="B2331" s="1" t="s">
        <v>7086</v>
      </c>
      <c r="C2331" s="1" t="s">
        <v>21</v>
      </c>
      <c r="D2331" s="4" t="s">
        <v>7087</v>
      </c>
      <c r="E2331" s="1" t="s">
        <v>7044</v>
      </c>
      <c r="F2331" s="1" t="s">
        <v>7045</v>
      </c>
      <c r="G2331" s="1" t="s">
        <v>7067</v>
      </c>
      <c r="H2331" s="1" t="s">
        <v>6184</v>
      </c>
      <c r="I2331" s="1" t="str">
        <f t="shared" si="1"/>
        <v>26</v>
      </c>
      <c r="J2331" s="5"/>
      <c r="K2331" s="1" t="str">
        <f t="shared" si="2"/>
        <v>8</v>
      </c>
      <c r="L2331" s="5"/>
      <c r="M2331" s="2" t="str">
        <f t="shared" si="3"/>
        <v>1397</v>
      </c>
      <c r="N2331" s="5"/>
      <c r="O2331" s="2">
        <v>13.0</v>
      </c>
      <c r="P2331" s="5"/>
      <c r="Q2331" s="5"/>
      <c r="R2331" s="6" t="s">
        <v>6184</v>
      </c>
      <c r="S2331" s="5"/>
      <c r="T2331" s="1" t="str">
        <f>IFERROR(__xludf.DUMMYFUNCTION("INDEX(SPLIT(A2331, ""/""), 2)"),"نشریات مستقل")</f>
        <v>نشریات مستقل</v>
      </c>
      <c r="U2331" s="1" t="str">
        <f>IFERROR(__xludf.DUMMYFUNCTION("INDEX(SPLIT(A2331, ""/""), 3)"),"داد و بیداد")</f>
        <v>داد و بیداد</v>
      </c>
      <c r="V2331" s="1" t="str">
        <f>IFERROR(__xludf.DUMMYFUNCTION("INDEX(SPLIT(A2331, ""/""), 4)"),"#REF!")</f>
        <v>#REF!</v>
      </c>
    </row>
    <row r="2332">
      <c r="A2332" s="1" t="s">
        <v>7041</v>
      </c>
      <c r="B2332" s="1" t="s">
        <v>7088</v>
      </c>
      <c r="C2332" s="1" t="s">
        <v>21</v>
      </c>
      <c r="D2332" s="4" t="s">
        <v>7089</v>
      </c>
      <c r="E2332" s="1" t="s">
        <v>7044</v>
      </c>
      <c r="F2332" s="1" t="s">
        <v>7045</v>
      </c>
      <c r="G2332" s="1" t="s">
        <v>7067</v>
      </c>
      <c r="H2332" s="1" t="s">
        <v>6184</v>
      </c>
      <c r="I2332" s="1" t="str">
        <f t="shared" si="1"/>
        <v>26</v>
      </c>
      <c r="J2332" s="5"/>
      <c r="K2332" s="1" t="str">
        <f t="shared" si="2"/>
        <v>8</v>
      </c>
      <c r="L2332" s="5"/>
      <c r="M2332" s="2" t="str">
        <f t="shared" si="3"/>
        <v>1397</v>
      </c>
      <c r="N2332" s="5"/>
      <c r="O2332" s="2" t="s">
        <v>7090</v>
      </c>
      <c r="P2332" s="5"/>
      <c r="Q2332" s="5"/>
      <c r="R2332" s="6" t="s">
        <v>6184</v>
      </c>
      <c r="S2332" s="5"/>
      <c r="T2332" s="1" t="str">
        <f>IFERROR(__xludf.DUMMYFUNCTION("INDEX(SPLIT(A2332, ""/""), 2)"),"نشریات مستقل")</f>
        <v>نشریات مستقل</v>
      </c>
      <c r="U2332" s="1" t="str">
        <f>IFERROR(__xludf.DUMMYFUNCTION("INDEX(SPLIT(A2332, ""/""), 3)"),"داد و بیداد")</f>
        <v>داد و بیداد</v>
      </c>
      <c r="V2332" s="1" t="str">
        <f>IFERROR(__xludf.DUMMYFUNCTION("INDEX(SPLIT(A2332, ""/""), 4)"),"#REF!")</f>
        <v>#REF!</v>
      </c>
    </row>
    <row r="2333">
      <c r="A2333" s="1" t="s">
        <v>7041</v>
      </c>
      <c r="B2333" s="1" t="s">
        <v>7091</v>
      </c>
      <c r="C2333" s="1" t="s">
        <v>21</v>
      </c>
      <c r="D2333" s="4" t="s">
        <v>7092</v>
      </c>
      <c r="E2333" s="1" t="s">
        <v>7044</v>
      </c>
      <c r="F2333" s="1" t="s">
        <v>7045</v>
      </c>
      <c r="G2333" s="1" t="s">
        <v>7067</v>
      </c>
      <c r="H2333" s="7" t="s">
        <v>3236</v>
      </c>
      <c r="I2333" s="1" t="str">
        <f t="shared" si="1"/>
        <v>10</v>
      </c>
      <c r="J2333" s="5"/>
      <c r="K2333" s="1" t="str">
        <f t="shared" si="2"/>
        <v>9</v>
      </c>
      <c r="L2333" s="5"/>
      <c r="M2333" s="2" t="str">
        <f t="shared" si="3"/>
        <v>1397</v>
      </c>
      <c r="N2333" s="5"/>
      <c r="O2333" s="2">
        <v>14.0</v>
      </c>
      <c r="P2333" s="5"/>
      <c r="Q2333" s="5"/>
      <c r="R2333" s="8" t="s">
        <v>3236</v>
      </c>
      <c r="S2333" s="5"/>
      <c r="T2333" s="1" t="str">
        <f>IFERROR(__xludf.DUMMYFUNCTION("INDEX(SPLIT(A2333, ""/""), 2)"),"نشریات مستقل")</f>
        <v>نشریات مستقل</v>
      </c>
      <c r="U2333" s="1" t="str">
        <f>IFERROR(__xludf.DUMMYFUNCTION("INDEX(SPLIT(A2333, ""/""), 3)"),"داد و بیداد")</f>
        <v>داد و بیداد</v>
      </c>
      <c r="V2333" s="1" t="str">
        <f>IFERROR(__xludf.DUMMYFUNCTION("INDEX(SPLIT(A2333, ""/""), 4)"),"#REF!")</f>
        <v>#REF!</v>
      </c>
    </row>
    <row r="2334">
      <c r="A2334" s="1" t="s">
        <v>7041</v>
      </c>
      <c r="B2334" s="1" t="s">
        <v>7093</v>
      </c>
      <c r="C2334" s="1" t="s">
        <v>21</v>
      </c>
      <c r="D2334" s="4" t="s">
        <v>7094</v>
      </c>
      <c r="E2334" s="1" t="s">
        <v>7044</v>
      </c>
      <c r="F2334" s="1" t="s">
        <v>7045</v>
      </c>
      <c r="G2334" s="1" t="s">
        <v>7067</v>
      </c>
      <c r="H2334" s="1" t="s">
        <v>6201</v>
      </c>
      <c r="I2334" s="1" t="str">
        <f t="shared" si="1"/>
        <v>24</v>
      </c>
      <c r="J2334" s="5"/>
      <c r="K2334" s="1" t="str">
        <f t="shared" si="2"/>
        <v>9</v>
      </c>
      <c r="L2334" s="5"/>
      <c r="M2334" s="2" t="str">
        <f t="shared" si="3"/>
        <v>1397</v>
      </c>
      <c r="N2334" s="5"/>
      <c r="O2334" s="2">
        <v>15.0</v>
      </c>
      <c r="P2334" s="5"/>
      <c r="Q2334" s="5"/>
      <c r="R2334" s="6" t="s">
        <v>6201</v>
      </c>
      <c r="S2334" s="5"/>
      <c r="T2334" s="1" t="str">
        <f>IFERROR(__xludf.DUMMYFUNCTION("INDEX(SPLIT(A2334, ""/""), 2)"),"نشریات مستقل")</f>
        <v>نشریات مستقل</v>
      </c>
      <c r="U2334" s="1" t="str">
        <f>IFERROR(__xludf.DUMMYFUNCTION("INDEX(SPLIT(A2334, ""/""), 3)"),"داد و بیداد")</f>
        <v>داد و بیداد</v>
      </c>
      <c r="V2334" s="1" t="str">
        <f>IFERROR(__xludf.DUMMYFUNCTION("INDEX(SPLIT(A2334, ""/""), 4)"),"#REF!")</f>
        <v>#REF!</v>
      </c>
    </row>
    <row r="2335">
      <c r="A2335" s="1" t="s">
        <v>7041</v>
      </c>
      <c r="B2335" s="1" t="s">
        <v>7095</v>
      </c>
      <c r="C2335" s="1" t="s">
        <v>21</v>
      </c>
      <c r="D2335" s="4" t="s">
        <v>7096</v>
      </c>
      <c r="E2335" s="1" t="s">
        <v>7044</v>
      </c>
      <c r="F2335" s="1" t="s">
        <v>7045</v>
      </c>
      <c r="G2335" s="1" t="s">
        <v>7067</v>
      </c>
      <c r="H2335" s="1" t="s">
        <v>6215</v>
      </c>
      <c r="I2335" s="1" t="str">
        <f t="shared" si="1"/>
        <v>27</v>
      </c>
      <c r="J2335" s="5"/>
      <c r="K2335" s="1" t="str">
        <f t="shared" si="2"/>
        <v>11</v>
      </c>
      <c r="L2335" s="5"/>
      <c r="M2335" s="2" t="str">
        <f t="shared" si="3"/>
        <v>1397</v>
      </c>
      <c r="N2335" s="5"/>
      <c r="O2335" s="2">
        <v>16.0</v>
      </c>
      <c r="P2335" s="5"/>
      <c r="Q2335" s="5"/>
      <c r="R2335" s="6" t="s">
        <v>6215</v>
      </c>
      <c r="S2335" s="5"/>
      <c r="T2335" s="1" t="str">
        <f>IFERROR(__xludf.DUMMYFUNCTION("INDEX(SPLIT(A2335, ""/""), 2)"),"نشریات مستقل")</f>
        <v>نشریات مستقل</v>
      </c>
      <c r="U2335" s="1" t="str">
        <f>IFERROR(__xludf.DUMMYFUNCTION("INDEX(SPLIT(A2335, ""/""), 3)"),"داد و بیداد")</f>
        <v>داد و بیداد</v>
      </c>
      <c r="V2335" s="1" t="str">
        <f>IFERROR(__xludf.DUMMYFUNCTION("INDEX(SPLIT(A2335, ""/""), 4)"),"#REF!")</f>
        <v>#REF!</v>
      </c>
    </row>
    <row r="2336">
      <c r="A2336" s="1" t="s">
        <v>7041</v>
      </c>
      <c r="B2336" s="1" t="s">
        <v>7097</v>
      </c>
      <c r="C2336" s="1" t="s">
        <v>21</v>
      </c>
      <c r="D2336" s="4" t="s">
        <v>7098</v>
      </c>
      <c r="E2336" s="1" t="s">
        <v>7044</v>
      </c>
      <c r="F2336" s="1" t="s">
        <v>7045</v>
      </c>
      <c r="G2336" s="1" t="s">
        <v>7067</v>
      </c>
      <c r="H2336" s="7" t="s">
        <v>6226</v>
      </c>
      <c r="I2336" s="1" t="str">
        <f t="shared" si="1"/>
        <v>11</v>
      </c>
      <c r="J2336" s="5"/>
      <c r="K2336" s="1" t="str">
        <f t="shared" si="2"/>
        <v>12</v>
      </c>
      <c r="L2336" s="5"/>
      <c r="M2336" s="2" t="str">
        <f t="shared" si="3"/>
        <v>1397</v>
      </c>
      <c r="N2336" s="5"/>
      <c r="O2336" s="2">
        <v>17.0</v>
      </c>
      <c r="P2336" s="5"/>
      <c r="Q2336" s="5"/>
      <c r="R2336" s="8" t="s">
        <v>6226</v>
      </c>
      <c r="S2336" s="5"/>
      <c r="T2336" s="1" t="str">
        <f>IFERROR(__xludf.DUMMYFUNCTION("INDEX(SPLIT(A2336, ""/""), 2)"),"نشریات مستقل")</f>
        <v>نشریات مستقل</v>
      </c>
      <c r="U2336" s="1" t="str">
        <f>IFERROR(__xludf.DUMMYFUNCTION("INDEX(SPLIT(A2336, ""/""), 3)"),"داد و بیداد")</f>
        <v>داد و بیداد</v>
      </c>
      <c r="V2336" s="1" t="str">
        <f>IFERROR(__xludf.DUMMYFUNCTION("INDEX(SPLIT(A2336, ""/""), 4)"),"#REF!")</f>
        <v>#REF!</v>
      </c>
    </row>
    <row r="2337">
      <c r="A2337" s="1" t="s">
        <v>7041</v>
      </c>
      <c r="B2337" s="1" t="s">
        <v>7099</v>
      </c>
      <c r="C2337" s="1" t="s">
        <v>21</v>
      </c>
      <c r="D2337" s="4" t="s">
        <v>7100</v>
      </c>
      <c r="E2337" s="1" t="s">
        <v>7044</v>
      </c>
      <c r="F2337" s="1" t="s">
        <v>7045</v>
      </c>
      <c r="G2337" s="1" t="s">
        <v>7067</v>
      </c>
      <c r="H2337" s="1" t="s">
        <v>3443</v>
      </c>
      <c r="I2337" s="1" t="str">
        <f t="shared" si="1"/>
        <v>31</v>
      </c>
      <c r="J2337" s="5"/>
      <c r="K2337" s="1" t="str">
        <f t="shared" si="2"/>
        <v>1</v>
      </c>
      <c r="L2337" s="5"/>
      <c r="M2337" s="2" t="str">
        <f t="shared" si="3"/>
        <v>1398</v>
      </c>
      <c r="N2337" s="5"/>
      <c r="O2337" s="2">
        <v>18.0</v>
      </c>
      <c r="P2337" s="5"/>
      <c r="Q2337" s="5"/>
      <c r="R2337" s="6" t="s">
        <v>3443</v>
      </c>
      <c r="S2337" s="5"/>
      <c r="T2337" s="1" t="str">
        <f>IFERROR(__xludf.DUMMYFUNCTION("INDEX(SPLIT(A2337, ""/""), 2)"),"نشریات مستقل")</f>
        <v>نشریات مستقل</v>
      </c>
      <c r="U2337" s="1" t="str">
        <f>IFERROR(__xludf.DUMMYFUNCTION("INDEX(SPLIT(A2337, ""/""), 3)"),"داد و بیداد")</f>
        <v>داد و بیداد</v>
      </c>
      <c r="V2337" s="1" t="str">
        <f>IFERROR(__xludf.DUMMYFUNCTION("INDEX(SPLIT(A2337, ""/""), 4)"),"#REF!")</f>
        <v>#REF!</v>
      </c>
    </row>
    <row r="2338">
      <c r="A2338" s="1" t="s">
        <v>7041</v>
      </c>
      <c r="B2338" s="1" t="s">
        <v>7101</v>
      </c>
      <c r="C2338" s="1" t="s">
        <v>21</v>
      </c>
      <c r="D2338" s="4" t="s">
        <v>7102</v>
      </c>
      <c r="E2338" s="1" t="s">
        <v>7044</v>
      </c>
      <c r="F2338" s="1" t="s">
        <v>7045</v>
      </c>
      <c r="G2338" s="1" t="s">
        <v>7067</v>
      </c>
      <c r="H2338" s="1" t="s">
        <v>6254</v>
      </c>
      <c r="I2338" s="1" t="str">
        <f t="shared" si="1"/>
        <v>14</v>
      </c>
      <c r="J2338" s="5"/>
      <c r="K2338" s="1" t="str">
        <f t="shared" si="2"/>
        <v>2</v>
      </c>
      <c r="L2338" s="5"/>
      <c r="M2338" s="2" t="str">
        <f t="shared" si="3"/>
        <v>1398</v>
      </c>
      <c r="N2338" s="5"/>
      <c r="O2338" s="2">
        <v>19.0</v>
      </c>
      <c r="P2338" s="5"/>
      <c r="Q2338" s="5"/>
      <c r="R2338" s="6" t="s">
        <v>6254</v>
      </c>
      <c r="S2338" s="5"/>
      <c r="T2338" s="1" t="str">
        <f>IFERROR(__xludf.DUMMYFUNCTION("INDEX(SPLIT(A2338, ""/""), 2)"),"نشریات مستقل")</f>
        <v>نشریات مستقل</v>
      </c>
      <c r="U2338" s="1" t="str">
        <f>IFERROR(__xludf.DUMMYFUNCTION("INDEX(SPLIT(A2338, ""/""), 3)"),"داد و بیداد")</f>
        <v>داد و بیداد</v>
      </c>
      <c r="V2338" s="1" t="str">
        <f>IFERROR(__xludf.DUMMYFUNCTION("INDEX(SPLIT(A2338, ""/""), 4)"),"#REF!")</f>
        <v>#REF!</v>
      </c>
    </row>
    <row r="2339">
      <c r="A2339" s="1" t="s">
        <v>7041</v>
      </c>
      <c r="B2339" s="1" t="s">
        <v>7103</v>
      </c>
      <c r="C2339" s="1" t="s">
        <v>21</v>
      </c>
      <c r="D2339" s="4" t="s">
        <v>7104</v>
      </c>
      <c r="E2339" s="1" t="s">
        <v>7044</v>
      </c>
      <c r="F2339" s="1" t="s">
        <v>7045</v>
      </c>
      <c r="G2339" s="1" t="s">
        <v>7067</v>
      </c>
      <c r="H2339" s="1" t="s">
        <v>6265</v>
      </c>
      <c r="I2339" s="1" t="str">
        <f t="shared" si="1"/>
        <v>28</v>
      </c>
      <c r="J2339" s="5"/>
      <c r="K2339" s="1" t="str">
        <f t="shared" si="2"/>
        <v>2</v>
      </c>
      <c r="L2339" s="5"/>
      <c r="M2339" s="2" t="str">
        <f t="shared" si="3"/>
        <v>1398</v>
      </c>
      <c r="N2339" s="5"/>
      <c r="O2339" s="2">
        <v>20.0</v>
      </c>
      <c r="P2339" s="5"/>
      <c r="Q2339" s="5"/>
      <c r="R2339" s="6" t="s">
        <v>6265</v>
      </c>
      <c r="S2339" s="5"/>
      <c r="T2339" s="1" t="str">
        <f>IFERROR(__xludf.DUMMYFUNCTION("INDEX(SPLIT(A2339, ""/""), 2)"),"نشریات مستقل")</f>
        <v>نشریات مستقل</v>
      </c>
      <c r="U2339" s="1" t="str">
        <f>IFERROR(__xludf.DUMMYFUNCTION("INDEX(SPLIT(A2339, ""/""), 3)"),"داد و بیداد")</f>
        <v>داد و بیداد</v>
      </c>
      <c r="V2339" s="1" t="str">
        <f>IFERROR(__xludf.DUMMYFUNCTION("INDEX(SPLIT(A2339, ""/""), 4)"),"#REF!")</f>
        <v>#REF!</v>
      </c>
    </row>
    <row r="2340">
      <c r="A2340" s="1" t="s">
        <v>7041</v>
      </c>
      <c r="B2340" s="1" t="s">
        <v>7105</v>
      </c>
      <c r="C2340" s="1" t="s">
        <v>21</v>
      </c>
      <c r="D2340" s="4" t="s">
        <v>7106</v>
      </c>
      <c r="E2340" s="1" t="s">
        <v>7067</v>
      </c>
      <c r="F2340" s="1" t="s">
        <v>7067</v>
      </c>
      <c r="G2340" s="1" t="s">
        <v>7107</v>
      </c>
      <c r="H2340" s="1" t="s">
        <v>785</v>
      </c>
      <c r="I2340" s="1" t="str">
        <f t="shared" si="1"/>
        <v>13</v>
      </c>
      <c r="J2340" s="5"/>
      <c r="K2340" s="1" t="str">
        <f t="shared" si="2"/>
        <v>7</v>
      </c>
      <c r="L2340" s="5"/>
      <c r="M2340" s="2" t="str">
        <f t="shared" si="3"/>
        <v>1398</v>
      </c>
      <c r="N2340" s="5"/>
      <c r="O2340" s="2">
        <v>21.0</v>
      </c>
      <c r="P2340" s="5"/>
      <c r="Q2340" s="5"/>
      <c r="R2340" s="6" t="s">
        <v>785</v>
      </c>
      <c r="S2340" s="5"/>
      <c r="T2340" s="1" t="str">
        <f>IFERROR(__xludf.DUMMYFUNCTION("INDEX(SPLIT(A2340, ""/""), 2)"),"نشریات مستقل")</f>
        <v>نشریات مستقل</v>
      </c>
      <c r="U2340" s="1" t="str">
        <f>IFERROR(__xludf.DUMMYFUNCTION("INDEX(SPLIT(A2340, ""/""), 3)"),"داد و بیداد")</f>
        <v>داد و بیداد</v>
      </c>
      <c r="V2340" s="1" t="str">
        <f>IFERROR(__xludf.DUMMYFUNCTION("INDEX(SPLIT(A2340, ""/""), 4)"),"#REF!")</f>
        <v>#REF!</v>
      </c>
    </row>
    <row r="2341">
      <c r="A2341" s="1" t="s">
        <v>7041</v>
      </c>
      <c r="B2341" s="1" t="s">
        <v>7108</v>
      </c>
      <c r="C2341" s="1" t="s">
        <v>21</v>
      </c>
      <c r="D2341" s="4" t="s">
        <v>7109</v>
      </c>
      <c r="E2341" s="1" t="s">
        <v>7067</v>
      </c>
      <c r="F2341" s="1" t="s">
        <v>7067</v>
      </c>
      <c r="G2341" s="1" t="s">
        <v>7107</v>
      </c>
      <c r="H2341" s="1" t="s">
        <v>2518</v>
      </c>
      <c r="I2341" s="1" t="str">
        <f t="shared" si="1"/>
        <v>27</v>
      </c>
      <c r="J2341" s="5"/>
      <c r="K2341" s="1" t="str">
        <f t="shared" si="2"/>
        <v>7</v>
      </c>
      <c r="L2341" s="5"/>
      <c r="M2341" s="2" t="str">
        <f t="shared" si="3"/>
        <v>1398</v>
      </c>
      <c r="N2341" s="5"/>
      <c r="O2341" s="2">
        <v>22.0</v>
      </c>
      <c r="P2341" s="5"/>
      <c r="Q2341" s="5"/>
      <c r="R2341" s="6" t="s">
        <v>2518</v>
      </c>
      <c r="S2341" s="5"/>
      <c r="T2341" s="1" t="str">
        <f>IFERROR(__xludf.DUMMYFUNCTION("INDEX(SPLIT(A2341, ""/""), 2)"),"نشریات مستقل")</f>
        <v>نشریات مستقل</v>
      </c>
      <c r="U2341" s="1" t="str">
        <f>IFERROR(__xludf.DUMMYFUNCTION("INDEX(SPLIT(A2341, ""/""), 3)"),"داد و بیداد")</f>
        <v>داد و بیداد</v>
      </c>
      <c r="V2341" s="1" t="str">
        <f>IFERROR(__xludf.DUMMYFUNCTION("INDEX(SPLIT(A2341, ""/""), 4)"),"#REF!")</f>
        <v>#REF!</v>
      </c>
    </row>
    <row r="2342">
      <c r="A2342" s="1" t="s">
        <v>7041</v>
      </c>
      <c r="B2342" s="1" t="s">
        <v>7110</v>
      </c>
      <c r="C2342" s="1" t="s">
        <v>21</v>
      </c>
      <c r="D2342" s="4" t="s">
        <v>7111</v>
      </c>
      <c r="E2342" s="1" t="s">
        <v>7067</v>
      </c>
      <c r="F2342" s="1" t="s">
        <v>7067</v>
      </c>
      <c r="G2342" s="1" t="s">
        <v>7107</v>
      </c>
      <c r="H2342" s="7" t="s">
        <v>6296</v>
      </c>
      <c r="I2342" s="1" t="str">
        <f t="shared" si="1"/>
        <v>11</v>
      </c>
      <c r="J2342" s="5"/>
      <c r="K2342" s="1" t="str">
        <f t="shared" si="2"/>
        <v>8</v>
      </c>
      <c r="L2342" s="5"/>
      <c r="M2342" s="2" t="str">
        <f t="shared" si="3"/>
        <v>1398</v>
      </c>
      <c r="N2342" s="5"/>
      <c r="O2342" s="2">
        <v>23.0</v>
      </c>
      <c r="P2342" s="5"/>
      <c r="Q2342" s="5"/>
      <c r="R2342" s="8" t="s">
        <v>6296</v>
      </c>
      <c r="S2342" s="5"/>
      <c r="T2342" s="1" t="str">
        <f>IFERROR(__xludf.DUMMYFUNCTION("INDEX(SPLIT(A2342, ""/""), 2)"),"نشریات مستقل")</f>
        <v>نشریات مستقل</v>
      </c>
      <c r="U2342" s="1" t="str">
        <f>IFERROR(__xludf.DUMMYFUNCTION("INDEX(SPLIT(A2342, ""/""), 3)"),"داد و بیداد")</f>
        <v>داد و بیداد</v>
      </c>
      <c r="V2342" s="1" t="str">
        <f>IFERROR(__xludf.DUMMYFUNCTION("INDEX(SPLIT(A2342, ""/""), 4)"),"#REF!")</f>
        <v>#REF!</v>
      </c>
    </row>
    <row r="2343">
      <c r="A2343" s="1" t="s">
        <v>7041</v>
      </c>
      <c r="B2343" s="1" t="s">
        <v>7112</v>
      </c>
      <c r="C2343" s="1" t="s">
        <v>21</v>
      </c>
      <c r="D2343" s="4" t="s">
        <v>7113</v>
      </c>
      <c r="E2343" s="1" t="s">
        <v>7067</v>
      </c>
      <c r="F2343" s="1" t="s">
        <v>7067</v>
      </c>
      <c r="G2343" s="1" t="s">
        <v>7107</v>
      </c>
      <c r="H2343" s="1" t="s">
        <v>6307</v>
      </c>
      <c r="I2343" s="1" t="str">
        <f t="shared" si="1"/>
        <v>25</v>
      </c>
      <c r="J2343" s="5"/>
      <c r="K2343" s="1" t="str">
        <f t="shared" si="2"/>
        <v>8</v>
      </c>
      <c r="L2343" s="5"/>
      <c r="M2343" s="2" t="str">
        <f t="shared" si="3"/>
        <v>1398</v>
      </c>
      <c r="N2343" s="5"/>
      <c r="O2343" s="2">
        <v>24.0</v>
      </c>
      <c r="P2343" s="5"/>
      <c r="Q2343" s="5"/>
      <c r="R2343" s="6" t="s">
        <v>6307</v>
      </c>
      <c r="S2343" s="5"/>
      <c r="T2343" s="1" t="str">
        <f>IFERROR(__xludf.DUMMYFUNCTION("INDEX(SPLIT(A2343, ""/""), 2)"),"نشریات مستقل")</f>
        <v>نشریات مستقل</v>
      </c>
      <c r="U2343" s="1" t="str">
        <f>IFERROR(__xludf.DUMMYFUNCTION("INDEX(SPLIT(A2343, ""/""), 3)"),"داد و بیداد")</f>
        <v>داد و بیداد</v>
      </c>
      <c r="V2343" s="1" t="str">
        <f>IFERROR(__xludf.DUMMYFUNCTION("INDEX(SPLIT(A2343, ""/""), 4)"),"#REF!")</f>
        <v>#REF!</v>
      </c>
    </row>
    <row r="2344">
      <c r="A2344" s="1" t="s">
        <v>7041</v>
      </c>
      <c r="B2344" s="1" t="s">
        <v>7114</v>
      </c>
      <c r="C2344" s="1" t="s">
        <v>21</v>
      </c>
      <c r="D2344" s="4" t="s">
        <v>7115</v>
      </c>
      <c r="E2344" s="1" t="s">
        <v>7067</v>
      </c>
      <c r="F2344" s="1" t="s">
        <v>7067</v>
      </c>
      <c r="G2344" s="1" t="s">
        <v>7107</v>
      </c>
      <c r="H2344" s="7" t="s">
        <v>6319</v>
      </c>
      <c r="I2344" s="1" t="str">
        <f t="shared" si="1"/>
        <v>9</v>
      </c>
      <c r="J2344" s="5"/>
      <c r="K2344" s="1" t="str">
        <f t="shared" si="2"/>
        <v>9</v>
      </c>
      <c r="L2344" s="5"/>
      <c r="M2344" s="2" t="str">
        <f t="shared" si="3"/>
        <v>1398</v>
      </c>
      <c r="N2344" s="5"/>
      <c r="O2344" s="2">
        <v>25.0</v>
      </c>
      <c r="P2344" s="5"/>
      <c r="Q2344" s="5"/>
      <c r="R2344" s="8" t="s">
        <v>6319</v>
      </c>
      <c r="S2344" s="5"/>
      <c r="T2344" s="1" t="str">
        <f>IFERROR(__xludf.DUMMYFUNCTION("INDEX(SPLIT(A2344, ""/""), 2)"),"نشریات مستقل")</f>
        <v>نشریات مستقل</v>
      </c>
      <c r="U2344" s="1" t="str">
        <f>IFERROR(__xludf.DUMMYFUNCTION("INDEX(SPLIT(A2344, ""/""), 3)"),"داد و بیداد")</f>
        <v>داد و بیداد</v>
      </c>
      <c r="V2344" s="1" t="str">
        <f>IFERROR(__xludf.DUMMYFUNCTION("INDEX(SPLIT(A2344, ""/""), 4)"),"#REF!")</f>
        <v>#REF!</v>
      </c>
    </row>
    <row r="2345">
      <c r="A2345" s="1" t="s">
        <v>7041</v>
      </c>
      <c r="B2345" s="1" t="s">
        <v>7116</v>
      </c>
      <c r="C2345" s="1" t="s">
        <v>21</v>
      </c>
      <c r="D2345" s="4" t="s">
        <v>7117</v>
      </c>
      <c r="E2345" s="1" t="s">
        <v>7067</v>
      </c>
      <c r="F2345" s="1" t="s">
        <v>7067</v>
      </c>
      <c r="G2345" s="1" t="s">
        <v>7107</v>
      </c>
      <c r="H2345" s="1" t="s">
        <v>6328</v>
      </c>
      <c r="I2345" s="1" t="str">
        <f t="shared" si="1"/>
        <v>23</v>
      </c>
      <c r="J2345" s="5"/>
      <c r="K2345" s="1" t="str">
        <f t="shared" si="2"/>
        <v>9</v>
      </c>
      <c r="L2345" s="5"/>
      <c r="M2345" s="2" t="str">
        <f t="shared" si="3"/>
        <v>1398</v>
      </c>
      <c r="N2345" s="5"/>
      <c r="O2345" s="2">
        <v>26.0</v>
      </c>
      <c r="P2345" s="5"/>
      <c r="Q2345" s="5"/>
      <c r="R2345" s="6" t="s">
        <v>6328</v>
      </c>
      <c r="S2345" s="5"/>
      <c r="T2345" s="1" t="str">
        <f>IFERROR(__xludf.DUMMYFUNCTION("INDEX(SPLIT(A2345, ""/""), 2)"),"نشریات مستقل")</f>
        <v>نشریات مستقل</v>
      </c>
      <c r="U2345" s="1" t="str">
        <f>IFERROR(__xludf.DUMMYFUNCTION("INDEX(SPLIT(A2345, ""/""), 3)"),"داد و بیداد")</f>
        <v>داد و بیداد</v>
      </c>
      <c r="V2345" s="1" t="str">
        <f>IFERROR(__xludf.DUMMYFUNCTION("INDEX(SPLIT(A2345, ""/""), 4)"),"#REF!")</f>
        <v>#REF!</v>
      </c>
    </row>
    <row r="2346">
      <c r="A2346" s="1" t="s">
        <v>7041</v>
      </c>
      <c r="B2346" s="1" t="s">
        <v>7118</v>
      </c>
      <c r="C2346" s="1" t="s">
        <v>21</v>
      </c>
      <c r="D2346" s="4" t="s">
        <v>7119</v>
      </c>
      <c r="E2346" s="1" t="s">
        <v>7067</v>
      </c>
      <c r="F2346" s="1" t="s">
        <v>7067</v>
      </c>
      <c r="G2346" s="1" t="s">
        <v>7107</v>
      </c>
      <c r="H2346" s="7" t="s">
        <v>6337</v>
      </c>
      <c r="I2346" s="1" t="str">
        <f t="shared" si="1"/>
        <v>7</v>
      </c>
      <c r="J2346" s="5"/>
      <c r="K2346" s="1" t="str">
        <f t="shared" si="2"/>
        <v>10</v>
      </c>
      <c r="L2346" s="5"/>
      <c r="M2346" s="2" t="str">
        <f t="shared" si="3"/>
        <v>1398</v>
      </c>
      <c r="N2346" s="5"/>
      <c r="O2346" s="2">
        <v>27.0</v>
      </c>
      <c r="P2346" s="5"/>
      <c r="Q2346" s="5"/>
      <c r="R2346" s="8" t="s">
        <v>6337</v>
      </c>
      <c r="S2346" s="5"/>
      <c r="T2346" s="1" t="str">
        <f>IFERROR(__xludf.DUMMYFUNCTION("INDEX(SPLIT(A2346, ""/""), 2)"),"نشریات مستقل")</f>
        <v>نشریات مستقل</v>
      </c>
      <c r="U2346" s="1" t="str">
        <f>IFERROR(__xludf.DUMMYFUNCTION("INDEX(SPLIT(A2346, ""/""), 3)"),"داد و بیداد")</f>
        <v>داد و بیداد</v>
      </c>
      <c r="V2346" s="1" t="str">
        <f>IFERROR(__xludf.DUMMYFUNCTION("INDEX(SPLIT(A2346, ""/""), 4)"),"#REF!")</f>
        <v>#REF!</v>
      </c>
    </row>
    <row r="2347">
      <c r="A2347" s="1" t="s">
        <v>7041</v>
      </c>
      <c r="B2347" s="1" t="s">
        <v>7120</v>
      </c>
      <c r="C2347" s="1" t="s">
        <v>21</v>
      </c>
      <c r="D2347" s="4" t="s">
        <v>7121</v>
      </c>
      <c r="E2347" s="1" t="s">
        <v>7067</v>
      </c>
      <c r="F2347" s="1" t="s">
        <v>7067</v>
      </c>
      <c r="G2347" s="1" t="s">
        <v>7107</v>
      </c>
      <c r="H2347" s="1" t="s">
        <v>2088</v>
      </c>
      <c r="I2347" s="1" t="str">
        <f t="shared" si="1"/>
        <v>29</v>
      </c>
      <c r="J2347" s="5"/>
      <c r="K2347" s="1" t="str">
        <f t="shared" si="2"/>
        <v>11</v>
      </c>
      <c r="L2347" s="5"/>
      <c r="M2347" s="2" t="str">
        <f t="shared" si="3"/>
        <v>1398</v>
      </c>
      <c r="N2347" s="5"/>
      <c r="O2347" s="2" t="s">
        <v>7122</v>
      </c>
      <c r="P2347" s="5"/>
      <c r="Q2347" s="5"/>
      <c r="R2347" s="6" t="s">
        <v>2088</v>
      </c>
      <c r="S2347" s="5"/>
      <c r="T2347" s="1" t="str">
        <f>IFERROR(__xludf.DUMMYFUNCTION("INDEX(SPLIT(A2347, ""/""), 2)"),"نشریات مستقل")</f>
        <v>نشریات مستقل</v>
      </c>
      <c r="U2347" s="1" t="str">
        <f>IFERROR(__xludf.DUMMYFUNCTION("INDEX(SPLIT(A2347, ""/""), 3)"),"داد و بیداد")</f>
        <v>داد و بیداد</v>
      </c>
      <c r="V2347" s="1" t="str">
        <f>IFERROR(__xludf.DUMMYFUNCTION("INDEX(SPLIT(A2347, ""/""), 4)"),"#REF!")</f>
        <v>#REF!</v>
      </c>
    </row>
    <row r="2348">
      <c r="A2348" s="1" t="s">
        <v>7041</v>
      </c>
      <c r="B2348" s="1" t="s">
        <v>7123</v>
      </c>
      <c r="C2348" s="1" t="s">
        <v>21</v>
      </c>
      <c r="D2348" s="4" t="s">
        <v>7124</v>
      </c>
      <c r="E2348" s="1" t="s">
        <v>7107</v>
      </c>
      <c r="F2348" s="1" t="s">
        <v>7107</v>
      </c>
      <c r="G2348" s="1" t="s">
        <v>7125</v>
      </c>
      <c r="H2348" s="1" t="s">
        <v>6349</v>
      </c>
      <c r="I2348" s="1" t="str">
        <f t="shared" si="1"/>
        <v>26</v>
      </c>
      <c r="J2348" s="5"/>
      <c r="K2348" s="1" t="str">
        <f t="shared" si="2"/>
        <v>11</v>
      </c>
      <c r="L2348" s="5"/>
      <c r="M2348" s="2" t="str">
        <f t="shared" si="3"/>
        <v>1398</v>
      </c>
      <c r="N2348" s="5"/>
      <c r="O2348" s="2">
        <v>28.0</v>
      </c>
      <c r="P2348" s="5"/>
      <c r="Q2348" s="5"/>
      <c r="R2348" s="6" t="s">
        <v>6349</v>
      </c>
      <c r="S2348" s="5"/>
      <c r="T2348" s="1" t="str">
        <f>IFERROR(__xludf.DUMMYFUNCTION("INDEX(SPLIT(A2348, ""/""), 2)"),"نشریات مستقل")</f>
        <v>نشریات مستقل</v>
      </c>
      <c r="U2348" s="1" t="str">
        <f>IFERROR(__xludf.DUMMYFUNCTION("INDEX(SPLIT(A2348, ""/""), 3)"),"داد و بیداد")</f>
        <v>داد و بیداد</v>
      </c>
      <c r="V2348" s="1" t="str">
        <f>IFERROR(__xludf.DUMMYFUNCTION("INDEX(SPLIT(A2348, ""/""), 4)"),"#REF!")</f>
        <v>#REF!</v>
      </c>
    </row>
    <row r="2349">
      <c r="A2349" s="1" t="s">
        <v>7041</v>
      </c>
      <c r="B2349" s="1" t="s">
        <v>7126</v>
      </c>
      <c r="C2349" s="1" t="s">
        <v>21</v>
      </c>
      <c r="D2349" s="4" t="s">
        <v>7127</v>
      </c>
      <c r="E2349" s="1" t="s">
        <v>7107</v>
      </c>
      <c r="F2349" s="1" t="s">
        <v>7107</v>
      </c>
      <c r="G2349" s="1" t="s">
        <v>7125</v>
      </c>
      <c r="H2349" s="1" t="s">
        <v>218</v>
      </c>
      <c r="I2349" s="1" t="str">
        <f t="shared" si="1"/>
        <v>15</v>
      </c>
      <c r="J2349" s="5"/>
      <c r="K2349" s="1" t="str">
        <f t="shared" si="2"/>
        <v>12</v>
      </c>
      <c r="L2349" s="5"/>
      <c r="M2349" s="2" t="str">
        <f t="shared" si="3"/>
        <v>1398</v>
      </c>
      <c r="N2349" s="5"/>
      <c r="O2349" s="2">
        <v>29.0</v>
      </c>
      <c r="P2349" s="5"/>
      <c r="Q2349" s="5"/>
      <c r="R2349" s="6" t="s">
        <v>218</v>
      </c>
      <c r="S2349" s="5"/>
      <c r="T2349" s="1" t="str">
        <f>IFERROR(__xludf.DUMMYFUNCTION("INDEX(SPLIT(A2349, ""/""), 2)"),"نشریات مستقل")</f>
        <v>نشریات مستقل</v>
      </c>
      <c r="U2349" s="1" t="str">
        <f>IFERROR(__xludf.DUMMYFUNCTION("INDEX(SPLIT(A2349, ""/""), 3)"),"داد و بیداد")</f>
        <v>داد و بیداد</v>
      </c>
      <c r="V2349" s="1" t="str">
        <f>IFERROR(__xludf.DUMMYFUNCTION("INDEX(SPLIT(A2349, ""/""), 4)"),"#REF!")</f>
        <v>#REF!</v>
      </c>
    </row>
    <row r="2350">
      <c r="A2350" s="1" t="s">
        <v>7041</v>
      </c>
      <c r="B2350" s="1" t="s">
        <v>7128</v>
      </c>
      <c r="C2350" s="1" t="s">
        <v>21</v>
      </c>
      <c r="D2350" s="4" t="s">
        <v>7129</v>
      </c>
      <c r="E2350" s="1" t="s">
        <v>7107</v>
      </c>
      <c r="F2350" s="1" t="s">
        <v>7107</v>
      </c>
      <c r="G2350" s="1" t="s">
        <v>7125</v>
      </c>
      <c r="H2350" s="1" t="s">
        <v>218</v>
      </c>
      <c r="I2350" s="1" t="str">
        <f t="shared" si="1"/>
        <v>15</v>
      </c>
      <c r="J2350" s="5"/>
      <c r="K2350" s="1" t="str">
        <f t="shared" si="2"/>
        <v>12</v>
      </c>
      <c r="L2350" s="5"/>
      <c r="M2350" s="2" t="str">
        <f t="shared" si="3"/>
        <v>1398</v>
      </c>
      <c r="N2350" s="5"/>
      <c r="O2350" s="2" t="s">
        <v>7130</v>
      </c>
      <c r="P2350" s="5"/>
      <c r="Q2350" s="5"/>
      <c r="R2350" s="6" t="s">
        <v>218</v>
      </c>
      <c r="S2350" s="5"/>
      <c r="T2350" s="1" t="str">
        <f>IFERROR(__xludf.DUMMYFUNCTION("INDEX(SPLIT(A2350, ""/""), 2)"),"نشریات مستقل")</f>
        <v>نشریات مستقل</v>
      </c>
      <c r="U2350" s="1" t="str">
        <f>IFERROR(__xludf.DUMMYFUNCTION("INDEX(SPLIT(A2350, ""/""), 3)"),"داد و بیداد")</f>
        <v>داد و بیداد</v>
      </c>
      <c r="V2350" s="1" t="str">
        <f>IFERROR(__xludf.DUMMYFUNCTION("INDEX(SPLIT(A2350, ""/""), 4)"),"#REF!")</f>
        <v>#REF!</v>
      </c>
    </row>
    <row r="2351">
      <c r="A2351" s="1" t="s">
        <v>7041</v>
      </c>
      <c r="B2351" s="1" t="s">
        <v>7131</v>
      </c>
      <c r="C2351" s="1" t="s">
        <v>21</v>
      </c>
      <c r="D2351" s="4" t="s">
        <v>7132</v>
      </c>
      <c r="E2351" s="1" t="s">
        <v>7107</v>
      </c>
      <c r="F2351" s="1" t="s">
        <v>7107</v>
      </c>
      <c r="G2351" s="1" t="s">
        <v>7125</v>
      </c>
      <c r="H2351" s="1" t="s">
        <v>3468</v>
      </c>
      <c r="I2351" s="1" t="str">
        <f t="shared" si="1"/>
        <v>30</v>
      </c>
      <c r="J2351" s="5"/>
      <c r="K2351" s="1" t="str">
        <f t="shared" si="2"/>
        <v>1</v>
      </c>
      <c r="L2351" s="5"/>
      <c r="M2351" s="2" t="str">
        <f t="shared" si="3"/>
        <v>1399</v>
      </c>
      <c r="N2351" s="5"/>
      <c r="O2351" s="2">
        <v>30.0</v>
      </c>
      <c r="P2351" s="5"/>
      <c r="Q2351" s="5"/>
      <c r="R2351" s="6" t="s">
        <v>3468</v>
      </c>
      <c r="S2351" s="5"/>
      <c r="T2351" s="1" t="str">
        <f>IFERROR(__xludf.DUMMYFUNCTION("INDEX(SPLIT(A2351, ""/""), 2)"),"نشریات مستقل")</f>
        <v>نشریات مستقل</v>
      </c>
      <c r="U2351" s="1" t="str">
        <f>IFERROR(__xludf.DUMMYFUNCTION("INDEX(SPLIT(A2351, ""/""), 3)"),"داد و بیداد")</f>
        <v>داد و بیداد</v>
      </c>
      <c r="V2351" s="1" t="str">
        <f>IFERROR(__xludf.DUMMYFUNCTION("INDEX(SPLIT(A2351, ""/""), 4)"),"#REF!")</f>
        <v>#REF!</v>
      </c>
    </row>
    <row r="2352">
      <c r="A2352" s="1" t="s">
        <v>7041</v>
      </c>
      <c r="B2352" s="1" t="s">
        <v>7133</v>
      </c>
      <c r="C2352" s="1" t="s">
        <v>21</v>
      </c>
      <c r="D2352" s="4" t="s">
        <v>7134</v>
      </c>
      <c r="E2352" s="1" t="s">
        <v>7107</v>
      </c>
      <c r="F2352" s="1" t="s">
        <v>7107</v>
      </c>
      <c r="G2352" s="1" t="s">
        <v>7125</v>
      </c>
      <c r="H2352" s="1" t="s">
        <v>3468</v>
      </c>
      <c r="I2352" s="1" t="str">
        <f t="shared" si="1"/>
        <v>30</v>
      </c>
      <c r="J2352" s="5"/>
      <c r="K2352" s="1" t="str">
        <f t="shared" si="2"/>
        <v>1</v>
      </c>
      <c r="L2352" s="5"/>
      <c r="M2352" s="2" t="str">
        <f t="shared" si="3"/>
        <v>1399</v>
      </c>
      <c r="N2352" s="5"/>
      <c r="O2352" s="2" t="s">
        <v>7135</v>
      </c>
      <c r="P2352" s="5"/>
      <c r="Q2352" s="5"/>
      <c r="R2352" s="6" t="s">
        <v>3468</v>
      </c>
      <c r="S2352" s="5"/>
      <c r="T2352" s="1" t="str">
        <f>IFERROR(__xludf.DUMMYFUNCTION("INDEX(SPLIT(A2352, ""/""), 2)"),"نشریات مستقل")</f>
        <v>نشریات مستقل</v>
      </c>
      <c r="U2352" s="1" t="str">
        <f>IFERROR(__xludf.DUMMYFUNCTION("INDEX(SPLIT(A2352, ""/""), 3)"),"داد و بیداد")</f>
        <v>داد و بیداد</v>
      </c>
      <c r="V2352" s="1" t="str">
        <f>IFERROR(__xludf.DUMMYFUNCTION("INDEX(SPLIT(A2352, ""/""), 4)"),"#REF!")</f>
        <v>#REF!</v>
      </c>
    </row>
    <row r="2353">
      <c r="A2353" s="1" t="s">
        <v>7041</v>
      </c>
      <c r="B2353" s="1" t="s">
        <v>7136</v>
      </c>
      <c r="C2353" s="1" t="s">
        <v>21</v>
      </c>
      <c r="D2353" s="4" t="s">
        <v>7137</v>
      </c>
      <c r="E2353" s="1" t="s">
        <v>7107</v>
      </c>
      <c r="F2353" s="1" t="s">
        <v>7107</v>
      </c>
      <c r="G2353" s="1" t="s">
        <v>7125</v>
      </c>
      <c r="H2353" s="1" t="s">
        <v>7138</v>
      </c>
      <c r="I2353" s="1" t="str">
        <f t="shared" si="1"/>
        <v>13</v>
      </c>
      <c r="J2353" s="5"/>
      <c r="K2353" s="1" t="str">
        <f t="shared" si="2"/>
        <v>2</v>
      </c>
      <c r="L2353" s="5"/>
      <c r="M2353" s="2" t="str">
        <f t="shared" si="3"/>
        <v>1399</v>
      </c>
      <c r="N2353" s="5"/>
      <c r="O2353" s="2">
        <v>31.0</v>
      </c>
      <c r="P2353" s="5"/>
      <c r="Q2353" s="5"/>
      <c r="R2353" s="6" t="s">
        <v>7138</v>
      </c>
      <c r="S2353" s="5"/>
      <c r="T2353" s="1" t="str">
        <f>IFERROR(__xludf.DUMMYFUNCTION("INDEX(SPLIT(A2353, ""/""), 2)"),"نشریات مستقل")</f>
        <v>نشریات مستقل</v>
      </c>
      <c r="U2353" s="1" t="str">
        <f>IFERROR(__xludf.DUMMYFUNCTION("INDEX(SPLIT(A2353, ""/""), 3)"),"داد و بیداد")</f>
        <v>داد و بیداد</v>
      </c>
      <c r="V2353" s="1" t="str">
        <f>IFERROR(__xludf.DUMMYFUNCTION("INDEX(SPLIT(A2353, ""/""), 4)"),"#REF!")</f>
        <v>#REF!</v>
      </c>
    </row>
    <row r="2354">
      <c r="A2354" s="1" t="s">
        <v>7041</v>
      </c>
      <c r="B2354" s="1" t="s">
        <v>7139</v>
      </c>
      <c r="C2354" s="1" t="s">
        <v>21</v>
      </c>
      <c r="D2354" s="4" t="s">
        <v>7140</v>
      </c>
      <c r="E2354" s="1" t="s">
        <v>7107</v>
      </c>
      <c r="F2354" s="1" t="s">
        <v>7107</v>
      </c>
      <c r="G2354" s="1" t="s">
        <v>7125</v>
      </c>
      <c r="H2354" s="7" t="s">
        <v>6372</v>
      </c>
      <c r="I2354" s="1" t="str">
        <f t="shared" si="1"/>
        <v>3</v>
      </c>
      <c r="J2354" s="5"/>
      <c r="K2354" s="1" t="str">
        <f t="shared" si="2"/>
        <v>3</v>
      </c>
      <c r="L2354" s="5"/>
      <c r="M2354" s="2" t="str">
        <f t="shared" si="3"/>
        <v>1399</v>
      </c>
      <c r="N2354" s="5"/>
      <c r="O2354" s="2">
        <v>32.0</v>
      </c>
      <c r="P2354" s="5"/>
      <c r="Q2354" s="5"/>
      <c r="R2354" s="8" t="s">
        <v>6372</v>
      </c>
      <c r="S2354" s="5"/>
      <c r="T2354" s="1" t="str">
        <f>IFERROR(__xludf.DUMMYFUNCTION("INDEX(SPLIT(A2354, ""/""), 2)"),"نشریات مستقل")</f>
        <v>نشریات مستقل</v>
      </c>
      <c r="U2354" s="1" t="str">
        <f>IFERROR(__xludf.DUMMYFUNCTION("INDEX(SPLIT(A2354, ""/""), 3)"),"داد و بیداد")</f>
        <v>داد و بیداد</v>
      </c>
      <c r="V2354" s="1" t="str">
        <f>IFERROR(__xludf.DUMMYFUNCTION("INDEX(SPLIT(A2354, ""/""), 4)"),"#REF!")</f>
        <v>#REF!</v>
      </c>
    </row>
    <row r="2355">
      <c r="A2355" s="1" t="s">
        <v>7041</v>
      </c>
      <c r="B2355" s="1" t="s">
        <v>7141</v>
      </c>
      <c r="C2355" s="1" t="s">
        <v>21</v>
      </c>
      <c r="D2355" s="4" t="s">
        <v>7142</v>
      </c>
      <c r="E2355" s="1" t="s">
        <v>7107</v>
      </c>
      <c r="F2355" s="1" t="s">
        <v>7107</v>
      </c>
      <c r="G2355" s="1" t="s">
        <v>7125</v>
      </c>
      <c r="H2355" s="7" t="s">
        <v>6372</v>
      </c>
      <c r="I2355" s="1" t="str">
        <f t="shared" si="1"/>
        <v>3</v>
      </c>
      <c r="J2355" s="5"/>
      <c r="K2355" s="1" t="str">
        <f t="shared" si="2"/>
        <v>3</v>
      </c>
      <c r="L2355" s="5"/>
      <c r="M2355" s="2" t="str">
        <f t="shared" si="3"/>
        <v>1399</v>
      </c>
      <c r="N2355" s="5"/>
      <c r="O2355" s="2" t="s">
        <v>7143</v>
      </c>
      <c r="P2355" s="5"/>
      <c r="Q2355" s="5"/>
      <c r="R2355" s="8" t="s">
        <v>6372</v>
      </c>
      <c r="S2355" s="5"/>
      <c r="T2355" s="1" t="str">
        <f>IFERROR(__xludf.DUMMYFUNCTION("INDEX(SPLIT(A2355, ""/""), 2)"),"نشریات مستقل")</f>
        <v>نشریات مستقل</v>
      </c>
      <c r="U2355" s="1" t="str">
        <f>IFERROR(__xludf.DUMMYFUNCTION("INDEX(SPLIT(A2355, ""/""), 3)"),"داد و بیداد")</f>
        <v>داد و بیداد</v>
      </c>
      <c r="V2355" s="1" t="str">
        <f>IFERROR(__xludf.DUMMYFUNCTION("INDEX(SPLIT(A2355, ""/""), 4)"),"#REF!")</f>
        <v>#REF!</v>
      </c>
    </row>
    <row r="2356">
      <c r="A2356" s="1" t="s">
        <v>7041</v>
      </c>
      <c r="B2356" s="1" t="s">
        <v>7144</v>
      </c>
      <c r="C2356" s="1" t="s">
        <v>21</v>
      </c>
      <c r="D2356" s="4" t="s">
        <v>7145</v>
      </c>
      <c r="E2356" s="1" t="s">
        <v>7107</v>
      </c>
      <c r="F2356" s="1" t="s">
        <v>7107</v>
      </c>
      <c r="G2356" s="1" t="s">
        <v>7125</v>
      </c>
      <c r="H2356" s="1" t="s">
        <v>7146</v>
      </c>
      <c r="I2356" s="1" t="str">
        <f t="shared" si="1"/>
        <v>17</v>
      </c>
      <c r="J2356" s="5"/>
      <c r="K2356" s="1" t="str">
        <f t="shared" si="2"/>
        <v>3</v>
      </c>
      <c r="L2356" s="5"/>
      <c r="M2356" s="2" t="str">
        <f t="shared" si="3"/>
        <v>1399</v>
      </c>
      <c r="N2356" s="5"/>
      <c r="O2356" s="2">
        <v>33.0</v>
      </c>
      <c r="P2356" s="5"/>
      <c r="Q2356" s="5"/>
      <c r="R2356" s="6" t="s">
        <v>7146</v>
      </c>
      <c r="S2356" s="5"/>
      <c r="T2356" s="1" t="str">
        <f>IFERROR(__xludf.DUMMYFUNCTION("INDEX(SPLIT(A2356, ""/""), 2)"),"نشریات مستقل")</f>
        <v>نشریات مستقل</v>
      </c>
      <c r="U2356" s="1" t="str">
        <f>IFERROR(__xludf.DUMMYFUNCTION("INDEX(SPLIT(A2356, ""/""), 3)"),"داد و بیداد")</f>
        <v>داد و بیداد</v>
      </c>
      <c r="V2356" s="1" t="str">
        <f>IFERROR(__xludf.DUMMYFUNCTION("INDEX(SPLIT(A2356, ""/""), 4)"),"#REF!")</f>
        <v>#REF!</v>
      </c>
    </row>
    <row r="2357">
      <c r="A2357" s="1" t="s">
        <v>7041</v>
      </c>
      <c r="B2357" s="1" t="s">
        <v>7147</v>
      </c>
      <c r="C2357" s="1" t="s">
        <v>21</v>
      </c>
      <c r="D2357" s="4" t="s">
        <v>7148</v>
      </c>
      <c r="E2357" s="1" t="s">
        <v>7107</v>
      </c>
      <c r="F2357" s="1" t="s">
        <v>7107</v>
      </c>
      <c r="G2357" s="1" t="s">
        <v>7125</v>
      </c>
      <c r="H2357" s="7" t="s">
        <v>7149</v>
      </c>
      <c r="I2357" s="1" t="str">
        <f t="shared" si="1"/>
        <v>12</v>
      </c>
      <c r="J2357" s="5"/>
      <c r="K2357" s="1" t="str">
        <f t="shared" si="2"/>
        <v>7</v>
      </c>
      <c r="L2357" s="5"/>
      <c r="M2357" s="2" t="str">
        <f t="shared" si="3"/>
        <v>1399</v>
      </c>
      <c r="N2357" s="5"/>
      <c r="O2357" s="2">
        <v>34.0</v>
      </c>
      <c r="P2357" s="5"/>
      <c r="Q2357" s="5"/>
      <c r="R2357" s="8" t="s">
        <v>7149</v>
      </c>
      <c r="S2357" s="5"/>
      <c r="T2357" s="1" t="str">
        <f>IFERROR(__xludf.DUMMYFUNCTION("INDEX(SPLIT(A2357, ""/""), 2)"),"نشریات مستقل")</f>
        <v>نشریات مستقل</v>
      </c>
      <c r="U2357" s="1" t="str">
        <f>IFERROR(__xludf.DUMMYFUNCTION("INDEX(SPLIT(A2357, ""/""), 3)"),"داد و بیداد")</f>
        <v>داد و بیداد</v>
      </c>
      <c r="V2357" s="1" t="str">
        <f>IFERROR(__xludf.DUMMYFUNCTION("INDEX(SPLIT(A2357, ""/""), 4)"),"#REF!")</f>
        <v>#REF!</v>
      </c>
    </row>
    <row r="2358">
      <c r="A2358" s="1" t="s">
        <v>7041</v>
      </c>
      <c r="B2358" s="1" t="s">
        <v>7150</v>
      </c>
      <c r="C2358" s="1" t="s">
        <v>21</v>
      </c>
      <c r="D2358" s="4" t="s">
        <v>7151</v>
      </c>
      <c r="E2358" s="1" t="s">
        <v>7107</v>
      </c>
      <c r="F2358" s="1" t="s">
        <v>7107</v>
      </c>
      <c r="G2358" s="1" t="s">
        <v>7125</v>
      </c>
      <c r="H2358" s="7" t="s">
        <v>7152</v>
      </c>
      <c r="I2358" s="1" t="str">
        <f t="shared" si="1"/>
        <v>4</v>
      </c>
      <c r="J2358" s="5"/>
      <c r="K2358" s="1" t="str">
        <f t="shared" si="2"/>
        <v>10</v>
      </c>
      <c r="L2358" s="5"/>
      <c r="M2358" s="2" t="str">
        <f t="shared" si="3"/>
        <v>1399</v>
      </c>
      <c r="N2358" s="5"/>
      <c r="O2358" s="2">
        <v>35.0</v>
      </c>
      <c r="P2358" s="5"/>
      <c r="Q2358" s="5"/>
      <c r="R2358" s="8" t="s">
        <v>7152</v>
      </c>
      <c r="S2358" s="5"/>
      <c r="T2358" s="1" t="str">
        <f>IFERROR(__xludf.DUMMYFUNCTION("INDEX(SPLIT(A2358, ""/""), 2)"),"نشریات مستقل")</f>
        <v>نشریات مستقل</v>
      </c>
      <c r="U2358" s="1" t="str">
        <f>IFERROR(__xludf.DUMMYFUNCTION("INDEX(SPLIT(A2358, ""/""), 3)"),"داد و بیداد")</f>
        <v>داد و بیداد</v>
      </c>
      <c r="V2358" s="1" t="str">
        <f>IFERROR(__xludf.DUMMYFUNCTION("INDEX(SPLIT(A2358, ""/""), 4)"),"#REF!")</f>
        <v>#REF!</v>
      </c>
    </row>
    <row r="2359">
      <c r="A2359" s="1" t="s">
        <v>7041</v>
      </c>
      <c r="B2359" s="1" t="s">
        <v>7153</v>
      </c>
      <c r="C2359" s="1" t="s">
        <v>21</v>
      </c>
      <c r="D2359" s="4" t="s">
        <v>7154</v>
      </c>
      <c r="E2359" s="1" t="s">
        <v>7107</v>
      </c>
      <c r="F2359" s="1" t="s">
        <v>7107</v>
      </c>
      <c r="G2359" s="1" t="s">
        <v>752</v>
      </c>
      <c r="H2359" s="7" t="s">
        <v>7155</v>
      </c>
      <c r="I2359" s="1" t="str">
        <f t="shared" si="1"/>
        <v>2</v>
      </c>
      <c r="J2359" s="5"/>
      <c r="K2359" s="1" t="str">
        <f t="shared" si="2"/>
        <v>5</v>
      </c>
      <c r="L2359" s="5"/>
      <c r="M2359" s="2" t="str">
        <f t="shared" si="3"/>
        <v>1400</v>
      </c>
      <c r="N2359" s="5"/>
      <c r="O2359" s="2">
        <v>36.0</v>
      </c>
      <c r="P2359" s="5"/>
      <c r="Q2359" s="5"/>
      <c r="R2359" s="8" t="s">
        <v>7155</v>
      </c>
      <c r="S2359" s="5"/>
      <c r="T2359" s="1" t="str">
        <f>IFERROR(__xludf.DUMMYFUNCTION("INDEX(SPLIT(A2359, ""/""), 2)"),"نشریات مستقل")</f>
        <v>نشریات مستقل</v>
      </c>
      <c r="U2359" s="1" t="str">
        <f>IFERROR(__xludf.DUMMYFUNCTION("INDEX(SPLIT(A2359, ""/""), 3)"),"داد و بیداد")</f>
        <v>داد و بیداد</v>
      </c>
      <c r="V2359" s="1" t="str">
        <f>IFERROR(__xludf.DUMMYFUNCTION("INDEX(SPLIT(A2359, ""/""), 4)"),"#REF!")</f>
        <v>#REF!</v>
      </c>
    </row>
    <row r="2360">
      <c r="A2360" s="1" t="s">
        <v>7041</v>
      </c>
      <c r="B2360" s="1" t="s">
        <v>7156</v>
      </c>
      <c r="C2360" s="1" t="s">
        <v>21</v>
      </c>
      <c r="D2360" s="4" t="s">
        <v>7157</v>
      </c>
      <c r="E2360" s="1" t="s">
        <v>7107</v>
      </c>
      <c r="F2360" s="1" t="s">
        <v>7107</v>
      </c>
      <c r="G2360" s="1" t="s">
        <v>752</v>
      </c>
      <c r="H2360" s="1" t="s">
        <v>7158</v>
      </c>
      <c r="I2360" s="1" t="str">
        <f t="shared" si="1"/>
        <v>21</v>
      </c>
      <c r="J2360" s="5"/>
      <c r="K2360" s="1" t="str">
        <f t="shared" si="2"/>
        <v>7</v>
      </c>
      <c r="L2360" s="5"/>
      <c r="M2360" s="2" t="str">
        <f t="shared" si="3"/>
        <v>1400</v>
      </c>
      <c r="N2360" s="5"/>
      <c r="O2360" s="2">
        <v>37.0</v>
      </c>
      <c r="P2360" s="5"/>
      <c r="Q2360" s="5"/>
      <c r="R2360" s="6" t="s">
        <v>7158</v>
      </c>
      <c r="S2360" s="5"/>
      <c r="T2360" s="1" t="str">
        <f>IFERROR(__xludf.DUMMYFUNCTION("INDEX(SPLIT(A2360, ""/""), 2)"),"نشریات مستقل")</f>
        <v>نشریات مستقل</v>
      </c>
      <c r="U2360" s="1" t="str">
        <f>IFERROR(__xludf.DUMMYFUNCTION("INDEX(SPLIT(A2360, ""/""), 3)"),"داد و بیداد")</f>
        <v>داد و بیداد</v>
      </c>
      <c r="V2360" s="1" t="str">
        <f>IFERROR(__xludf.DUMMYFUNCTION("INDEX(SPLIT(A2360, ""/""), 4)"),"#REF!")</f>
        <v>#REF!</v>
      </c>
    </row>
    <row r="2361">
      <c r="A2361" s="1" t="s">
        <v>7041</v>
      </c>
      <c r="B2361" s="1" t="s">
        <v>7159</v>
      </c>
      <c r="C2361" s="1" t="s">
        <v>21</v>
      </c>
      <c r="D2361" s="4" t="s">
        <v>7160</v>
      </c>
      <c r="E2361" s="1" t="s">
        <v>7107</v>
      </c>
      <c r="F2361" s="1" t="s">
        <v>7161</v>
      </c>
      <c r="G2361" s="1" t="s">
        <v>7162</v>
      </c>
      <c r="H2361" s="7" t="s">
        <v>7163</v>
      </c>
      <c r="I2361" s="1" t="str">
        <f t="shared" si="1"/>
        <v>7</v>
      </c>
      <c r="J2361" s="5"/>
      <c r="K2361" s="1" t="str">
        <f t="shared" si="2"/>
        <v>1</v>
      </c>
      <c r="L2361" s="5"/>
      <c r="M2361" s="2" t="str">
        <f t="shared" si="3"/>
        <v>1401</v>
      </c>
      <c r="N2361" s="5"/>
      <c r="O2361" s="2">
        <v>38.0</v>
      </c>
      <c r="P2361" s="5"/>
      <c r="Q2361" s="5"/>
      <c r="R2361" s="8" t="s">
        <v>7163</v>
      </c>
      <c r="S2361" s="5"/>
      <c r="T2361" s="1" t="str">
        <f>IFERROR(__xludf.DUMMYFUNCTION("INDEX(SPLIT(A2361, ""/""), 2)"),"نشریات مستقل")</f>
        <v>نشریات مستقل</v>
      </c>
      <c r="U2361" s="1" t="str">
        <f>IFERROR(__xludf.DUMMYFUNCTION("INDEX(SPLIT(A2361, ""/""), 3)"),"داد و بیداد")</f>
        <v>داد و بیداد</v>
      </c>
      <c r="V2361" s="1" t="str">
        <f>IFERROR(__xludf.DUMMYFUNCTION("INDEX(SPLIT(A2361, ""/""), 4)"),"#REF!")</f>
        <v>#REF!</v>
      </c>
    </row>
    <row r="2362">
      <c r="A2362" s="9" t="s">
        <v>7164</v>
      </c>
      <c r="B2362" s="1" t="s">
        <v>7165</v>
      </c>
      <c r="C2362" s="1" t="s">
        <v>21</v>
      </c>
      <c r="D2362" s="4" t="s">
        <v>7166</v>
      </c>
      <c r="E2362" s="1" t="s">
        <v>7167</v>
      </c>
      <c r="F2362" s="1" t="s">
        <v>7167</v>
      </c>
      <c r="G2362" s="1" t="s">
        <v>7168</v>
      </c>
      <c r="H2362" s="1" t="s">
        <v>115</v>
      </c>
      <c r="I2362" s="1" t="str">
        <f t="shared" si="1"/>
        <v>x</v>
      </c>
      <c r="J2362" s="5"/>
      <c r="K2362" s="1" t="str">
        <f t="shared" si="2"/>
        <v>x</v>
      </c>
      <c r="L2362" s="1">
        <v>3.0</v>
      </c>
      <c r="M2362" s="2" t="str">
        <f t="shared" si="3"/>
        <v>1399</v>
      </c>
      <c r="N2362" s="5"/>
      <c r="O2362" s="2">
        <v>1.0</v>
      </c>
      <c r="P2362" s="5"/>
      <c r="Q2362" s="5"/>
      <c r="R2362" s="8" t="s">
        <v>116</v>
      </c>
      <c r="S2362" s="5"/>
      <c r="T2362" s="1" t="str">
        <f>IFERROR(__xludf.DUMMYFUNCTION("INDEX(SPLIT(A2362, ""/""), 2)"),"نشریات مستقل")</f>
        <v>نشریات مستقل</v>
      </c>
      <c r="U2362" s="1" t="str">
        <f>IFERROR(__xludf.DUMMYFUNCTION("INDEX(SPLIT(A2362, ""/""), 3)"),"درنگ")</f>
        <v>درنگ</v>
      </c>
      <c r="V2362" s="1" t="str">
        <f>IFERROR(__xludf.DUMMYFUNCTION("INDEX(SPLIT(A2362, ""/""), 4)"),"#REF!")</f>
        <v>#REF!</v>
      </c>
    </row>
    <row r="2363">
      <c r="A2363" s="1" t="s">
        <v>7169</v>
      </c>
      <c r="B2363" s="1" t="s">
        <v>7170</v>
      </c>
      <c r="C2363" s="1" t="s">
        <v>21</v>
      </c>
      <c r="D2363" s="4" t="s">
        <v>7171</v>
      </c>
      <c r="E2363" s="1" t="s">
        <v>7172</v>
      </c>
      <c r="F2363" s="1" t="s">
        <v>7172</v>
      </c>
      <c r="G2363" s="1" t="s">
        <v>7172</v>
      </c>
      <c r="H2363" s="1" t="s">
        <v>663</v>
      </c>
      <c r="I2363" s="1" t="str">
        <f t="shared" si="1"/>
        <v>x</v>
      </c>
      <c r="J2363" s="5"/>
      <c r="K2363" s="1" t="str">
        <f t="shared" si="2"/>
        <v>10</v>
      </c>
      <c r="L2363" s="5"/>
      <c r="M2363" s="2" t="str">
        <f t="shared" si="3"/>
        <v>1402</v>
      </c>
      <c r="N2363" s="5"/>
      <c r="O2363" s="2">
        <v>1.0</v>
      </c>
      <c r="P2363" s="5"/>
      <c r="Q2363" s="5"/>
      <c r="R2363" s="6" t="s">
        <v>664</v>
      </c>
      <c r="S2363" s="5"/>
      <c r="T2363" s="1" t="str">
        <f>IFERROR(__xludf.DUMMYFUNCTION("INDEX(SPLIT(A2363, ""/""), 2)"),"نشریات مستقل")</f>
        <v>نشریات مستقل</v>
      </c>
      <c r="U2363" s="1" t="str">
        <f>IFERROR(__xludf.DUMMYFUNCTION("INDEX(SPLIT(A2363, ""/""), 3)"),"دفترهای سرخ")</f>
        <v>دفترهای سرخ</v>
      </c>
      <c r="V2363" s="1" t="str">
        <f>IFERROR(__xludf.DUMMYFUNCTION("INDEX(SPLIT(A2363, ""/""), 4)"),"#REF!")</f>
        <v>#REF!</v>
      </c>
    </row>
    <row r="2364">
      <c r="A2364" s="1" t="s">
        <v>7169</v>
      </c>
      <c r="B2364" s="1" t="s">
        <v>7173</v>
      </c>
      <c r="C2364" s="1" t="s">
        <v>21</v>
      </c>
      <c r="D2364" s="4" t="s">
        <v>7174</v>
      </c>
      <c r="E2364" s="1" t="s">
        <v>7172</v>
      </c>
      <c r="F2364" s="1" t="s">
        <v>7172</v>
      </c>
      <c r="G2364" s="1" t="s">
        <v>7172</v>
      </c>
      <c r="H2364" s="1" t="s">
        <v>728</v>
      </c>
      <c r="I2364" s="1" t="str">
        <f t="shared" si="1"/>
        <v>x</v>
      </c>
      <c r="J2364" s="5"/>
      <c r="K2364" s="1" t="str">
        <f t="shared" si="2"/>
        <v>8</v>
      </c>
      <c r="L2364" s="5"/>
      <c r="M2364" s="2" t="str">
        <f t="shared" si="3"/>
        <v>1403</v>
      </c>
      <c r="N2364" s="5"/>
      <c r="O2364" s="2">
        <v>2.0</v>
      </c>
      <c r="P2364" s="5"/>
      <c r="Q2364" s="5"/>
      <c r="R2364" s="6" t="s">
        <v>729</v>
      </c>
      <c r="S2364" s="5"/>
      <c r="T2364" s="1" t="str">
        <f>IFERROR(__xludf.DUMMYFUNCTION("INDEX(SPLIT(A2364, ""/""), 2)"),"نشریات مستقل")</f>
        <v>نشریات مستقل</v>
      </c>
      <c r="U2364" s="1" t="str">
        <f>IFERROR(__xludf.DUMMYFUNCTION("INDEX(SPLIT(A2364, ""/""), 3)"),"دفترهای سرخ")</f>
        <v>دفترهای سرخ</v>
      </c>
      <c r="V2364" s="1" t="str">
        <f>IFERROR(__xludf.DUMMYFUNCTION("INDEX(SPLIT(A2364, ""/""), 4)"),"#REF!")</f>
        <v>#REF!</v>
      </c>
    </row>
    <row r="2365">
      <c r="A2365" s="1" t="s">
        <v>7169</v>
      </c>
      <c r="B2365" s="1" t="s">
        <v>7175</v>
      </c>
      <c r="C2365" s="1" t="s">
        <v>21</v>
      </c>
      <c r="D2365" s="4" t="s">
        <v>7176</v>
      </c>
      <c r="E2365" s="1" t="s">
        <v>7172</v>
      </c>
      <c r="F2365" s="1" t="s">
        <v>7172</v>
      </c>
      <c r="G2365" s="1" t="s">
        <v>7172</v>
      </c>
      <c r="H2365" s="1" t="s">
        <v>2221</v>
      </c>
      <c r="I2365" s="1" t="str">
        <f t="shared" si="1"/>
        <v>x</v>
      </c>
      <c r="J2365" s="5"/>
      <c r="K2365" s="1" t="str">
        <f t="shared" si="2"/>
        <v>12</v>
      </c>
      <c r="L2365" s="5"/>
      <c r="M2365" s="2" t="str">
        <f t="shared" si="3"/>
        <v>1403</v>
      </c>
      <c r="N2365" s="5"/>
      <c r="O2365" s="2">
        <v>3.0</v>
      </c>
      <c r="P2365" s="5"/>
      <c r="Q2365" s="5"/>
      <c r="R2365" s="6" t="s">
        <v>2222</v>
      </c>
      <c r="S2365" s="5"/>
      <c r="T2365" s="1" t="str">
        <f>IFERROR(__xludf.DUMMYFUNCTION("INDEX(SPLIT(A2365, ""/""), 2)"),"نشریات مستقل")</f>
        <v>نشریات مستقل</v>
      </c>
      <c r="U2365" s="1" t="str">
        <f>IFERROR(__xludf.DUMMYFUNCTION("INDEX(SPLIT(A2365, ""/""), 3)"),"دفترهای سرخ")</f>
        <v>دفترهای سرخ</v>
      </c>
      <c r="V2365" s="1" t="str">
        <f>IFERROR(__xludf.DUMMYFUNCTION("INDEX(SPLIT(A2365, ""/""), 4)"),"#REF!")</f>
        <v>#REF!</v>
      </c>
    </row>
    <row r="2366">
      <c r="A2366" s="1" t="s">
        <v>7169</v>
      </c>
      <c r="B2366" s="1" t="s">
        <v>7177</v>
      </c>
      <c r="C2366" s="1" t="s">
        <v>21</v>
      </c>
      <c r="D2366" s="4" t="s">
        <v>7178</v>
      </c>
      <c r="E2366" s="1" t="s">
        <v>7172</v>
      </c>
      <c r="F2366" s="1" t="s">
        <v>7172</v>
      </c>
      <c r="G2366" s="1" t="s">
        <v>7172</v>
      </c>
      <c r="H2366" s="1" t="s">
        <v>2226</v>
      </c>
      <c r="I2366" s="1" t="str">
        <f t="shared" si="1"/>
        <v>x</v>
      </c>
      <c r="J2366" s="5"/>
      <c r="K2366" s="1" t="str">
        <f t="shared" si="2"/>
        <v>3</v>
      </c>
      <c r="L2366" s="5"/>
      <c r="M2366" s="2" t="str">
        <f t="shared" si="3"/>
        <v>1404</v>
      </c>
      <c r="N2366" s="5"/>
      <c r="O2366" s="2">
        <v>4.0</v>
      </c>
      <c r="P2366" s="5"/>
      <c r="Q2366" s="5"/>
      <c r="R2366" s="6" t="s">
        <v>2227</v>
      </c>
      <c r="S2366" s="5"/>
      <c r="T2366" s="1" t="str">
        <f>IFERROR(__xludf.DUMMYFUNCTION("INDEX(SPLIT(A2366, ""/""), 2)"),"نشریات مستقل")</f>
        <v>نشریات مستقل</v>
      </c>
      <c r="U2366" s="1" t="str">
        <f>IFERROR(__xludf.DUMMYFUNCTION("INDEX(SPLIT(A2366, ""/""), 3)"),"دفترهای سرخ")</f>
        <v>دفترهای سرخ</v>
      </c>
      <c r="V2366" s="1" t="str">
        <f>IFERROR(__xludf.DUMMYFUNCTION("INDEX(SPLIT(A2366, ""/""), 4)"),"#REF!")</f>
        <v>#REF!</v>
      </c>
    </row>
    <row r="2367">
      <c r="A2367" s="1" t="s">
        <v>7179</v>
      </c>
      <c r="B2367" s="1" t="s">
        <v>7180</v>
      </c>
      <c r="C2367" s="1" t="s">
        <v>21</v>
      </c>
      <c r="D2367" s="4" t="s">
        <v>7181</v>
      </c>
      <c r="E2367" s="1" t="s">
        <v>7001</v>
      </c>
      <c r="F2367" s="1" t="s">
        <v>7001</v>
      </c>
      <c r="G2367" s="1" t="s">
        <v>7182</v>
      </c>
      <c r="H2367" s="1" t="s">
        <v>7183</v>
      </c>
      <c r="I2367" s="1" t="str">
        <f t="shared" si="1"/>
        <v>24</v>
      </c>
      <c r="J2367" s="5"/>
      <c r="K2367" s="1" t="str">
        <f t="shared" si="2"/>
        <v>9</v>
      </c>
      <c r="L2367" s="5"/>
      <c r="M2367" s="2" t="str">
        <f t="shared" si="3"/>
        <v>1398</v>
      </c>
      <c r="N2367" s="5"/>
      <c r="O2367" s="2">
        <v>1.0</v>
      </c>
      <c r="P2367" s="5"/>
      <c r="Q2367" s="5"/>
      <c r="R2367" s="6" t="s">
        <v>7183</v>
      </c>
      <c r="S2367" s="5"/>
      <c r="T2367" s="1" t="str">
        <f>IFERROR(__xludf.DUMMYFUNCTION("INDEX(SPLIT(A2367, ""/""), 2)"),"نشریات مستقل")</f>
        <v>نشریات مستقل</v>
      </c>
      <c r="U2367" s="1" t="str">
        <f>IFERROR(__xludf.DUMMYFUNCTION("INDEX(SPLIT(A2367, ""/""), 3)"),"دکوپاژ")</f>
        <v>دکوپاژ</v>
      </c>
      <c r="V2367" s="1" t="str">
        <f>IFERROR(__xludf.DUMMYFUNCTION("INDEX(SPLIT(A2367, ""/""), 4)"),"#REF!")</f>
        <v>#REF!</v>
      </c>
    </row>
    <row r="2368">
      <c r="A2368" s="1" t="s">
        <v>7179</v>
      </c>
      <c r="B2368" s="1" t="s">
        <v>7184</v>
      </c>
      <c r="C2368" s="1" t="s">
        <v>21</v>
      </c>
      <c r="D2368" s="4" t="s">
        <v>7185</v>
      </c>
      <c r="E2368" s="1" t="s">
        <v>7001</v>
      </c>
      <c r="F2368" s="1" t="s">
        <v>7186</v>
      </c>
      <c r="G2368" s="1" t="s">
        <v>7187</v>
      </c>
      <c r="H2368" s="7" t="s">
        <v>7188</v>
      </c>
      <c r="I2368" s="1" t="str">
        <f t="shared" si="1"/>
        <v>9</v>
      </c>
      <c r="J2368" s="5"/>
      <c r="K2368" s="1" t="str">
        <f t="shared" si="2"/>
        <v>10</v>
      </c>
      <c r="L2368" s="5"/>
      <c r="M2368" s="2" t="str">
        <f t="shared" si="3"/>
        <v>1398</v>
      </c>
      <c r="N2368" s="5"/>
      <c r="O2368" s="2">
        <v>2.0</v>
      </c>
      <c r="P2368" s="5"/>
      <c r="Q2368" s="5"/>
      <c r="R2368" s="8" t="s">
        <v>7188</v>
      </c>
      <c r="S2368" s="5"/>
      <c r="T2368" s="1" t="str">
        <f>IFERROR(__xludf.DUMMYFUNCTION("INDEX(SPLIT(A2368, ""/""), 2)"),"نشریات مستقل")</f>
        <v>نشریات مستقل</v>
      </c>
      <c r="U2368" s="1" t="str">
        <f>IFERROR(__xludf.DUMMYFUNCTION("INDEX(SPLIT(A2368, ""/""), 3)"),"دکوپاژ")</f>
        <v>دکوپاژ</v>
      </c>
      <c r="V2368" s="1" t="str">
        <f>IFERROR(__xludf.DUMMYFUNCTION("INDEX(SPLIT(A2368, ""/""), 4)"),"#REF!")</f>
        <v>#REF!</v>
      </c>
    </row>
    <row r="2369">
      <c r="A2369" s="1" t="s">
        <v>7179</v>
      </c>
      <c r="B2369" s="1" t="s">
        <v>7189</v>
      </c>
      <c r="C2369" s="1" t="s">
        <v>21</v>
      </c>
      <c r="D2369" s="4" t="s">
        <v>7190</v>
      </c>
      <c r="E2369" s="1" t="s">
        <v>7001</v>
      </c>
      <c r="F2369" s="1" t="s">
        <v>7001</v>
      </c>
      <c r="G2369" s="1" t="s">
        <v>7191</v>
      </c>
      <c r="H2369" s="1" t="s">
        <v>6349</v>
      </c>
      <c r="I2369" s="1" t="str">
        <f t="shared" si="1"/>
        <v>26</v>
      </c>
      <c r="J2369" s="5"/>
      <c r="K2369" s="1" t="str">
        <f t="shared" si="2"/>
        <v>11</v>
      </c>
      <c r="L2369" s="5"/>
      <c r="M2369" s="2" t="str">
        <f t="shared" si="3"/>
        <v>1398</v>
      </c>
      <c r="N2369" s="5"/>
      <c r="O2369" s="2">
        <v>3.0</v>
      </c>
      <c r="P2369" s="5"/>
      <c r="Q2369" s="5"/>
      <c r="R2369" s="6" t="s">
        <v>6349</v>
      </c>
      <c r="S2369" s="5"/>
      <c r="T2369" s="1" t="str">
        <f>IFERROR(__xludf.DUMMYFUNCTION("INDEX(SPLIT(A2369, ""/""), 2)"),"نشریات مستقل")</f>
        <v>نشریات مستقل</v>
      </c>
      <c r="U2369" s="1" t="str">
        <f>IFERROR(__xludf.DUMMYFUNCTION("INDEX(SPLIT(A2369, ""/""), 3)"),"دکوپاژ")</f>
        <v>دکوپاژ</v>
      </c>
      <c r="V2369" s="1" t="str">
        <f>IFERROR(__xludf.DUMMYFUNCTION("INDEX(SPLIT(A2369, ""/""), 4)"),"#REF!")</f>
        <v>#REF!</v>
      </c>
    </row>
    <row r="2370">
      <c r="A2370" s="1" t="s">
        <v>7179</v>
      </c>
      <c r="B2370" s="1" t="s">
        <v>7192</v>
      </c>
      <c r="C2370" s="1" t="s">
        <v>21</v>
      </c>
      <c r="D2370" s="4" t="s">
        <v>7193</v>
      </c>
      <c r="E2370" s="1" t="s">
        <v>7001</v>
      </c>
      <c r="F2370" s="1" t="s">
        <v>7001</v>
      </c>
      <c r="G2370" s="1" t="s">
        <v>7191</v>
      </c>
      <c r="H2370" s="1" t="s">
        <v>2088</v>
      </c>
      <c r="I2370" s="1" t="str">
        <f t="shared" si="1"/>
        <v>29</v>
      </c>
      <c r="J2370" s="5"/>
      <c r="K2370" s="1" t="str">
        <f t="shared" si="2"/>
        <v>11</v>
      </c>
      <c r="L2370" s="5"/>
      <c r="M2370" s="2" t="str">
        <f t="shared" si="3"/>
        <v>1398</v>
      </c>
      <c r="N2370" s="5"/>
      <c r="O2370" s="2" t="s">
        <v>7194</v>
      </c>
      <c r="P2370" s="5"/>
      <c r="Q2370" s="5"/>
      <c r="R2370" s="6" t="s">
        <v>2088</v>
      </c>
      <c r="S2370" s="5"/>
      <c r="T2370" s="1" t="str">
        <f>IFERROR(__xludf.DUMMYFUNCTION("INDEX(SPLIT(A2370, ""/""), 2)"),"نشریات مستقل")</f>
        <v>نشریات مستقل</v>
      </c>
      <c r="U2370" s="1" t="str">
        <f>IFERROR(__xludf.DUMMYFUNCTION("INDEX(SPLIT(A2370, ""/""), 3)"),"دکوپاژ")</f>
        <v>دکوپاژ</v>
      </c>
      <c r="V2370" s="1" t="str">
        <f>IFERROR(__xludf.DUMMYFUNCTION("INDEX(SPLIT(A2370, ""/""), 4)"),"#REF!")</f>
        <v>#REF!</v>
      </c>
    </row>
    <row r="2371">
      <c r="A2371" s="1" t="s">
        <v>7179</v>
      </c>
      <c r="B2371" s="1" t="s">
        <v>7195</v>
      </c>
      <c r="C2371" s="1" t="s">
        <v>21</v>
      </c>
      <c r="D2371" s="4" t="s">
        <v>7196</v>
      </c>
      <c r="E2371" s="1" t="s">
        <v>7001</v>
      </c>
      <c r="F2371" s="1" t="s">
        <v>7001</v>
      </c>
      <c r="G2371" s="1" t="s">
        <v>7191</v>
      </c>
      <c r="H2371" s="7" t="s">
        <v>7197</v>
      </c>
      <c r="I2371" s="1" t="str">
        <f t="shared" si="1"/>
        <v>7</v>
      </c>
      <c r="J2371" s="5"/>
      <c r="K2371" s="1" t="str">
        <f t="shared" si="2"/>
        <v>7</v>
      </c>
      <c r="L2371" s="5"/>
      <c r="M2371" s="2" t="str">
        <f t="shared" si="3"/>
        <v>1399</v>
      </c>
      <c r="N2371" s="5"/>
      <c r="O2371" s="2">
        <v>4.0</v>
      </c>
      <c r="P2371" s="5"/>
      <c r="Q2371" s="5"/>
      <c r="R2371" s="8" t="s">
        <v>7197</v>
      </c>
      <c r="S2371" s="5"/>
      <c r="T2371" s="1" t="str">
        <f>IFERROR(__xludf.DUMMYFUNCTION("INDEX(SPLIT(A2371, ""/""), 2)"),"نشریات مستقل")</f>
        <v>نشریات مستقل</v>
      </c>
      <c r="U2371" s="1" t="str">
        <f>IFERROR(__xludf.DUMMYFUNCTION("INDEX(SPLIT(A2371, ""/""), 3)"),"دکوپاژ")</f>
        <v>دکوپاژ</v>
      </c>
      <c r="V2371" s="1" t="str">
        <f>IFERROR(__xludf.DUMMYFUNCTION("INDEX(SPLIT(A2371, ""/""), 4)"),"#REF!")</f>
        <v>#REF!</v>
      </c>
    </row>
    <row r="2372">
      <c r="A2372" s="1" t="s">
        <v>7179</v>
      </c>
      <c r="B2372" s="1" t="s">
        <v>7198</v>
      </c>
      <c r="C2372" s="1" t="s">
        <v>21</v>
      </c>
      <c r="D2372" s="4" t="s">
        <v>7199</v>
      </c>
      <c r="E2372" s="1" t="s">
        <v>7001</v>
      </c>
      <c r="F2372" s="1" t="s">
        <v>7001</v>
      </c>
      <c r="G2372" s="1" t="s">
        <v>7191</v>
      </c>
      <c r="H2372" s="1" t="s">
        <v>26</v>
      </c>
      <c r="I2372" s="1" t="str">
        <f t="shared" si="1"/>
        <v>x</v>
      </c>
      <c r="J2372" s="5"/>
      <c r="K2372" s="1" t="str">
        <f t="shared" si="2"/>
        <v>7</v>
      </c>
      <c r="L2372" s="5"/>
      <c r="M2372" s="2" t="str">
        <f t="shared" si="3"/>
        <v>1399</v>
      </c>
      <c r="N2372" s="5"/>
      <c r="O2372" s="2" t="s">
        <v>7200</v>
      </c>
      <c r="P2372" s="5"/>
      <c r="Q2372" s="5"/>
      <c r="R2372" s="6" t="s">
        <v>27</v>
      </c>
      <c r="S2372" s="5"/>
      <c r="T2372" s="1" t="str">
        <f>IFERROR(__xludf.DUMMYFUNCTION("INDEX(SPLIT(A2372, ""/""), 2)"),"نشریات مستقل")</f>
        <v>نشریات مستقل</v>
      </c>
      <c r="U2372" s="1" t="str">
        <f>IFERROR(__xludf.DUMMYFUNCTION("INDEX(SPLIT(A2372, ""/""), 3)"),"دکوپاژ")</f>
        <v>دکوپاژ</v>
      </c>
      <c r="V2372" s="1" t="str">
        <f>IFERROR(__xludf.DUMMYFUNCTION("INDEX(SPLIT(A2372, ""/""), 4)"),"#REF!")</f>
        <v>#REF!</v>
      </c>
    </row>
    <row r="2373">
      <c r="A2373" s="1" t="s">
        <v>7179</v>
      </c>
      <c r="B2373" s="1" t="s">
        <v>7201</v>
      </c>
      <c r="C2373" s="1" t="s">
        <v>21</v>
      </c>
      <c r="D2373" s="4" t="s">
        <v>7202</v>
      </c>
      <c r="E2373" s="1" t="s">
        <v>7001</v>
      </c>
      <c r="F2373" s="1" t="s">
        <v>7001</v>
      </c>
      <c r="G2373" s="1" t="s">
        <v>7191</v>
      </c>
      <c r="H2373" s="1" t="s">
        <v>7203</v>
      </c>
      <c r="I2373" s="1" t="str">
        <f t="shared" si="1"/>
        <v>14</v>
      </c>
      <c r="J2373" s="5"/>
      <c r="K2373" s="1" t="str">
        <f t="shared" si="2"/>
        <v>3</v>
      </c>
      <c r="L2373" s="5"/>
      <c r="M2373" s="2" t="str">
        <f t="shared" si="3"/>
        <v>1400</v>
      </c>
      <c r="N2373" s="5"/>
      <c r="O2373" s="2">
        <v>5.0</v>
      </c>
      <c r="P2373" s="5"/>
      <c r="Q2373" s="5"/>
      <c r="R2373" s="6" t="s">
        <v>7203</v>
      </c>
      <c r="S2373" s="5"/>
      <c r="T2373" s="1" t="str">
        <f>IFERROR(__xludf.DUMMYFUNCTION("INDEX(SPLIT(A2373, ""/""), 2)"),"نشریات مستقل")</f>
        <v>نشریات مستقل</v>
      </c>
      <c r="U2373" s="1" t="str">
        <f>IFERROR(__xludf.DUMMYFUNCTION("INDEX(SPLIT(A2373, ""/""), 3)"),"دکوپاژ")</f>
        <v>دکوپاژ</v>
      </c>
      <c r="V2373" s="1" t="str">
        <f>IFERROR(__xludf.DUMMYFUNCTION("INDEX(SPLIT(A2373, ""/""), 4)"),"#REF!")</f>
        <v>#REF!</v>
      </c>
    </row>
    <row r="2374">
      <c r="A2374" s="1" t="s">
        <v>7179</v>
      </c>
      <c r="B2374" s="1" t="s">
        <v>7204</v>
      </c>
      <c r="C2374" s="1" t="s">
        <v>21</v>
      </c>
      <c r="D2374" s="4" t="s">
        <v>7205</v>
      </c>
      <c r="E2374" s="1" t="s">
        <v>7001</v>
      </c>
      <c r="F2374" s="1" t="s">
        <v>7001</v>
      </c>
      <c r="G2374" s="1" t="s">
        <v>7191</v>
      </c>
      <c r="H2374" s="1" t="s">
        <v>7203</v>
      </c>
      <c r="I2374" s="1" t="str">
        <f t="shared" si="1"/>
        <v>14</v>
      </c>
      <c r="J2374" s="5"/>
      <c r="K2374" s="1" t="str">
        <f t="shared" si="2"/>
        <v>3</v>
      </c>
      <c r="L2374" s="5"/>
      <c r="M2374" s="2" t="str">
        <f t="shared" si="3"/>
        <v>1400</v>
      </c>
      <c r="N2374" s="5"/>
      <c r="O2374" s="2" t="s">
        <v>7200</v>
      </c>
      <c r="P2374" s="5"/>
      <c r="Q2374" s="5"/>
      <c r="R2374" s="6" t="s">
        <v>7203</v>
      </c>
      <c r="S2374" s="5"/>
      <c r="T2374" s="1" t="str">
        <f>IFERROR(__xludf.DUMMYFUNCTION("INDEX(SPLIT(A2374, ""/""), 2)"),"نشریات مستقل")</f>
        <v>نشریات مستقل</v>
      </c>
      <c r="U2374" s="1" t="str">
        <f>IFERROR(__xludf.DUMMYFUNCTION("INDEX(SPLIT(A2374, ""/""), 3)"),"دکوپاژ")</f>
        <v>دکوپاژ</v>
      </c>
      <c r="V2374" s="1" t="str">
        <f>IFERROR(__xludf.DUMMYFUNCTION("INDEX(SPLIT(A2374, ""/""), 4)"),"#REF!")</f>
        <v>#REF!</v>
      </c>
    </row>
    <row r="2375">
      <c r="A2375" s="1" t="s">
        <v>7179</v>
      </c>
      <c r="B2375" s="1" t="s">
        <v>7206</v>
      </c>
      <c r="C2375" s="1" t="s">
        <v>21</v>
      </c>
      <c r="D2375" s="4" t="s">
        <v>7207</v>
      </c>
      <c r="E2375" s="1" t="s">
        <v>7001</v>
      </c>
      <c r="F2375" s="1" t="s">
        <v>7001</v>
      </c>
      <c r="G2375" s="1" t="s">
        <v>7208</v>
      </c>
      <c r="H2375" s="7" t="s">
        <v>7209</v>
      </c>
      <c r="I2375" s="1" t="str">
        <f t="shared" si="1"/>
        <v>6</v>
      </c>
      <c r="J2375" s="5"/>
      <c r="K2375" s="1" t="str">
        <f t="shared" si="2"/>
        <v>7</v>
      </c>
      <c r="L2375" s="5"/>
      <c r="M2375" s="2" t="str">
        <f t="shared" si="3"/>
        <v>1400</v>
      </c>
      <c r="N2375" s="5"/>
      <c r="O2375" s="2">
        <v>6.0</v>
      </c>
      <c r="P2375" s="5"/>
      <c r="Q2375" s="5"/>
      <c r="R2375" s="8" t="s">
        <v>7209</v>
      </c>
      <c r="S2375" s="5"/>
      <c r="T2375" s="1" t="str">
        <f>IFERROR(__xludf.DUMMYFUNCTION("INDEX(SPLIT(A2375, ""/""), 2)"),"نشریات مستقل")</f>
        <v>نشریات مستقل</v>
      </c>
      <c r="U2375" s="1" t="str">
        <f>IFERROR(__xludf.DUMMYFUNCTION("INDEX(SPLIT(A2375, ""/""), 3)"),"دکوپاژ")</f>
        <v>دکوپاژ</v>
      </c>
      <c r="V2375" s="1" t="str">
        <f>IFERROR(__xludf.DUMMYFUNCTION("INDEX(SPLIT(A2375, ""/""), 4)"),"#REF!")</f>
        <v>#REF!</v>
      </c>
    </row>
    <row r="2376">
      <c r="A2376" s="1" t="s">
        <v>7179</v>
      </c>
      <c r="B2376" s="1" t="s">
        <v>7210</v>
      </c>
      <c r="C2376" s="1" t="s">
        <v>21</v>
      </c>
      <c r="D2376" s="4" t="s">
        <v>7211</v>
      </c>
      <c r="E2376" s="1" t="s">
        <v>7001</v>
      </c>
      <c r="F2376" s="1" t="s">
        <v>7001</v>
      </c>
      <c r="G2376" s="1" t="s">
        <v>7208</v>
      </c>
      <c r="H2376" s="1" t="s">
        <v>414</v>
      </c>
      <c r="I2376" s="1" t="str">
        <f t="shared" si="1"/>
        <v>x</v>
      </c>
      <c r="J2376" s="5"/>
      <c r="K2376" s="1" t="str">
        <f t="shared" si="2"/>
        <v>9</v>
      </c>
      <c r="L2376" s="5"/>
      <c r="M2376" s="2" t="str">
        <f t="shared" si="3"/>
        <v>1400</v>
      </c>
      <c r="N2376" s="5"/>
      <c r="O2376" s="2">
        <v>7.0</v>
      </c>
      <c r="P2376" s="5"/>
      <c r="Q2376" s="5"/>
      <c r="R2376" s="6" t="s">
        <v>415</v>
      </c>
      <c r="S2376" s="5"/>
      <c r="T2376" s="1" t="str">
        <f>IFERROR(__xludf.DUMMYFUNCTION("INDEX(SPLIT(A2376, ""/""), 2)"),"نشریات مستقل")</f>
        <v>نشریات مستقل</v>
      </c>
      <c r="U2376" s="1" t="str">
        <f>IFERROR(__xludf.DUMMYFUNCTION("INDEX(SPLIT(A2376, ""/""), 3)"),"دکوپاژ")</f>
        <v>دکوپاژ</v>
      </c>
      <c r="V2376" s="1" t="str">
        <f>IFERROR(__xludf.DUMMYFUNCTION("INDEX(SPLIT(A2376, ""/""), 4)"),"#REF!")</f>
        <v>#REF!</v>
      </c>
    </row>
    <row r="2377">
      <c r="A2377" s="1" t="s">
        <v>7179</v>
      </c>
      <c r="B2377" s="1" t="s">
        <v>7212</v>
      </c>
      <c r="C2377" s="1" t="s">
        <v>21</v>
      </c>
      <c r="D2377" s="4" t="s">
        <v>7213</v>
      </c>
      <c r="E2377" s="1" t="s">
        <v>7001</v>
      </c>
      <c r="F2377" s="1" t="s">
        <v>7001</v>
      </c>
      <c r="G2377" s="1" t="s">
        <v>7214</v>
      </c>
      <c r="H2377" s="1" t="s">
        <v>1435</v>
      </c>
      <c r="I2377" s="1" t="str">
        <f t="shared" si="1"/>
        <v>x</v>
      </c>
      <c r="J2377" s="5"/>
      <c r="K2377" s="1" t="str">
        <f t="shared" si="2"/>
        <v>6</v>
      </c>
      <c r="L2377" s="5"/>
      <c r="M2377" s="2" t="str">
        <f t="shared" si="3"/>
        <v>1400</v>
      </c>
      <c r="N2377" s="5"/>
      <c r="O2377" s="2">
        <v>8.0</v>
      </c>
      <c r="P2377" s="5"/>
      <c r="Q2377" s="5"/>
      <c r="R2377" s="6" t="s">
        <v>1436</v>
      </c>
      <c r="S2377" s="5"/>
      <c r="T2377" s="1" t="str">
        <f>IFERROR(__xludf.DUMMYFUNCTION("INDEX(SPLIT(A2377, ""/""), 2)"),"نشریات مستقل")</f>
        <v>نشریات مستقل</v>
      </c>
      <c r="U2377" s="1" t="str">
        <f>IFERROR(__xludf.DUMMYFUNCTION("INDEX(SPLIT(A2377, ""/""), 3)"),"دکوپاژ")</f>
        <v>دکوپاژ</v>
      </c>
      <c r="V2377" s="1" t="str">
        <f>IFERROR(__xludf.DUMMYFUNCTION("INDEX(SPLIT(A2377, ""/""), 4)"),"#REF!")</f>
        <v>#REF!</v>
      </c>
    </row>
    <row r="2378">
      <c r="A2378" s="1" t="s">
        <v>7179</v>
      </c>
      <c r="B2378" s="1" t="s">
        <v>7215</v>
      </c>
      <c r="C2378" s="1" t="s">
        <v>21</v>
      </c>
      <c r="D2378" s="4" t="s">
        <v>7216</v>
      </c>
      <c r="E2378" s="1" t="s">
        <v>7217</v>
      </c>
      <c r="F2378" s="1" t="s">
        <v>7217</v>
      </c>
      <c r="G2378" s="1" t="s">
        <v>7218</v>
      </c>
      <c r="H2378" s="7" t="s">
        <v>7219</v>
      </c>
      <c r="I2378" s="1" t="str">
        <f t="shared" si="1"/>
        <v>9</v>
      </c>
      <c r="J2378" s="5"/>
      <c r="K2378" s="1" t="str">
        <f t="shared" si="2"/>
        <v>7</v>
      </c>
      <c r="L2378" s="5"/>
      <c r="M2378" s="2" t="str">
        <f t="shared" si="3"/>
        <v>1402</v>
      </c>
      <c r="N2378" s="5"/>
      <c r="O2378" s="2">
        <v>9.0</v>
      </c>
      <c r="P2378" s="5"/>
      <c r="Q2378" s="5"/>
      <c r="R2378" s="8" t="s">
        <v>7219</v>
      </c>
      <c r="S2378" s="5"/>
      <c r="T2378" s="1" t="str">
        <f>IFERROR(__xludf.DUMMYFUNCTION("INDEX(SPLIT(A2378, ""/""), 2)"),"نشریات مستقل")</f>
        <v>نشریات مستقل</v>
      </c>
      <c r="U2378" s="1" t="str">
        <f>IFERROR(__xludf.DUMMYFUNCTION("INDEX(SPLIT(A2378, ""/""), 3)"),"دکوپاژ")</f>
        <v>دکوپاژ</v>
      </c>
      <c r="V2378" s="1" t="str">
        <f>IFERROR(__xludf.DUMMYFUNCTION("INDEX(SPLIT(A2378, ""/""), 4)"),"#REF!")</f>
        <v>#REF!</v>
      </c>
    </row>
    <row r="2379">
      <c r="A2379" s="1" t="s">
        <v>7220</v>
      </c>
      <c r="B2379" s="1" t="s">
        <v>7221</v>
      </c>
      <c r="C2379" s="1" t="s">
        <v>21</v>
      </c>
      <c r="D2379" s="4" t="s">
        <v>7222</v>
      </c>
      <c r="E2379" s="1" t="s">
        <v>1489</v>
      </c>
      <c r="F2379" s="1" t="s">
        <v>1489</v>
      </c>
      <c r="G2379" s="1" t="s">
        <v>791</v>
      </c>
      <c r="H2379" s="1" t="s">
        <v>383</v>
      </c>
      <c r="I2379" s="1" t="str">
        <f t="shared" si="1"/>
        <v>x</v>
      </c>
      <c r="J2379" s="5"/>
      <c r="K2379" s="1" t="str">
        <f t="shared" si="2"/>
        <v>6</v>
      </c>
      <c r="L2379" s="5"/>
      <c r="M2379" s="2" t="str">
        <f t="shared" si="3"/>
        <v>1399</v>
      </c>
      <c r="N2379" s="1"/>
      <c r="O2379" s="1">
        <v>1.0</v>
      </c>
      <c r="P2379" s="5"/>
      <c r="Q2379" s="5"/>
      <c r="R2379" s="6" t="s">
        <v>384</v>
      </c>
      <c r="S2379" s="5"/>
      <c r="T2379" s="1" t="str">
        <f>IFERROR(__xludf.DUMMYFUNCTION("INDEX(SPLIT(A2379, ""/""), 2)"),"نشریات مستقل")</f>
        <v>نشریات مستقل</v>
      </c>
      <c r="U2379" s="1" t="str">
        <f>IFERROR(__xludf.DUMMYFUNCTION("INDEX(SPLIT(A2379, ""/""), 3)"),"دگر")</f>
        <v>دگر</v>
      </c>
      <c r="V2379" s="1" t="str">
        <f>IFERROR(__xludf.DUMMYFUNCTION("INDEX(SPLIT(A2379, ""/""), 4)"),"#REF!")</f>
        <v>#REF!</v>
      </c>
    </row>
    <row r="2380">
      <c r="A2380" s="1" t="s">
        <v>7220</v>
      </c>
      <c r="B2380" s="1" t="s">
        <v>7223</v>
      </c>
      <c r="C2380" s="1" t="s">
        <v>21</v>
      </c>
      <c r="D2380" s="4" t="s">
        <v>7224</v>
      </c>
      <c r="E2380" s="1" t="s">
        <v>1489</v>
      </c>
      <c r="F2380" s="1" t="s">
        <v>1489</v>
      </c>
      <c r="G2380" s="1" t="s">
        <v>791</v>
      </c>
      <c r="H2380" s="1" t="s">
        <v>129</v>
      </c>
      <c r="I2380" s="1" t="str">
        <f t="shared" si="1"/>
        <v>x</v>
      </c>
      <c r="J2380" s="5"/>
      <c r="K2380" s="1" t="str">
        <f t="shared" si="2"/>
        <v>11</v>
      </c>
      <c r="L2380" s="5"/>
      <c r="M2380" s="2" t="str">
        <f t="shared" si="3"/>
        <v>1399</v>
      </c>
      <c r="N2380" s="1"/>
      <c r="O2380" s="1">
        <v>2.0</v>
      </c>
      <c r="P2380" s="5"/>
      <c r="Q2380" s="5"/>
      <c r="R2380" s="6" t="s">
        <v>130</v>
      </c>
      <c r="S2380" s="5"/>
      <c r="T2380" s="1" t="str">
        <f>IFERROR(__xludf.DUMMYFUNCTION("INDEX(SPLIT(A2380, ""/""), 2)"),"نشریات مستقل")</f>
        <v>نشریات مستقل</v>
      </c>
      <c r="U2380" s="1" t="str">
        <f>IFERROR(__xludf.DUMMYFUNCTION("INDEX(SPLIT(A2380, ""/""), 3)"),"دگر")</f>
        <v>دگر</v>
      </c>
      <c r="V2380" s="1" t="str">
        <f>IFERROR(__xludf.DUMMYFUNCTION("INDEX(SPLIT(A2380, ""/""), 4)"),"#REF!")</f>
        <v>#REF!</v>
      </c>
    </row>
    <row r="2381">
      <c r="A2381" s="1" t="s">
        <v>7220</v>
      </c>
      <c r="B2381" s="1" t="s">
        <v>7225</v>
      </c>
      <c r="C2381" s="1" t="s">
        <v>21</v>
      </c>
      <c r="D2381" s="4" t="s">
        <v>7226</v>
      </c>
      <c r="E2381" s="1" t="s">
        <v>1489</v>
      </c>
      <c r="F2381" s="1" t="s">
        <v>1489</v>
      </c>
      <c r="G2381" s="1" t="s">
        <v>7227</v>
      </c>
      <c r="H2381" s="1" t="s">
        <v>138</v>
      </c>
      <c r="I2381" s="1" t="str">
        <f t="shared" si="1"/>
        <v>x</v>
      </c>
      <c r="J2381" s="5"/>
      <c r="K2381" s="1" t="str">
        <f t="shared" si="2"/>
        <v>8</v>
      </c>
      <c r="L2381" s="5"/>
      <c r="M2381" s="2" t="str">
        <f t="shared" si="3"/>
        <v>1400</v>
      </c>
      <c r="N2381" s="1"/>
      <c r="O2381" s="1">
        <v>3.0</v>
      </c>
      <c r="P2381" s="5"/>
      <c r="Q2381" s="5"/>
      <c r="R2381" s="6" t="s">
        <v>139</v>
      </c>
      <c r="S2381" s="5"/>
      <c r="T2381" s="1" t="str">
        <f>IFERROR(__xludf.DUMMYFUNCTION("INDEX(SPLIT(A2381, ""/""), 2)"),"نشریات مستقل")</f>
        <v>نشریات مستقل</v>
      </c>
      <c r="U2381" s="1" t="str">
        <f>IFERROR(__xludf.DUMMYFUNCTION("INDEX(SPLIT(A2381, ""/""), 3)"),"دگر")</f>
        <v>دگر</v>
      </c>
      <c r="V2381" s="1" t="str">
        <f>IFERROR(__xludf.DUMMYFUNCTION("INDEX(SPLIT(A2381, ""/""), 4)"),"#REF!")</f>
        <v>#REF!</v>
      </c>
    </row>
    <row r="2382">
      <c r="A2382" s="1" t="s">
        <v>7228</v>
      </c>
      <c r="B2382" s="1" t="s">
        <v>7229</v>
      </c>
      <c r="C2382" s="1" t="s">
        <v>21</v>
      </c>
      <c r="D2382" s="4" t="s">
        <v>7230</v>
      </c>
      <c r="E2382" s="1" t="s">
        <v>71</v>
      </c>
      <c r="F2382" s="1" t="s">
        <v>7231</v>
      </c>
      <c r="G2382" s="1" t="s">
        <v>7232</v>
      </c>
      <c r="H2382" s="1" t="s">
        <v>1065</v>
      </c>
      <c r="I2382" s="1" t="str">
        <f t="shared" si="1"/>
        <v>24</v>
      </c>
      <c r="J2382" s="5"/>
      <c r="K2382" s="1" t="str">
        <f t="shared" si="2"/>
        <v>1</v>
      </c>
      <c r="L2382" s="5"/>
      <c r="M2382" s="2" t="str">
        <f t="shared" si="3"/>
        <v>1388</v>
      </c>
      <c r="N2382" s="5"/>
      <c r="O2382" s="2">
        <v>1.0</v>
      </c>
      <c r="P2382" s="5"/>
      <c r="Q2382" s="5"/>
      <c r="R2382" s="6" t="s">
        <v>1065</v>
      </c>
      <c r="S2382" s="5"/>
      <c r="T2382" s="1" t="str">
        <f>IFERROR(__xludf.DUMMYFUNCTION("INDEX(SPLIT(A2382, ""/""), 2)"),"نشریات مستقل")</f>
        <v>نشریات مستقل</v>
      </c>
      <c r="U2382" s="1" t="str">
        <f>IFERROR(__xludf.DUMMYFUNCTION("INDEX(SPLIT(A2382, ""/""), 3)"),"راه نو")</f>
        <v>راه نو</v>
      </c>
      <c r="V2382" s="1" t="str">
        <f>IFERROR(__xludf.DUMMYFUNCTION("INDEX(SPLIT(A2382, ""/""), 4)"),"#REF!")</f>
        <v>#REF!</v>
      </c>
    </row>
    <row r="2383">
      <c r="A2383" s="1" t="s">
        <v>7228</v>
      </c>
      <c r="B2383" s="1" t="s">
        <v>7233</v>
      </c>
      <c r="C2383" s="1" t="s">
        <v>21</v>
      </c>
      <c r="D2383" s="4" t="s">
        <v>7234</v>
      </c>
      <c r="E2383" s="1" t="s">
        <v>71</v>
      </c>
      <c r="F2383" s="1" t="s">
        <v>7231</v>
      </c>
      <c r="G2383" s="1" t="s">
        <v>7232</v>
      </c>
      <c r="H2383" s="1" t="s">
        <v>5293</v>
      </c>
      <c r="I2383" s="1" t="str">
        <f t="shared" si="1"/>
        <v>29</v>
      </c>
      <c r="J2383" s="5"/>
      <c r="K2383" s="1" t="str">
        <f t="shared" si="2"/>
        <v>1</v>
      </c>
      <c r="L2383" s="5"/>
      <c r="M2383" s="2" t="str">
        <f t="shared" si="3"/>
        <v>1388</v>
      </c>
      <c r="N2383" s="5"/>
      <c r="O2383" s="2">
        <v>2.0</v>
      </c>
      <c r="P2383" s="5"/>
      <c r="Q2383" s="5"/>
      <c r="R2383" s="6" t="s">
        <v>5293</v>
      </c>
      <c r="S2383" s="5"/>
      <c r="T2383" s="1" t="str">
        <f>IFERROR(__xludf.DUMMYFUNCTION("INDEX(SPLIT(A2383, ""/""), 2)"),"نشریات مستقل")</f>
        <v>نشریات مستقل</v>
      </c>
      <c r="U2383" s="1" t="str">
        <f>IFERROR(__xludf.DUMMYFUNCTION("INDEX(SPLIT(A2383, ""/""), 3)"),"راه نو")</f>
        <v>راه نو</v>
      </c>
      <c r="V2383" s="1" t="str">
        <f>IFERROR(__xludf.DUMMYFUNCTION("INDEX(SPLIT(A2383, ""/""), 4)"),"#REF!")</f>
        <v>#REF!</v>
      </c>
    </row>
    <row r="2384">
      <c r="A2384" s="1" t="s">
        <v>7228</v>
      </c>
      <c r="B2384" s="1" t="s">
        <v>7235</v>
      </c>
      <c r="C2384" s="1" t="s">
        <v>21</v>
      </c>
      <c r="D2384" s="4" t="s">
        <v>7236</v>
      </c>
      <c r="E2384" s="1" t="s">
        <v>71</v>
      </c>
      <c r="F2384" s="1" t="s">
        <v>7231</v>
      </c>
      <c r="G2384" s="1" t="s">
        <v>7232</v>
      </c>
      <c r="H2384" s="7" t="s">
        <v>1068</v>
      </c>
      <c r="I2384" s="1" t="str">
        <f t="shared" si="1"/>
        <v>1</v>
      </c>
      <c r="J2384" s="5"/>
      <c r="K2384" s="1" t="str">
        <f t="shared" si="2"/>
        <v>2</v>
      </c>
      <c r="L2384" s="5"/>
      <c r="M2384" s="2" t="str">
        <f t="shared" si="3"/>
        <v>1388</v>
      </c>
      <c r="N2384" s="5"/>
      <c r="O2384" s="2">
        <v>3.0</v>
      </c>
      <c r="P2384" s="5"/>
      <c r="Q2384" s="5"/>
      <c r="R2384" s="8" t="s">
        <v>1068</v>
      </c>
      <c r="S2384" s="5"/>
      <c r="T2384" s="1" t="str">
        <f>IFERROR(__xludf.DUMMYFUNCTION("INDEX(SPLIT(A2384, ""/""), 2)"),"نشریات مستقل")</f>
        <v>نشریات مستقل</v>
      </c>
      <c r="U2384" s="1" t="str">
        <f>IFERROR(__xludf.DUMMYFUNCTION("INDEX(SPLIT(A2384, ""/""), 3)"),"راه نو")</f>
        <v>راه نو</v>
      </c>
      <c r="V2384" s="1" t="str">
        <f>IFERROR(__xludf.DUMMYFUNCTION("INDEX(SPLIT(A2384, ""/""), 4)"),"#REF!")</f>
        <v>#REF!</v>
      </c>
    </row>
    <row r="2385">
      <c r="A2385" s="1" t="s">
        <v>7228</v>
      </c>
      <c r="B2385" s="1" t="s">
        <v>7237</v>
      </c>
      <c r="C2385" s="1" t="s">
        <v>21</v>
      </c>
      <c r="D2385" s="4" t="s">
        <v>7238</v>
      </c>
      <c r="E2385" s="1" t="s">
        <v>71</v>
      </c>
      <c r="F2385" s="1" t="s">
        <v>7231</v>
      </c>
      <c r="G2385" s="1" t="s">
        <v>7232</v>
      </c>
      <c r="H2385" s="7" t="s">
        <v>5298</v>
      </c>
      <c r="I2385" s="1" t="str">
        <f t="shared" si="1"/>
        <v>5</v>
      </c>
      <c r="J2385" s="5"/>
      <c r="K2385" s="1" t="str">
        <f t="shared" si="2"/>
        <v>2</v>
      </c>
      <c r="L2385" s="5"/>
      <c r="M2385" s="2" t="str">
        <f t="shared" si="3"/>
        <v>1388</v>
      </c>
      <c r="N2385" s="5"/>
      <c r="O2385" s="2">
        <v>4.0</v>
      </c>
      <c r="P2385" s="5"/>
      <c r="Q2385" s="5"/>
      <c r="R2385" s="8" t="s">
        <v>5298</v>
      </c>
      <c r="S2385" s="5"/>
      <c r="T2385" s="1" t="str">
        <f>IFERROR(__xludf.DUMMYFUNCTION("INDEX(SPLIT(A2385, ""/""), 2)"),"نشریات مستقل")</f>
        <v>نشریات مستقل</v>
      </c>
      <c r="U2385" s="1" t="str">
        <f>IFERROR(__xludf.DUMMYFUNCTION("INDEX(SPLIT(A2385, ""/""), 3)"),"راه نو")</f>
        <v>راه نو</v>
      </c>
      <c r="V2385" s="1" t="str">
        <f>IFERROR(__xludf.DUMMYFUNCTION("INDEX(SPLIT(A2385, ""/""), 4)"),"#REF!")</f>
        <v>#REF!</v>
      </c>
    </row>
    <row r="2386">
      <c r="A2386" s="1" t="s">
        <v>7228</v>
      </c>
      <c r="B2386" s="1" t="s">
        <v>7239</v>
      </c>
      <c r="C2386" s="1" t="s">
        <v>21</v>
      </c>
      <c r="D2386" s="4" t="s">
        <v>7240</v>
      </c>
      <c r="E2386" s="1" t="s">
        <v>71</v>
      </c>
      <c r="F2386" s="1" t="s">
        <v>7231</v>
      </c>
      <c r="G2386" s="1" t="s">
        <v>7232</v>
      </c>
      <c r="H2386" s="7" t="s">
        <v>5301</v>
      </c>
      <c r="I2386" s="1" t="str">
        <f t="shared" si="1"/>
        <v>8</v>
      </c>
      <c r="J2386" s="5"/>
      <c r="K2386" s="1" t="str">
        <f t="shared" si="2"/>
        <v>2</v>
      </c>
      <c r="L2386" s="5"/>
      <c r="M2386" s="2" t="str">
        <f t="shared" si="3"/>
        <v>1388</v>
      </c>
      <c r="N2386" s="5"/>
      <c r="O2386" s="2">
        <v>5.0</v>
      </c>
      <c r="P2386" s="5"/>
      <c r="Q2386" s="5"/>
      <c r="R2386" s="8" t="s">
        <v>5301</v>
      </c>
      <c r="S2386" s="5"/>
      <c r="T2386" s="1" t="str">
        <f>IFERROR(__xludf.DUMMYFUNCTION("INDEX(SPLIT(A2386, ""/""), 2)"),"نشریات مستقل")</f>
        <v>نشریات مستقل</v>
      </c>
      <c r="U2386" s="1" t="str">
        <f>IFERROR(__xludf.DUMMYFUNCTION("INDEX(SPLIT(A2386, ""/""), 3)"),"راه نو")</f>
        <v>راه نو</v>
      </c>
      <c r="V2386" s="1" t="str">
        <f>IFERROR(__xludf.DUMMYFUNCTION("INDEX(SPLIT(A2386, ""/""), 4)"),"#REF!")</f>
        <v>#REF!</v>
      </c>
    </row>
    <row r="2387">
      <c r="A2387" s="1" t="s">
        <v>7228</v>
      </c>
      <c r="B2387" s="1" t="s">
        <v>7241</v>
      </c>
      <c r="C2387" s="1" t="s">
        <v>21</v>
      </c>
      <c r="D2387" s="4" t="s">
        <v>7242</v>
      </c>
      <c r="E2387" s="1" t="s">
        <v>71</v>
      </c>
      <c r="F2387" s="1" t="s">
        <v>7231</v>
      </c>
      <c r="G2387" s="1" t="s">
        <v>7232</v>
      </c>
      <c r="H2387" s="1" t="s">
        <v>1628</v>
      </c>
      <c r="I2387" s="1" t="str">
        <f t="shared" si="1"/>
        <v>15</v>
      </c>
      <c r="J2387" s="5"/>
      <c r="K2387" s="1" t="str">
        <f t="shared" si="2"/>
        <v>2</v>
      </c>
      <c r="L2387" s="5"/>
      <c r="M2387" s="2" t="str">
        <f t="shared" si="3"/>
        <v>1388</v>
      </c>
      <c r="N2387" s="5"/>
      <c r="O2387" s="2">
        <v>6.0</v>
      </c>
      <c r="P2387" s="5"/>
      <c r="Q2387" s="5"/>
      <c r="R2387" s="6" t="s">
        <v>1628</v>
      </c>
      <c r="S2387" s="5"/>
      <c r="T2387" s="1" t="str">
        <f>IFERROR(__xludf.DUMMYFUNCTION("INDEX(SPLIT(A2387, ""/""), 2)"),"نشریات مستقل")</f>
        <v>نشریات مستقل</v>
      </c>
      <c r="U2387" s="1" t="str">
        <f>IFERROR(__xludf.DUMMYFUNCTION("INDEX(SPLIT(A2387, ""/""), 3)"),"راه نو")</f>
        <v>راه نو</v>
      </c>
      <c r="V2387" s="1" t="str">
        <f>IFERROR(__xludf.DUMMYFUNCTION("INDEX(SPLIT(A2387, ""/""), 4)"),"#REF!")</f>
        <v>#REF!</v>
      </c>
    </row>
    <row r="2388">
      <c r="A2388" s="1" t="s">
        <v>7228</v>
      </c>
      <c r="B2388" s="1" t="s">
        <v>7243</v>
      </c>
      <c r="C2388" s="1" t="s">
        <v>21</v>
      </c>
      <c r="D2388" s="4" t="s">
        <v>7244</v>
      </c>
      <c r="E2388" s="1" t="s">
        <v>71</v>
      </c>
      <c r="F2388" s="1" t="s">
        <v>7231</v>
      </c>
      <c r="G2388" s="1" t="s">
        <v>7232</v>
      </c>
      <c r="H2388" s="1" t="s">
        <v>1628</v>
      </c>
      <c r="I2388" s="1" t="str">
        <f t="shared" si="1"/>
        <v>15</v>
      </c>
      <c r="J2388" s="5"/>
      <c r="K2388" s="1" t="str">
        <f t="shared" si="2"/>
        <v>2</v>
      </c>
      <c r="L2388" s="5"/>
      <c r="M2388" s="2" t="str">
        <f t="shared" si="3"/>
        <v>1388</v>
      </c>
      <c r="N2388" s="5"/>
      <c r="O2388" s="2">
        <v>7.0</v>
      </c>
      <c r="P2388" s="5"/>
      <c r="Q2388" s="5"/>
      <c r="R2388" s="6" t="s">
        <v>1628</v>
      </c>
      <c r="S2388" s="5"/>
      <c r="T2388" s="1" t="str">
        <f>IFERROR(__xludf.DUMMYFUNCTION("INDEX(SPLIT(A2388, ""/""), 2)"),"نشریات مستقل")</f>
        <v>نشریات مستقل</v>
      </c>
      <c r="U2388" s="1" t="str">
        <f>IFERROR(__xludf.DUMMYFUNCTION("INDEX(SPLIT(A2388, ""/""), 3)"),"راه نو")</f>
        <v>راه نو</v>
      </c>
      <c r="V2388" s="1" t="str">
        <f>IFERROR(__xludf.DUMMYFUNCTION("INDEX(SPLIT(A2388, ""/""), 4)"),"#REF!")</f>
        <v>#REF!</v>
      </c>
    </row>
    <row r="2389">
      <c r="A2389" s="1" t="s">
        <v>7228</v>
      </c>
      <c r="B2389" s="1" t="s">
        <v>7245</v>
      </c>
      <c r="C2389" s="1" t="s">
        <v>21</v>
      </c>
      <c r="D2389" s="4" t="s">
        <v>7246</v>
      </c>
      <c r="E2389" s="1" t="s">
        <v>71</v>
      </c>
      <c r="F2389" s="1" t="s">
        <v>7231</v>
      </c>
      <c r="G2389" s="1" t="s">
        <v>7232</v>
      </c>
      <c r="H2389" s="1" t="s">
        <v>5312</v>
      </c>
      <c r="I2389" s="1" t="str">
        <f t="shared" si="1"/>
        <v>22</v>
      </c>
      <c r="J2389" s="5"/>
      <c r="K2389" s="1" t="str">
        <f t="shared" si="2"/>
        <v>2</v>
      </c>
      <c r="L2389" s="5"/>
      <c r="M2389" s="2" t="str">
        <f t="shared" si="3"/>
        <v>1388</v>
      </c>
      <c r="N2389" s="5"/>
      <c r="O2389" s="2">
        <v>8.0</v>
      </c>
      <c r="P2389" s="5"/>
      <c r="Q2389" s="5"/>
      <c r="R2389" s="6" t="s">
        <v>5312</v>
      </c>
      <c r="S2389" s="5"/>
      <c r="T2389" s="1" t="str">
        <f>IFERROR(__xludf.DUMMYFUNCTION("INDEX(SPLIT(A2389, ""/""), 2)"),"نشریات مستقل")</f>
        <v>نشریات مستقل</v>
      </c>
      <c r="U2389" s="1" t="str">
        <f>IFERROR(__xludf.DUMMYFUNCTION("INDEX(SPLIT(A2389, ""/""), 3)"),"راه نو")</f>
        <v>راه نو</v>
      </c>
      <c r="V2389" s="1" t="str">
        <f>IFERROR(__xludf.DUMMYFUNCTION("INDEX(SPLIT(A2389, ""/""), 4)"),"#REF!")</f>
        <v>#REF!</v>
      </c>
    </row>
    <row r="2390">
      <c r="A2390" s="1" t="s">
        <v>7228</v>
      </c>
      <c r="B2390" s="1" t="s">
        <v>7247</v>
      </c>
      <c r="C2390" s="1" t="s">
        <v>21</v>
      </c>
      <c r="D2390" s="4" t="s">
        <v>7248</v>
      </c>
      <c r="E2390" s="1" t="s">
        <v>71</v>
      </c>
      <c r="F2390" s="1" t="s">
        <v>7231</v>
      </c>
      <c r="G2390" s="1" t="s">
        <v>7232</v>
      </c>
      <c r="H2390" s="1" t="s">
        <v>7249</v>
      </c>
      <c r="I2390" s="1" t="str">
        <f t="shared" si="1"/>
        <v>27</v>
      </c>
      <c r="J2390" s="5"/>
      <c r="K2390" s="1" t="str">
        <f t="shared" si="2"/>
        <v>2</v>
      </c>
      <c r="L2390" s="5"/>
      <c r="M2390" s="2" t="str">
        <f t="shared" si="3"/>
        <v>1388</v>
      </c>
      <c r="N2390" s="5"/>
      <c r="O2390" s="2">
        <v>9.0</v>
      </c>
      <c r="P2390" s="5"/>
      <c r="Q2390" s="5"/>
      <c r="R2390" s="6" t="s">
        <v>7249</v>
      </c>
      <c r="S2390" s="5"/>
      <c r="T2390" s="1" t="str">
        <f>IFERROR(__xludf.DUMMYFUNCTION("INDEX(SPLIT(A2390, ""/""), 2)"),"نشریات مستقل")</f>
        <v>نشریات مستقل</v>
      </c>
      <c r="U2390" s="1" t="str">
        <f>IFERROR(__xludf.DUMMYFUNCTION("INDEX(SPLIT(A2390, ""/""), 3)"),"راه نو")</f>
        <v>راه نو</v>
      </c>
      <c r="V2390" s="1" t="str">
        <f>IFERROR(__xludf.DUMMYFUNCTION("INDEX(SPLIT(A2390, ""/""), 4)"),"#REF!")</f>
        <v>#REF!</v>
      </c>
    </row>
    <row r="2391">
      <c r="A2391" s="1" t="s">
        <v>7228</v>
      </c>
      <c r="B2391" s="1" t="s">
        <v>7250</v>
      </c>
      <c r="C2391" s="1" t="s">
        <v>21</v>
      </c>
      <c r="D2391" s="4" t="s">
        <v>7251</v>
      </c>
      <c r="E2391" s="1" t="s">
        <v>71</v>
      </c>
      <c r="F2391" s="1" t="s">
        <v>7231</v>
      </c>
      <c r="G2391" s="1" t="s">
        <v>7232</v>
      </c>
      <c r="H2391" s="1" t="s">
        <v>7249</v>
      </c>
      <c r="I2391" s="1" t="str">
        <f t="shared" si="1"/>
        <v>27</v>
      </c>
      <c r="J2391" s="5"/>
      <c r="K2391" s="1" t="str">
        <f t="shared" si="2"/>
        <v>2</v>
      </c>
      <c r="L2391" s="5"/>
      <c r="M2391" s="2" t="str">
        <f t="shared" si="3"/>
        <v>1388</v>
      </c>
      <c r="N2391" s="5"/>
      <c r="O2391" s="2">
        <v>9.0</v>
      </c>
      <c r="P2391" s="5"/>
      <c r="Q2391" s="5"/>
      <c r="R2391" s="6" t="s">
        <v>7249</v>
      </c>
      <c r="S2391" s="5"/>
      <c r="T2391" s="1" t="str">
        <f>IFERROR(__xludf.DUMMYFUNCTION("INDEX(SPLIT(A2391, ""/""), 2)"),"نشریات مستقل")</f>
        <v>نشریات مستقل</v>
      </c>
      <c r="U2391" s="1" t="str">
        <f>IFERROR(__xludf.DUMMYFUNCTION("INDEX(SPLIT(A2391, ""/""), 3)"),"راه نو")</f>
        <v>راه نو</v>
      </c>
      <c r="V2391" s="1" t="str">
        <f>IFERROR(__xludf.DUMMYFUNCTION("INDEX(SPLIT(A2391, ""/""), 4)"),"#REF!")</f>
        <v>#REF!</v>
      </c>
    </row>
    <row r="2392">
      <c r="A2392" s="1" t="s">
        <v>7228</v>
      </c>
      <c r="B2392" s="1" t="s">
        <v>7252</v>
      </c>
      <c r="C2392" s="1" t="s">
        <v>21</v>
      </c>
      <c r="D2392" s="4" t="s">
        <v>7253</v>
      </c>
      <c r="E2392" s="1" t="s">
        <v>71</v>
      </c>
      <c r="F2392" s="1" t="s">
        <v>7231</v>
      </c>
      <c r="G2392" s="1" t="s">
        <v>7232</v>
      </c>
      <c r="H2392" s="7" t="s">
        <v>7254</v>
      </c>
      <c r="I2392" s="1" t="str">
        <f t="shared" si="1"/>
        <v>3</v>
      </c>
      <c r="J2392" s="5"/>
      <c r="K2392" s="1" t="str">
        <f t="shared" si="2"/>
        <v>3</v>
      </c>
      <c r="L2392" s="5"/>
      <c r="M2392" s="2" t="str">
        <f t="shared" si="3"/>
        <v>1388</v>
      </c>
      <c r="N2392" s="5"/>
      <c r="O2392" s="2">
        <v>10.0</v>
      </c>
      <c r="P2392" s="5"/>
      <c r="Q2392" s="5"/>
      <c r="R2392" s="8" t="s">
        <v>7254</v>
      </c>
      <c r="S2392" s="5"/>
      <c r="T2392" s="1" t="str">
        <f>IFERROR(__xludf.DUMMYFUNCTION("INDEX(SPLIT(A2392, ""/""), 2)"),"نشریات مستقل")</f>
        <v>نشریات مستقل</v>
      </c>
      <c r="U2392" s="1" t="str">
        <f>IFERROR(__xludf.DUMMYFUNCTION("INDEX(SPLIT(A2392, ""/""), 3)"),"راه نو")</f>
        <v>راه نو</v>
      </c>
      <c r="V2392" s="1" t="str">
        <f>IFERROR(__xludf.DUMMYFUNCTION("INDEX(SPLIT(A2392, ""/""), 4)"),"#REF!")</f>
        <v>#REF!</v>
      </c>
    </row>
    <row r="2393">
      <c r="A2393" s="1" t="s">
        <v>7228</v>
      </c>
      <c r="B2393" s="1" t="s">
        <v>7255</v>
      </c>
      <c r="C2393" s="1" t="s">
        <v>21</v>
      </c>
      <c r="D2393" s="4" t="s">
        <v>7256</v>
      </c>
      <c r="E2393" s="1" t="s">
        <v>71</v>
      </c>
      <c r="F2393" s="1" t="s">
        <v>7231</v>
      </c>
      <c r="G2393" s="1" t="s">
        <v>7232</v>
      </c>
      <c r="H2393" s="7" t="s">
        <v>7254</v>
      </c>
      <c r="I2393" s="1" t="str">
        <f t="shared" si="1"/>
        <v>3</v>
      </c>
      <c r="J2393" s="5"/>
      <c r="K2393" s="1" t="str">
        <f t="shared" si="2"/>
        <v>3</v>
      </c>
      <c r="L2393" s="5"/>
      <c r="M2393" s="2" t="str">
        <f t="shared" si="3"/>
        <v>1388</v>
      </c>
      <c r="N2393" s="5"/>
      <c r="O2393" s="2">
        <v>11.0</v>
      </c>
      <c r="P2393" s="5"/>
      <c r="Q2393" s="5"/>
      <c r="R2393" s="8" t="s">
        <v>7254</v>
      </c>
      <c r="S2393" s="5"/>
      <c r="T2393" s="1" t="str">
        <f>IFERROR(__xludf.DUMMYFUNCTION("INDEX(SPLIT(A2393, ""/""), 2)"),"نشریات مستقل")</f>
        <v>نشریات مستقل</v>
      </c>
      <c r="U2393" s="1" t="str">
        <f>IFERROR(__xludf.DUMMYFUNCTION("INDEX(SPLIT(A2393, ""/""), 3)"),"راه نو")</f>
        <v>راه نو</v>
      </c>
      <c r="V2393" s="1" t="str">
        <f>IFERROR(__xludf.DUMMYFUNCTION("INDEX(SPLIT(A2393, ""/""), 4)"),"#REF!")</f>
        <v>#REF!</v>
      </c>
    </row>
    <row r="2394">
      <c r="A2394" s="1" t="s">
        <v>7228</v>
      </c>
      <c r="B2394" s="1" t="s">
        <v>7257</v>
      </c>
      <c r="C2394" s="1" t="s">
        <v>21</v>
      </c>
      <c r="D2394" s="4" t="s">
        <v>7258</v>
      </c>
      <c r="E2394" s="1" t="s">
        <v>71</v>
      </c>
      <c r="F2394" s="1" t="s">
        <v>7231</v>
      </c>
      <c r="G2394" s="1" t="s">
        <v>7232</v>
      </c>
      <c r="H2394" s="7" t="s">
        <v>5327</v>
      </c>
      <c r="I2394" s="1" t="str">
        <f t="shared" si="1"/>
        <v>9</v>
      </c>
      <c r="J2394" s="5"/>
      <c r="K2394" s="1" t="str">
        <f t="shared" si="2"/>
        <v>3</v>
      </c>
      <c r="L2394" s="5"/>
      <c r="M2394" s="2" t="str">
        <f t="shared" si="3"/>
        <v>1388</v>
      </c>
      <c r="N2394" s="5"/>
      <c r="O2394" s="2">
        <v>12.0</v>
      </c>
      <c r="P2394" s="5"/>
      <c r="Q2394" s="5"/>
      <c r="R2394" s="8" t="s">
        <v>5327</v>
      </c>
      <c r="S2394" s="5"/>
      <c r="T2394" s="1" t="str">
        <f>IFERROR(__xludf.DUMMYFUNCTION("INDEX(SPLIT(A2394, ""/""), 2)"),"نشریات مستقل")</f>
        <v>نشریات مستقل</v>
      </c>
      <c r="U2394" s="1" t="str">
        <f>IFERROR(__xludf.DUMMYFUNCTION("INDEX(SPLIT(A2394, ""/""), 3)"),"راه نو")</f>
        <v>راه نو</v>
      </c>
      <c r="V2394" s="1" t="str">
        <f>IFERROR(__xludf.DUMMYFUNCTION("INDEX(SPLIT(A2394, ""/""), 4)"),"#REF!")</f>
        <v>#REF!</v>
      </c>
    </row>
    <row r="2395">
      <c r="A2395" s="1" t="s">
        <v>7228</v>
      </c>
      <c r="B2395" s="1" t="s">
        <v>7259</v>
      </c>
      <c r="C2395" s="1" t="s">
        <v>21</v>
      </c>
      <c r="D2395" s="4" t="s">
        <v>7260</v>
      </c>
      <c r="E2395" s="1" t="s">
        <v>71</v>
      </c>
      <c r="F2395" s="1" t="s">
        <v>7231</v>
      </c>
      <c r="G2395" s="1" t="s">
        <v>7232</v>
      </c>
      <c r="H2395" s="1" t="s">
        <v>5357</v>
      </c>
      <c r="I2395" s="1" t="str">
        <f t="shared" si="1"/>
        <v>28</v>
      </c>
      <c r="J2395" s="5"/>
      <c r="K2395" s="1" t="str">
        <f t="shared" si="2"/>
        <v>7</v>
      </c>
      <c r="L2395" s="5"/>
      <c r="M2395" s="2" t="str">
        <f t="shared" si="3"/>
        <v>1388</v>
      </c>
      <c r="N2395" s="5"/>
      <c r="O2395" s="2">
        <v>13.0</v>
      </c>
      <c r="P2395" s="5"/>
      <c r="Q2395" s="5"/>
      <c r="R2395" s="6" t="s">
        <v>5357</v>
      </c>
      <c r="S2395" s="5"/>
      <c r="T2395" s="1" t="str">
        <f>IFERROR(__xludf.DUMMYFUNCTION("INDEX(SPLIT(A2395, ""/""), 2)"),"نشریات مستقل")</f>
        <v>نشریات مستقل</v>
      </c>
      <c r="U2395" s="1" t="str">
        <f>IFERROR(__xludf.DUMMYFUNCTION("INDEX(SPLIT(A2395, ""/""), 3)"),"راه نو")</f>
        <v>راه نو</v>
      </c>
      <c r="V2395" s="1" t="str">
        <f>IFERROR(__xludf.DUMMYFUNCTION("INDEX(SPLIT(A2395, ""/""), 4)"),"#REF!")</f>
        <v>#REF!</v>
      </c>
    </row>
    <row r="2396">
      <c r="A2396" s="1" t="s">
        <v>7228</v>
      </c>
      <c r="B2396" s="1" t="s">
        <v>7261</v>
      </c>
      <c r="C2396" s="1" t="s">
        <v>21</v>
      </c>
      <c r="D2396" s="4" t="s">
        <v>7262</v>
      </c>
      <c r="E2396" s="1" t="s">
        <v>71</v>
      </c>
      <c r="F2396" s="1" t="s">
        <v>7231</v>
      </c>
      <c r="G2396" s="1" t="s">
        <v>7232</v>
      </c>
      <c r="H2396" s="7" t="s">
        <v>5368</v>
      </c>
      <c r="I2396" s="1" t="str">
        <f t="shared" si="1"/>
        <v>12</v>
      </c>
      <c r="J2396" s="5"/>
      <c r="K2396" s="1" t="str">
        <f t="shared" si="2"/>
        <v>8</v>
      </c>
      <c r="L2396" s="5"/>
      <c r="M2396" s="2" t="str">
        <f t="shared" si="3"/>
        <v>1388</v>
      </c>
      <c r="N2396" s="5"/>
      <c r="O2396" s="2">
        <v>14.0</v>
      </c>
      <c r="P2396" s="5"/>
      <c r="Q2396" s="5"/>
      <c r="R2396" s="8" t="s">
        <v>5368</v>
      </c>
      <c r="S2396" s="5"/>
      <c r="T2396" s="1" t="str">
        <f>IFERROR(__xludf.DUMMYFUNCTION("INDEX(SPLIT(A2396, ""/""), 2)"),"نشریات مستقل")</f>
        <v>نشریات مستقل</v>
      </c>
      <c r="U2396" s="1" t="str">
        <f>IFERROR(__xludf.DUMMYFUNCTION("INDEX(SPLIT(A2396, ""/""), 3)"),"راه نو")</f>
        <v>راه نو</v>
      </c>
      <c r="V2396" s="1" t="str">
        <f>IFERROR(__xludf.DUMMYFUNCTION("INDEX(SPLIT(A2396, ""/""), 4)"),"#REF!")</f>
        <v>#REF!</v>
      </c>
    </row>
    <row r="2397">
      <c r="A2397" s="1" t="s">
        <v>7228</v>
      </c>
      <c r="B2397" s="1" t="s">
        <v>7263</v>
      </c>
      <c r="C2397" s="1" t="s">
        <v>21</v>
      </c>
      <c r="D2397" s="4" t="s">
        <v>7264</v>
      </c>
      <c r="E2397" s="1" t="s">
        <v>71</v>
      </c>
      <c r="F2397" s="1" t="s">
        <v>7231</v>
      </c>
      <c r="G2397" s="1" t="s">
        <v>7232</v>
      </c>
      <c r="H2397" s="1" t="s">
        <v>7265</v>
      </c>
      <c r="I2397" s="1" t="str">
        <f t="shared" si="1"/>
        <v>24</v>
      </c>
      <c r="J2397" s="5"/>
      <c r="K2397" s="1" t="str">
        <f t="shared" si="2"/>
        <v>8</v>
      </c>
      <c r="L2397" s="5"/>
      <c r="M2397" s="2" t="str">
        <f t="shared" si="3"/>
        <v>1388</v>
      </c>
      <c r="N2397" s="5"/>
      <c r="O2397" s="2">
        <v>15.0</v>
      </c>
      <c r="P2397" s="5"/>
      <c r="Q2397" s="5"/>
      <c r="R2397" s="6" t="s">
        <v>7265</v>
      </c>
      <c r="S2397" s="5"/>
      <c r="T2397" s="1" t="str">
        <f>IFERROR(__xludf.DUMMYFUNCTION("INDEX(SPLIT(A2397, ""/""), 2)"),"نشریات مستقل")</f>
        <v>نشریات مستقل</v>
      </c>
      <c r="U2397" s="1" t="str">
        <f>IFERROR(__xludf.DUMMYFUNCTION("INDEX(SPLIT(A2397, ""/""), 3)"),"راه نو")</f>
        <v>راه نو</v>
      </c>
      <c r="V2397" s="1" t="str">
        <f>IFERROR(__xludf.DUMMYFUNCTION("INDEX(SPLIT(A2397, ""/""), 4)"),"#REF!")</f>
        <v>#REF!</v>
      </c>
    </row>
    <row r="2398">
      <c r="A2398" s="1" t="s">
        <v>7228</v>
      </c>
      <c r="B2398" s="1" t="s">
        <v>7266</v>
      </c>
      <c r="C2398" s="1" t="s">
        <v>21</v>
      </c>
      <c r="D2398" s="4" t="s">
        <v>7267</v>
      </c>
      <c r="E2398" s="1" t="s">
        <v>71</v>
      </c>
      <c r="F2398" s="1" t="s">
        <v>7268</v>
      </c>
      <c r="G2398" s="1" t="s">
        <v>7269</v>
      </c>
      <c r="H2398" s="7" t="s">
        <v>5417</v>
      </c>
      <c r="I2398" s="1" t="str">
        <f t="shared" si="1"/>
        <v>11</v>
      </c>
      <c r="J2398" s="5"/>
      <c r="K2398" s="1" t="str">
        <f t="shared" si="2"/>
        <v>12</v>
      </c>
      <c r="L2398" s="5"/>
      <c r="M2398" s="2" t="str">
        <f t="shared" si="3"/>
        <v>1388</v>
      </c>
      <c r="N2398" s="5"/>
      <c r="O2398" s="2">
        <v>16.0</v>
      </c>
      <c r="P2398" s="5"/>
      <c r="Q2398" s="5"/>
      <c r="R2398" s="8" t="s">
        <v>5417</v>
      </c>
      <c r="S2398" s="5"/>
      <c r="T2398" s="1" t="str">
        <f>IFERROR(__xludf.DUMMYFUNCTION("INDEX(SPLIT(A2398, ""/""), 2)"),"نشریات مستقل")</f>
        <v>نشریات مستقل</v>
      </c>
      <c r="U2398" s="1" t="str">
        <f>IFERROR(__xludf.DUMMYFUNCTION("INDEX(SPLIT(A2398, ""/""), 3)"),"راه نو")</f>
        <v>راه نو</v>
      </c>
      <c r="V2398" s="1" t="str">
        <f>IFERROR(__xludf.DUMMYFUNCTION("INDEX(SPLIT(A2398, ""/""), 4)"),"#REF!")</f>
        <v>#REF!</v>
      </c>
    </row>
    <row r="2399">
      <c r="A2399" s="1" t="s">
        <v>7228</v>
      </c>
      <c r="B2399" s="1" t="s">
        <v>7270</v>
      </c>
      <c r="C2399" s="1" t="s">
        <v>21</v>
      </c>
      <c r="D2399" s="4" t="s">
        <v>7271</v>
      </c>
      <c r="E2399" s="1" t="s">
        <v>71</v>
      </c>
      <c r="F2399" s="1" t="s">
        <v>7268</v>
      </c>
      <c r="G2399" s="1" t="s">
        <v>7269</v>
      </c>
      <c r="H2399" s="1" t="s">
        <v>7272</v>
      </c>
      <c r="I2399" s="1" t="str">
        <f t="shared" si="1"/>
        <v>22</v>
      </c>
      <c r="J2399" s="5"/>
      <c r="K2399" s="1" t="str">
        <f t="shared" si="2"/>
        <v>1</v>
      </c>
      <c r="L2399" s="5"/>
      <c r="M2399" s="2" t="str">
        <f t="shared" si="3"/>
        <v>1389</v>
      </c>
      <c r="N2399" s="5"/>
      <c r="O2399" s="2">
        <v>17.0</v>
      </c>
      <c r="P2399" s="5"/>
      <c r="Q2399" s="5"/>
      <c r="R2399" s="6" t="s">
        <v>7272</v>
      </c>
      <c r="S2399" s="5"/>
      <c r="T2399" s="1" t="str">
        <f>IFERROR(__xludf.DUMMYFUNCTION("INDEX(SPLIT(A2399, ""/""), 2)"),"نشریات مستقل")</f>
        <v>نشریات مستقل</v>
      </c>
      <c r="U2399" s="1" t="str">
        <f>IFERROR(__xludf.DUMMYFUNCTION("INDEX(SPLIT(A2399, ""/""), 3)"),"راه نو")</f>
        <v>راه نو</v>
      </c>
      <c r="V2399" s="1" t="str">
        <f>IFERROR(__xludf.DUMMYFUNCTION("INDEX(SPLIT(A2399, ""/""), 4)"),"#REF!")</f>
        <v>#REF!</v>
      </c>
    </row>
    <row r="2400">
      <c r="A2400" s="1" t="s">
        <v>7228</v>
      </c>
      <c r="B2400" s="1" t="s">
        <v>7273</v>
      </c>
      <c r="C2400" s="1" t="s">
        <v>21</v>
      </c>
      <c r="D2400" s="4" t="s">
        <v>7274</v>
      </c>
      <c r="E2400" s="1" t="s">
        <v>71</v>
      </c>
      <c r="F2400" s="1" t="s">
        <v>7268</v>
      </c>
      <c r="G2400" s="1" t="s">
        <v>7269</v>
      </c>
      <c r="H2400" s="7" t="s">
        <v>3719</v>
      </c>
      <c r="I2400" s="1" t="str">
        <f t="shared" si="1"/>
        <v>12</v>
      </c>
      <c r="J2400" s="5"/>
      <c r="K2400" s="1" t="str">
        <f t="shared" si="2"/>
        <v>2</v>
      </c>
      <c r="L2400" s="5"/>
      <c r="M2400" s="2" t="str">
        <f t="shared" si="3"/>
        <v>1389</v>
      </c>
      <c r="N2400" s="5"/>
      <c r="O2400" s="2">
        <v>21.0</v>
      </c>
      <c r="P2400" s="5"/>
      <c r="Q2400" s="5"/>
      <c r="R2400" s="8" t="s">
        <v>3719</v>
      </c>
      <c r="S2400" s="5"/>
      <c r="T2400" s="1" t="str">
        <f>IFERROR(__xludf.DUMMYFUNCTION("INDEX(SPLIT(A2400, ""/""), 2)"),"نشریات مستقل")</f>
        <v>نشریات مستقل</v>
      </c>
      <c r="U2400" s="1" t="str">
        <f>IFERROR(__xludf.DUMMYFUNCTION("INDEX(SPLIT(A2400, ""/""), 3)"),"راه نو")</f>
        <v>راه نو</v>
      </c>
      <c r="V2400" s="1" t="str">
        <f>IFERROR(__xludf.DUMMYFUNCTION("INDEX(SPLIT(A2400, ""/""), 4)"),"#REF!")</f>
        <v>#REF!</v>
      </c>
    </row>
    <row r="2401">
      <c r="A2401" s="1" t="s">
        <v>7228</v>
      </c>
      <c r="B2401" s="1" t="s">
        <v>7275</v>
      </c>
      <c r="C2401" s="1" t="s">
        <v>21</v>
      </c>
      <c r="D2401" s="4" t="s">
        <v>7276</v>
      </c>
      <c r="E2401" s="1" t="s">
        <v>71</v>
      </c>
      <c r="F2401" s="1" t="s">
        <v>7268</v>
      </c>
      <c r="G2401" s="1" t="s">
        <v>7269</v>
      </c>
      <c r="H2401" s="7" t="s">
        <v>1118</v>
      </c>
      <c r="I2401" s="1" t="str">
        <f t="shared" si="1"/>
        <v>3</v>
      </c>
      <c r="J2401" s="5"/>
      <c r="K2401" s="1" t="str">
        <f t="shared" si="2"/>
        <v>3</v>
      </c>
      <c r="L2401" s="5"/>
      <c r="M2401" s="2" t="str">
        <f t="shared" si="3"/>
        <v>1389</v>
      </c>
      <c r="N2401" s="5"/>
      <c r="O2401" s="2">
        <v>22.0</v>
      </c>
      <c r="P2401" s="5"/>
      <c r="Q2401" s="5"/>
      <c r="R2401" s="8" t="s">
        <v>1118</v>
      </c>
      <c r="S2401" s="5"/>
      <c r="T2401" s="1" t="str">
        <f>IFERROR(__xludf.DUMMYFUNCTION("INDEX(SPLIT(A2401, ""/""), 2)"),"نشریات مستقل")</f>
        <v>نشریات مستقل</v>
      </c>
      <c r="U2401" s="1" t="str">
        <f>IFERROR(__xludf.DUMMYFUNCTION("INDEX(SPLIT(A2401, ""/""), 3)"),"راه نو")</f>
        <v>راه نو</v>
      </c>
      <c r="V2401" s="1" t="str">
        <f>IFERROR(__xludf.DUMMYFUNCTION("INDEX(SPLIT(A2401, ""/""), 4)"),"#REF!")</f>
        <v>#REF!</v>
      </c>
    </row>
    <row r="2402">
      <c r="A2402" s="1" t="s">
        <v>7277</v>
      </c>
      <c r="B2402" s="1" t="s">
        <v>7278</v>
      </c>
      <c r="C2402" s="1" t="s">
        <v>21</v>
      </c>
      <c r="D2402" s="4" t="s">
        <v>7279</v>
      </c>
      <c r="E2402" s="1" t="s">
        <v>71</v>
      </c>
      <c r="F2402" s="1" t="s">
        <v>7280</v>
      </c>
      <c r="G2402" s="1" t="s">
        <v>7280</v>
      </c>
      <c r="H2402" s="1" t="s">
        <v>7281</v>
      </c>
      <c r="I2402" s="1" t="str">
        <f t="shared" si="1"/>
        <v>x</v>
      </c>
      <c r="J2402" s="5"/>
      <c r="K2402" s="1" t="str">
        <f t="shared" si="2"/>
        <v>1,2</v>
      </c>
      <c r="L2402" s="5"/>
      <c r="M2402" s="2" t="str">
        <f t="shared" si="3"/>
        <v>1382</v>
      </c>
      <c r="N2402" s="5"/>
      <c r="O2402" s="2">
        <v>1.0</v>
      </c>
      <c r="P2402" s="5"/>
      <c r="Q2402" s="5"/>
      <c r="R2402" s="8" t="s">
        <v>4380</v>
      </c>
      <c r="S2402" s="5"/>
      <c r="T2402" s="1" t="str">
        <f>IFERROR(__xludf.DUMMYFUNCTION("INDEX(SPLIT(A2402, ""/""), 2)"),"نشریات مستقل")</f>
        <v>نشریات مستقل</v>
      </c>
      <c r="U2402" s="1" t="str">
        <f>IFERROR(__xludf.DUMMYFUNCTION("INDEX(SPLIT(A2402, ""/""), 3)"),"رتق و فتق")</f>
        <v>رتق و فتق</v>
      </c>
      <c r="V2402" s="1" t="str">
        <f>IFERROR(__xludf.DUMMYFUNCTION("INDEX(SPLIT(A2402, ""/""), 4)"),"#REF!")</f>
        <v>#REF!</v>
      </c>
    </row>
    <row r="2403">
      <c r="A2403" s="1" t="s">
        <v>7277</v>
      </c>
      <c r="B2403" s="1" t="s">
        <v>7282</v>
      </c>
      <c r="C2403" s="1" t="s">
        <v>21</v>
      </c>
      <c r="D2403" s="4" t="s">
        <v>7283</v>
      </c>
      <c r="E2403" s="1" t="s">
        <v>71</v>
      </c>
      <c r="F2403" s="1" t="s">
        <v>7280</v>
      </c>
      <c r="G2403" s="1" t="s">
        <v>7280</v>
      </c>
      <c r="H2403" s="1" t="s">
        <v>7284</v>
      </c>
      <c r="I2403" s="1" t="str">
        <f t="shared" si="1"/>
        <v>x</v>
      </c>
      <c r="J2403" s="5"/>
      <c r="K2403" s="1" t="str">
        <f t="shared" si="2"/>
        <v>2,3</v>
      </c>
      <c r="L2403" s="5"/>
      <c r="M2403" s="2" t="str">
        <f t="shared" si="3"/>
        <v>1382</v>
      </c>
      <c r="N2403" s="5"/>
      <c r="O2403" s="2">
        <v>2.0</v>
      </c>
      <c r="P2403" s="7" t="s">
        <v>4322</v>
      </c>
      <c r="Q2403" s="1" t="s">
        <v>7285</v>
      </c>
      <c r="R2403" s="8" t="s">
        <v>4341</v>
      </c>
      <c r="S2403" s="5"/>
      <c r="T2403" s="1" t="str">
        <f>IFERROR(__xludf.DUMMYFUNCTION("INDEX(SPLIT(A2403, ""/""), 2)"),"نشریات مستقل")</f>
        <v>نشریات مستقل</v>
      </c>
      <c r="U2403" s="1" t="str">
        <f>IFERROR(__xludf.DUMMYFUNCTION("INDEX(SPLIT(A2403, ""/""), 3)"),"رتق و فتق")</f>
        <v>رتق و فتق</v>
      </c>
      <c r="V2403" s="1" t="str">
        <f>IFERROR(__xludf.DUMMYFUNCTION("INDEX(SPLIT(A2403, ""/""), 4)"),"#REF!")</f>
        <v>#REF!</v>
      </c>
    </row>
    <row r="2404">
      <c r="A2404" s="1" t="s">
        <v>7277</v>
      </c>
      <c r="B2404" s="1" t="s">
        <v>7286</v>
      </c>
      <c r="C2404" s="1" t="s">
        <v>21</v>
      </c>
      <c r="D2404" s="4" t="s">
        <v>7287</v>
      </c>
      <c r="E2404" s="1" t="s">
        <v>71</v>
      </c>
      <c r="F2404" s="1" t="s">
        <v>7280</v>
      </c>
      <c r="G2404" s="1" t="s">
        <v>7280</v>
      </c>
      <c r="H2404" s="1" t="s">
        <v>7288</v>
      </c>
      <c r="I2404" s="1" t="str">
        <f t="shared" si="1"/>
        <v>x</v>
      </c>
      <c r="J2404" s="5"/>
      <c r="K2404" s="1" t="str">
        <f t="shared" si="2"/>
        <v>3</v>
      </c>
      <c r="L2404" s="5"/>
      <c r="M2404" s="2" t="str">
        <f t="shared" si="3"/>
        <v>1382</v>
      </c>
      <c r="N2404" s="5"/>
      <c r="O2404" s="2">
        <v>3.0</v>
      </c>
      <c r="P2404" s="5"/>
      <c r="Q2404" s="5"/>
      <c r="R2404" s="6" t="s">
        <v>7289</v>
      </c>
      <c r="S2404" s="5"/>
      <c r="T2404" s="1" t="str">
        <f>IFERROR(__xludf.DUMMYFUNCTION("INDEX(SPLIT(A2404, ""/""), 2)"),"نشریات مستقل")</f>
        <v>نشریات مستقل</v>
      </c>
      <c r="U2404" s="1" t="str">
        <f>IFERROR(__xludf.DUMMYFUNCTION("INDEX(SPLIT(A2404, ""/""), 3)"),"رتق و فتق")</f>
        <v>رتق و فتق</v>
      </c>
      <c r="V2404" s="1" t="str">
        <f>IFERROR(__xludf.DUMMYFUNCTION("INDEX(SPLIT(A2404, ""/""), 4)"),"#REF!")</f>
        <v>#REF!</v>
      </c>
    </row>
    <row r="2405">
      <c r="A2405" s="1" t="s">
        <v>7277</v>
      </c>
      <c r="B2405" s="1" t="s">
        <v>7290</v>
      </c>
      <c r="C2405" s="1" t="s">
        <v>21</v>
      </c>
      <c r="D2405" s="4" t="s">
        <v>7291</v>
      </c>
      <c r="E2405" s="1" t="s">
        <v>71</v>
      </c>
      <c r="F2405" s="1" t="s">
        <v>7280</v>
      </c>
      <c r="G2405" s="1" t="s">
        <v>7280</v>
      </c>
      <c r="H2405" s="1" t="s">
        <v>7292</v>
      </c>
      <c r="I2405" s="1" t="str">
        <f t="shared" si="1"/>
        <v>x</v>
      </c>
      <c r="J2405" s="5"/>
      <c r="K2405" s="1" t="str">
        <f t="shared" si="2"/>
        <v>8</v>
      </c>
      <c r="L2405" s="5"/>
      <c r="M2405" s="2" t="str">
        <f t="shared" si="3"/>
        <v>1382</v>
      </c>
      <c r="N2405" s="5"/>
      <c r="O2405" s="2">
        <v>4.0</v>
      </c>
      <c r="P2405" s="5"/>
      <c r="Q2405" s="5"/>
      <c r="R2405" s="6" t="s">
        <v>7293</v>
      </c>
      <c r="S2405" s="5"/>
      <c r="T2405" s="1" t="str">
        <f>IFERROR(__xludf.DUMMYFUNCTION("INDEX(SPLIT(A2405, ""/""), 2)"),"نشریات مستقل")</f>
        <v>نشریات مستقل</v>
      </c>
      <c r="U2405" s="1" t="str">
        <f>IFERROR(__xludf.DUMMYFUNCTION("INDEX(SPLIT(A2405, ""/""), 3)"),"رتق و فتق")</f>
        <v>رتق و فتق</v>
      </c>
      <c r="V2405" s="1" t="str">
        <f>IFERROR(__xludf.DUMMYFUNCTION("INDEX(SPLIT(A2405, ""/""), 4)"),"#REF!")</f>
        <v>#REF!</v>
      </c>
    </row>
    <row r="2406">
      <c r="A2406" s="1" t="s">
        <v>7277</v>
      </c>
      <c r="B2406" s="1" t="s">
        <v>7294</v>
      </c>
      <c r="C2406" s="1" t="s">
        <v>21</v>
      </c>
      <c r="D2406" s="4" t="s">
        <v>7295</v>
      </c>
      <c r="E2406" s="1" t="s">
        <v>71</v>
      </c>
      <c r="F2406" s="1" t="s">
        <v>7296</v>
      </c>
      <c r="G2406" s="1" t="s">
        <v>7297</v>
      </c>
      <c r="H2406" s="1" t="s">
        <v>2647</v>
      </c>
      <c r="I2406" s="1" t="str">
        <f t="shared" si="1"/>
        <v>x</v>
      </c>
      <c r="J2406" s="5"/>
      <c r="K2406" s="1" t="str">
        <f t="shared" si="2"/>
        <v>x</v>
      </c>
      <c r="L2406" s="1">
        <v>1.0</v>
      </c>
      <c r="M2406" s="2" t="str">
        <f t="shared" si="3"/>
        <v>1383</v>
      </c>
      <c r="N2406" s="5"/>
      <c r="O2406" s="2">
        <v>5.0</v>
      </c>
      <c r="P2406" s="5"/>
      <c r="Q2406" s="5"/>
      <c r="R2406" s="8" t="s">
        <v>2648</v>
      </c>
      <c r="S2406" s="5"/>
      <c r="T2406" s="1" t="str">
        <f>IFERROR(__xludf.DUMMYFUNCTION("INDEX(SPLIT(A2406, ""/""), 2)"),"نشریات مستقل")</f>
        <v>نشریات مستقل</v>
      </c>
      <c r="U2406" s="1" t="str">
        <f>IFERROR(__xludf.DUMMYFUNCTION("INDEX(SPLIT(A2406, ""/""), 3)"),"رتق و فتق")</f>
        <v>رتق و فتق</v>
      </c>
      <c r="V2406" s="1" t="str">
        <f>IFERROR(__xludf.DUMMYFUNCTION("INDEX(SPLIT(A2406, ""/""), 4)"),"#REF!")</f>
        <v>#REF!</v>
      </c>
    </row>
    <row r="2407">
      <c r="A2407" s="9" t="s">
        <v>7298</v>
      </c>
      <c r="B2407" s="1" t="s">
        <v>7299</v>
      </c>
      <c r="C2407" s="1" t="s">
        <v>21</v>
      </c>
      <c r="D2407" s="4" t="s">
        <v>7300</v>
      </c>
      <c r="E2407" s="1" t="s">
        <v>7301</v>
      </c>
      <c r="F2407" s="1" t="s">
        <v>2835</v>
      </c>
      <c r="G2407" s="1" t="s">
        <v>7301</v>
      </c>
      <c r="H2407" s="1" t="s">
        <v>119</v>
      </c>
      <c r="I2407" s="1" t="str">
        <f t="shared" si="1"/>
        <v>x</v>
      </c>
      <c r="J2407" s="5"/>
      <c r="K2407" s="1" t="str">
        <f t="shared" si="2"/>
        <v>4</v>
      </c>
      <c r="L2407" s="5"/>
      <c r="M2407" s="2" t="str">
        <f t="shared" si="3"/>
        <v>1399</v>
      </c>
      <c r="N2407" s="5"/>
      <c r="O2407" s="2">
        <v>1.0</v>
      </c>
      <c r="P2407" s="5"/>
      <c r="Q2407" s="5"/>
      <c r="R2407" s="6" t="s">
        <v>120</v>
      </c>
      <c r="S2407" s="5"/>
      <c r="T2407" s="1" t="str">
        <f>IFERROR(__xludf.DUMMYFUNCTION("INDEX(SPLIT(A2407, ""/""), 2)"),"نشریات مستقل")</f>
        <v>نشریات مستقل</v>
      </c>
      <c r="U2407" s="1" t="str">
        <f>IFERROR(__xludf.DUMMYFUNCTION("INDEX(SPLIT(A2407, ""/""), 3)"),"روان‌نویس")</f>
        <v>روان‌نویس</v>
      </c>
      <c r="V2407" s="1" t="str">
        <f>IFERROR(__xludf.DUMMYFUNCTION("INDEX(SPLIT(A2407, ""/""), 4)"),"#REF!")</f>
        <v>#REF!</v>
      </c>
    </row>
    <row r="2408">
      <c r="A2408" s="1" t="s">
        <v>7302</v>
      </c>
      <c r="B2408" s="1" t="s">
        <v>7303</v>
      </c>
      <c r="C2408" s="1" t="s">
        <v>21</v>
      </c>
      <c r="D2408" s="4" t="s">
        <v>7304</v>
      </c>
      <c r="E2408" s="1" t="s">
        <v>7305</v>
      </c>
      <c r="F2408" s="1" t="s">
        <v>7305</v>
      </c>
      <c r="G2408" s="1" t="s">
        <v>7306</v>
      </c>
      <c r="H2408" s="1" t="s">
        <v>7307</v>
      </c>
      <c r="I2408" s="1" t="str">
        <f t="shared" si="1"/>
        <v>21</v>
      </c>
      <c r="J2408" s="5"/>
      <c r="K2408" s="1" t="str">
        <f t="shared" si="2"/>
        <v>12</v>
      </c>
      <c r="L2408" s="5"/>
      <c r="M2408" s="2" t="str">
        <f t="shared" si="3"/>
        <v>1390</v>
      </c>
      <c r="N2408" s="5"/>
      <c r="O2408" s="2">
        <v>1.0</v>
      </c>
      <c r="P2408" s="5"/>
      <c r="Q2408" s="5"/>
      <c r="R2408" s="6" t="s">
        <v>7307</v>
      </c>
      <c r="S2408" s="5"/>
      <c r="T2408" s="1" t="str">
        <f>IFERROR(__xludf.DUMMYFUNCTION("INDEX(SPLIT(A2408, ""/""), 2)"),"نشریات مستقل")</f>
        <v>نشریات مستقل</v>
      </c>
      <c r="U2408" s="1" t="str">
        <f>IFERROR(__xludf.DUMMYFUNCTION("INDEX(SPLIT(A2408, ""/""), 3)"),"روزگاران")</f>
        <v>روزگاران</v>
      </c>
      <c r="V2408" s="1" t="str">
        <f>IFERROR(__xludf.DUMMYFUNCTION("INDEX(SPLIT(A2408, ""/""), 4)"),"#REF!")</f>
        <v>#REF!</v>
      </c>
    </row>
    <row r="2409">
      <c r="A2409" s="1" t="s">
        <v>7302</v>
      </c>
      <c r="B2409" s="1" t="s">
        <v>7308</v>
      </c>
      <c r="C2409" s="1" t="s">
        <v>21</v>
      </c>
      <c r="D2409" s="4" t="s">
        <v>7309</v>
      </c>
      <c r="E2409" s="1" t="s">
        <v>7305</v>
      </c>
      <c r="F2409" s="1" t="s">
        <v>7305</v>
      </c>
      <c r="G2409" s="1" t="s">
        <v>7306</v>
      </c>
      <c r="H2409" s="1" t="s">
        <v>291</v>
      </c>
      <c r="I2409" s="1" t="str">
        <f t="shared" si="1"/>
        <v>x</v>
      </c>
      <c r="J2409" s="5"/>
      <c r="K2409" s="1" t="str">
        <f t="shared" si="2"/>
        <v>x</v>
      </c>
      <c r="L2409" s="5"/>
      <c r="M2409" s="2" t="str">
        <f t="shared" si="3"/>
        <v>x</v>
      </c>
      <c r="N2409" s="5"/>
      <c r="O2409" s="2">
        <v>2.0</v>
      </c>
      <c r="P2409" s="1" t="s">
        <v>7307</v>
      </c>
      <c r="Q2409" s="1" t="s">
        <v>7310</v>
      </c>
      <c r="R2409" s="6" t="s">
        <v>7311</v>
      </c>
      <c r="S2409" s="5"/>
      <c r="T2409" s="1" t="str">
        <f>IFERROR(__xludf.DUMMYFUNCTION("INDEX(SPLIT(A2409, ""/""), 2)"),"نشریات مستقل")</f>
        <v>نشریات مستقل</v>
      </c>
      <c r="U2409" s="1" t="str">
        <f>IFERROR(__xludf.DUMMYFUNCTION("INDEX(SPLIT(A2409, ""/""), 3)"),"روزگاران")</f>
        <v>روزگاران</v>
      </c>
      <c r="V2409" s="1" t="str">
        <f>IFERROR(__xludf.DUMMYFUNCTION("INDEX(SPLIT(A2409, ""/""), 4)"),"#REF!")</f>
        <v>#REF!</v>
      </c>
    </row>
    <row r="2410">
      <c r="A2410" s="1" t="s">
        <v>7302</v>
      </c>
      <c r="B2410" s="1" t="s">
        <v>7312</v>
      </c>
      <c r="C2410" s="1" t="s">
        <v>21</v>
      </c>
      <c r="D2410" s="4" t="s">
        <v>7313</v>
      </c>
      <c r="E2410" s="1" t="s">
        <v>7305</v>
      </c>
      <c r="F2410" s="1" t="s">
        <v>7305</v>
      </c>
      <c r="G2410" s="1" t="s">
        <v>7306</v>
      </c>
      <c r="H2410" s="1" t="s">
        <v>7310</v>
      </c>
      <c r="I2410" s="1" t="str">
        <f t="shared" si="1"/>
        <v>17</v>
      </c>
      <c r="J2410" s="5"/>
      <c r="K2410" s="1" t="str">
        <f t="shared" si="2"/>
        <v>2</v>
      </c>
      <c r="L2410" s="5"/>
      <c r="M2410" s="2" t="str">
        <f t="shared" si="3"/>
        <v>1391</v>
      </c>
      <c r="N2410" s="5"/>
      <c r="O2410" s="2">
        <v>3.0</v>
      </c>
      <c r="P2410" s="5"/>
      <c r="Q2410" s="5"/>
      <c r="R2410" s="6" t="s">
        <v>7310</v>
      </c>
      <c r="S2410" s="5"/>
      <c r="T2410" s="1" t="str">
        <f>IFERROR(__xludf.DUMMYFUNCTION("INDEX(SPLIT(A2410, ""/""), 2)"),"نشریات مستقل")</f>
        <v>نشریات مستقل</v>
      </c>
      <c r="U2410" s="1" t="str">
        <f>IFERROR(__xludf.DUMMYFUNCTION("INDEX(SPLIT(A2410, ""/""), 3)"),"روزگاران")</f>
        <v>روزگاران</v>
      </c>
      <c r="V2410" s="1" t="str">
        <f>IFERROR(__xludf.DUMMYFUNCTION("INDEX(SPLIT(A2410, ""/""), 4)"),"#REF!")</f>
        <v>#REF!</v>
      </c>
    </row>
    <row r="2411">
      <c r="A2411" s="1" t="s">
        <v>7302</v>
      </c>
      <c r="B2411" s="1" t="s">
        <v>7314</v>
      </c>
      <c r="C2411" s="1" t="s">
        <v>21</v>
      </c>
      <c r="D2411" s="4" t="s">
        <v>7315</v>
      </c>
      <c r="E2411" s="1" t="s">
        <v>7305</v>
      </c>
      <c r="F2411" s="1" t="s">
        <v>7305</v>
      </c>
      <c r="G2411" s="1" t="s">
        <v>7306</v>
      </c>
      <c r="H2411" s="1" t="s">
        <v>3809</v>
      </c>
      <c r="I2411" s="1" t="str">
        <f t="shared" si="1"/>
        <v>x</v>
      </c>
      <c r="J2411" s="5"/>
      <c r="K2411" s="1" t="str">
        <f t="shared" si="2"/>
        <v>7</v>
      </c>
      <c r="L2411" s="5"/>
      <c r="M2411" s="2" t="str">
        <f t="shared" si="3"/>
        <v>1391</v>
      </c>
      <c r="N2411" s="5"/>
      <c r="O2411" s="2" t="s">
        <v>7316</v>
      </c>
      <c r="P2411" s="5"/>
      <c r="Q2411" s="5"/>
      <c r="R2411" s="6" t="s">
        <v>3810</v>
      </c>
      <c r="S2411" s="5"/>
      <c r="T2411" s="1" t="str">
        <f>IFERROR(__xludf.DUMMYFUNCTION("INDEX(SPLIT(A2411, ""/""), 2)"),"نشریات مستقل")</f>
        <v>نشریات مستقل</v>
      </c>
      <c r="U2411" s="1" t="str">
        <f>IFERROR(__xludf.DUMMYFUNCTION("INDEX(SPLIT(A2411, ""/""), 3)"),"روزگاران")</f>
        <v>روزگاران</v>
      </c>
      <c r="V2411" s="1" t="str">
        <f>IFERROR(__xludf.DUMMYFUNCTION("INDEX(SPLIT(A2411, ""/""), 4)"),"#REF!")</f>
        <v>#REF!</v>
      </c>
    </row>
    <row r="2412">
      <c r="A2412" s="1" t="s">
        <v>7302</v>
      </c>
      <c r="B2412" s="1" t="s">
        <v>7317</v>
      </c>
      <c r="C2412" s="1" t="s">
        <v>21</v>
      </c>
      <c r="D2412" s="4" t="s">
        <v>7318</v>
      </c>
      <c r="E2412" s="1" t="s">
        <v>7305</v>
      </c>
      <c r="F2412" s="1" t="s">
        <v>7305</v>
      </c>
      <c r="G2412" s="1" t="s">
        <v>7306</v>
      </c>
      <c r="H2412" s="7" t="s">
        <v>7319</v>
      </c>
      <c r="I2412" s="1" t="str">
        <f t="shared" si="1"/>
        <v>4</v>
      </c>
      <c r="J2412" s="5"/>
      <c r="K2412" s="1" t="str">
        <f t="shared" si="2"/>
        <v>8</v>
      </c>
      <c r="L2412" s="5"/>
      <c r="M2412" s="2" t="str">
        <f t="shared" si="3"/>
        <v>1391</v>
      </c>
      <c r="N2412" s="5"/>
      <c r="O2412" s="2">
        <v>4.0</v>
      </c>
      <c r="P2412" s="5"/>
      <c r="Q2412" s="5"/>
      <c r="R2412" s="8" t="s">
        <v>7319</v>
      </c>
      <c r="S2412" s="5"/>
      <c r="T2412" s="1" t="str">
        <f>IFERROR(__xludf.DUMMYFUNCTION("INDEX(SPLIT(A2412, ""/""), 2)"),"نشریات مستقل")</f>
        <v>نشریات مستقل</v>
      </c>
      <c r="U2412" s="1" t="str">
        <f>IFERROR(__xludf.DUMMYFUNCTION("INDEX(SPLIT(A2412, ""/""), 3)"),"روزگاران")</f>
        <v>روزگاران</v>
      </c>
      <c r="V2412" s="1" t="str">
        <f>IFERROR(__xludf.DUMMYFUNCTION("INDEX(SPLIT(A2412, ""/""), 4)"),"#REF!")</f>
        <v>#REF!</v>
      </c>
    </row>
    <row r="2413">
      <c r="A2413" s="1" t="s">
        <v>7302</v>
      </c>
      <c r="B2413" s="1" t="s">
        <v>7320</v>
      </c>
      <c r="C2413" s="1" t="s">
        <v>21</v>
      </c>
      <c r="D2413" s="4" t="s">
        <v>7321</v>
      </c>
      <c r="E2413" s="1" t="s">
        <v>7305</v>
      </c>
      <c r="F2413" s="1" t="s">
        <v>7305</v>
      </c>
      <c r="G2413" s="1" t="s">
        <v>7306</v>
      </c>
      <c r="H2413" s="7" t="s">
        <v>7319</v>
      </c>
      <c r="I2413" s="1" t="str">
        <f t="shared" si="1"/>
        <v>4</v>
      </c>
      <c r="J2413" s="5"/>
      <c r="K2413" s="1" t="str">
        <f t="shared" si="2"/>
        <v>8</v>
      </c>
      <c r="L2413" s="5"/>
      <c r="M2413" s="2" t="str">
        <f t="shared" si="3"/>
        <v>1391</v>
      </c>
      <c r="N2413" s="5"/>
      <c r="O2413" s="2">
        <v>4.0</v>
      </c>
      <c r="P2413" s="5"/>
      <c r="Q2413" s="5"/>
      <c r="R2413" s="8" t="s">
        <v>7319</v>
      </c>
      <c r="S2413" s="5"/>
      <c r="T2413" s="1" t="str">
        <f>IFERROR(__xludf.DUMMYFUNCTION("INDEX(SPLIT(A2413, ""/""), 2)"),"نشریات مستقل")</f>
        <v>نشریات مستقل</v>
      </c>
      <c r="U2413" s="1" t="str">
        <f>IFERROR(__xludf.DUMMYFUNCTION("INDEX(SPLIT(A2413, ""/""), 3)"),"روزگاران")</f>
        <v>روزگاران</v>
      </c>
      <c r="V2413" s="1" t="str">
        <f>IFERROR(__xludf.DUMMYFUNCTION("INDEX(SPLIT(A2413, ""/""), 4)"),"#REF!")</f>
        <v>#REF!</v>
      </c>
    </row>
    <row r="2414">
      <c r="A2414" s="1" t="s">
        <v>7302</v>
      </c>
      <c r="B2414" s="1" t="s">
        <v>7322</v>
      </c>
      <c r="C2414" s="1" t="s">
        <v>21</v>
      </c>
      <c r="D2414" s="4" t="s">
        <v>7323</v>
      </c>
      <c r="E2414" s="1" t="s">
        <v>7305</v>
      </c>
      <c r="F2414" s="1" t="s">
        <v>7305</v>
      </c>
      <c r="G2414" s="1" t="s">
        <v>7324</v>
      </c>
      <c r="H2414" s="1" t="s">
        <v>6895</v>
      </c>
      <c r="I2414" s="1" t="str">
        <f t="shared" si="1"/>
        <v>x</v>
      </c>
      <c r="J2414" s="5"/>
      <c r="K2414" s="1" t="str">
        <f t="shared" si="2"/>
        <v>8</v>
      </c>
      <c r="L2414" s="5"/>
      <c r="M2414" s="2" t="str">
        <f t="shared" si="3"/>
        <v>1392</v>
      </c>
      <c r="N2414" s="5"/>
      <c r="O2414" s="2">
        <v>7.0</v>
      </c>
      <c r="P2414" s="5"/>
      <c r="Q2414" s="5"/>
      <c r="R2414" s="6" t="s">
        <v>6896</v>
      </c>
      <c r="S2414" s="5"/>
      <c r="T2414" s="1" t="str">
        <f>IFERROR(__xludf.DUMMYFUNCTION("INDEX(SPLIT(A2414, ""/""), 2)"),"نشریات مستقل")</f>
        <v>نشریات مستقل</v>
      </c>
      <c r="U2414" s="1" t="str">
        <f>IFERROR(__xludf.DUMMYFUNCTION("INDEX(SPLIT(A2414, ""/""), 3)"),"روزگاران")</f>
        <v>روزگاران</v>
      </c>
      <c r="V2414" s="1" t="str">
        <f>IFERROR(__xludf.DUMMYFUNCTION("INDEX(SPLIT(A2414, ""/""), 4)"),"#REF!")</f>
        <v>#REF!</v>
      </c>
    </row>
    <row r="2415">
      <c r="A2415" s="1" t="s">
        <v>7325</v>
      </c>
      <c r="B2415" s="1" t="s">
        <v>7326</v>
      </c>
      <c r="C2415" s="1" t="s">
        <v>21</v>
      </c>
      <c r="D2415" s="4" t="s">
        <v>7327</v>
      </c>
      <c r="E2415" s="1" t="s">
        <v>1139</v>
      </c>
      <c r="F2415" s="1" t="s">
        <v>1139</v>
      </c>
      <c r="G2415" s="1" t="s">
        <v>7328</v>
      </c>
      <c r="H2415" s="1" t="s">
        <v>7272</v>
      </c>
      <c r="I2415" s="1" t="str">
        <f t="shared" si="1"/>
        <v>22</v>
      </c>
      <c r="J2415" s="5"/>
      <c r="K2415" s="1" t="str">
        <f t="shared" si="2"/>
        <v>1</v>
      </c>
      <c r="L2415" s="5"/>
      <c r="M2415" s="2" t="str">
        <f t="shared" si="3"/>
        <v>1389</v>
      </c>
      <c r="N2415" s="5"/>
      <c r="O2415" s="2">
        <v>1.0</v>
      </c>
      <c r="P2415" s="5"/>
      <c r="Q2415" s="5"/>
      <c r="R2415" s="6" t="s">
        <v>7272</v>
      </c>
      <c r="S2415" s="5"/>
      <c r="T2415" s="1" t="str">
        <f>IFERROR(__xludf.DUMMYFUNCTION("INDEX(SPLIT(A2415, ""/""), 2)"),"نشریات مستقل")</f>
        <v>نشریات مستقل</v>
      </c>
      <c r="U2415" s="1" t="str">
        <f>IFERROR(__xludf.DUMMYFUNCTION("INDEX(SPLIT(A2415, ""/""), 3)"),"زیر سوال")</f>
        <v>زیر سوال</v>
      </c>
      <c r="V2415" s="1" t="str">
        <f>IFERROR(__xludf.DUMMYFUNCTION("INDEX(SPLIT(A2415, ""/""), 4)"),"#REF!")</f>
        <v>#REF!</v>
      </c>
    </row>
    <row r="2416">
      <c r="A2416" s="1" t="s">
        <v>7325</v>
      </c>
      <c r="B2416" s="1" t="s">
        <v>7329</v>
      </c>
      <c r="C2416" s="1" t="s">
        <v>21</v>
      </c>
      <c r="D2416" s="4" t="s">
        <v>7330</v>
      </c>
      <c r="E2416" s="1" t="s">
        <v>1139</v>
      </c>
      <c r="F2416" s="1" t="s">
        <v>1139</v>
      </c>
      <c r="G2416" s="1" t="s">
        <v>7328</v>
      </c>
      <c r="H2416" s="7" t="s">
        <v>7331</v>
      </c>
      <c r="I2416" s="1" t="str">
        <f t="shared" si="1"/>
        <v>4</v>
      </c>
      <c r="J2416" s="5"/>
      <c r="K2416" s="1" t="str">
        <f t="shared" si="2"/>
        <v>2</v>
      </c>
      <c r="L2416" s="5"/>
      <c r="M2416" s="2" t="str">
        <f t="shared" si="3"/>
        <v>1389</v>
      </c>
      <c r="N2416" s="5"/>
      <c r="O2416" s="2">
        <v>2.0</v>
      </c>
      <c r="P2416" s="5"/>
      <c r="Q2416" s="5"/>
      <c r="R2416" s="8" t="s">
        <v>7331</v>
      </c>
      <c r="S2416" s="5"/>
      <c r="T2416" s="1" t="str">
        <f>IFERROR(__xludf.DUMMYFUNCTION("INDEX(SPLIT(A2416, ""/""), 2)"),"نشریات مستقل")</f>
        <v>نشریات مستقل</v>
      </c>
      <c r="U2416" s="1" t="str">
        <f>IFERROR(__xludf.DUMMYFUNCTION("INDEX(SPLIT(A2416, ""/""), 3)"),"زیر سوال")</f>
        <v>زیر سوال</v>
      </c>
      <c r="V2416" s="1" t="str">
        <f>IFERROR(__xludf.DUMMYFUNCTION("INDEX(SPLIT(A2416, ""/""), 4)"),"#REF!")</f>
        <v>#REF!</v>
      </c>
    </row>
    <row r="2417">
      <c r="A2417" s="1" t="s">
        <v>7325</v>
      </c>
      <c r="B2417" s="1" t="s">
        <v>7332</v>
      </c>
      <c r="C2417" s="1" t="s">
        <v>21</v>
      </c>
      <c r="D2417" s="4" t="s">
        <v>7333</v>
      </c>
      <c r="E2417" s="1" t="s">
        <v>1139</v>
      </c>
      <c r="F2417" s="1" t="s">
        <v>1139</v>
      </c>
      <c r="G2417" s="1" t="s">
        <v>7328</v>
      </c>
      <c r="H2417" s="1" t="s">
        <v>7334</v>
      </c>
      <c r="I2417" s="1" t="str">
        <f t="shared" si="1"/>
        <v>20</v>
      </c>
      <c r="J2417" s="5"/>
      <c r="K2417" s="1" t="str">
        <f t="shared" si="2"/>
        <v>2</v>
      </c>
      <c r="L2417" s="5"/>
      <c r="M2417" s="2" t="str">
        <f t="shared" si="3"/>
        <v>1389</v>
      </c>
      <c r="N2417" s="5"/>
      <c r="O2417" s="2">
        <v>3.0</v>
      </c>
      <c r="P2417" s="5"/>
      <c r="Q2417" s="5"/>
      <c r="R2417" s="6" t="s">
        <v>7334</v>
      </c>
      <c r="S2417" s="5"/>
      <c r="T2417" s="1" t="str">
        <f>IFERROR(__xludf.DUMMYFUNCTION("INDEX(SPLIT(A2417, ""/""), 2)"),"نشریات مستقل")</f>
        <v>نشریات مستقل</v>
      </c>
      <c r="U2417" s="1" t="str">
        <f>IFERROR(__xludf.DUMMYFUNCTION("INDEX(SPLIT(A2417, ""/""), 3)"),"زیر سوال")</f>
        <v>زیر سوال</v>
      </c>
      <c r="V2417" s="1" t="str">
        <f>IFERROR(__xludf.DUMMYFUNCTION("INDEX(SPLIT(A2417, ""/""), 4)"),"#REF!")</f>
        <v>#REF!</v>
      </c>
    </row>
    <row r="2418">
      <c r="A2418" s="1" t="s">
        <v>7325</v>
      </c>
      <c r="B2418" s="1" t="s">
        <v>7335</v>
      </c>
      <c r="C2418" s="1" t="s">
        <v>21</v>
      </c>
      <c r="D2418" s="4" t="s">
        <v>7336</v>
      </c>
      <c r="E2418" s="1" t="s">
        <v>1139</v>
      </c>
      <c r="F2418" s="1" t="s">
        <v>1139</v>
      </c>
      <c r="G2418" s="1" t="s">
        <v>7328</v>
      </c>
      <c r="H2418" s="7" t="s">
        <v>7337</v>
      </c>
      <c r="I2418" s="1" t="str">
        <f t="shared" si="1"/>
        <v>2</v>
      </c>
      <c r="J2418" s="5"/>
      <c r="K2418" s="1" t="str">
        <f t="shared" si="2"/>
        <v>3</v>
      </c>
      <c r="L2418" s="5"/>
      <c r="M2418" s="2" t="str">
        <f t="shared" si="3"/>
        <v>1389</v>
      </c>
      <c r="N2418" s="5"/>
      <c r="O2418" s="2">
        <v>4.0</v>
      </c>
      <c r="P2418" s="5"/>
      <c r="Q2418" s="5"/>
      <c r="R2418" s="8" t="s">
        <v>7337</v>
      </c>
      <c r="S2418" s="5"/>
      <c r="T2418" s="1" t="str">
        <f>IFERROR(__xludf.DUMMYFUNCTION("INDEX(SPLIT(A2418, ""/""), 2)"),"نشریات مستقل")</f>
        <v>نشریات مستقل</v>
      </c>
      <c r="U2418" s="1" t="str">
        <f>IFERROR(__xludf.DUMMYFUNCTION("INDEX(SPLIT(A2418, ""/""), 3)"),"زیر سوال")</f>
        <v>زیر سوال</v>
      </c>
      <c r="V2418" s="1" t="str">
        <f>IFERROR(__xludf.DUMMYFUNCTION("INDEX(SPLIT(A2418, ""/""), 4)"),"#REF!")</f>
        <v>#REF!</v>
      </c>
    </row>
    <row r="2419">
      <c r="A2419" s="1" t="s">
        <v>7325</v>
      </c>
      <c r="B2419" s="1" t="s">
        <v>7338</v>
      </c>
      <c r="C2419" s="1" t="s">
        <v>21</v>
      </c>
      <c r="D2419" s="4" t="s">
        <v>7339</v>
      </c>
      <c r="E2419" s="1" t="s">
        <v>1139</v>
      </c>
      <c r="F2419" s="1" t="s">
        <v>1139</v>
      </c>
      <c r="G2419" s="1" t="s">
        <v>7328</v>
      </c>
      <c r="H2419" s="7" t="s">
        <v>7340</v>
      </c>
      <c r="I2419" s="1" t="str">
        <f t="shared" si="1"/>
        <v>5</v>
      </c>
      <c r="J2419" s="5"/>
      <c r="K2419" s="1" t="str">
        <f t="shared" si="2"/>
        <v>7</v>
      </c>
      <c r="L2419" s="5"/>
      <c r="M2419" s="2" t="str">
        <f t="shared" si="3"/>
        <v>1389</v>
      </c>
      <c r="N2419" s="5"/>
      <c r="O2419" s="2">
        <v>5.0</v>
      </c>
      <c r="P2419" s="5"/>
      <c r="Q2419" s="5"/>
      <c r="R2419" s="8" t="s">
        <v>7340</v>
      </c>
      <c r="S2419" s="5"/>
      <c r="T2419" s="1" t="str">
        <f>IFERROR(__xludf.DUMMYFUNCTION("INDEX(SPLIT(A2419, ""/""), 2)"),"نشریات مستقل")</f>
        <v>نشریات مستقل</v>
      </c>
      <c r="U2419" s="1" t="str">
        <f>IFERROR(__xludf.DUMMYFUNCTION("INDEX(SPLIT(A2419, ""/""), 3)"),"زیر سوال")</f>
        <v>زیر سوال</v>
      </c>
      <c r="V2419" s="1" t="str">
        <f>IFERROR(__xludf.DUMMYFUNCTION("INDEX(SPLIT(A2419, ""/""), 4)"),"#REF!")</f>
        <v>#REF!</v>
      </c>
    </row>
    <row r="2420">
      <c r="A2420" s="1" t="s">
        <v>7325</v>
      </c>
      <c r="B2420" s="1" t="s">
        <v>7341</v>
      </c>
      <c r="C2420" s="1" t="s">
        <v>21</v>
      </c>
      <c r="D2420" s="4" t="s">
        <v>7342</v>
      </c>
      <c r="E2420" s="1" t="s">
        <v>1139</v>
      </c>
      <c r="F2420" s="1" t="s">
        <v>1139</v>
      </c>
      <c r="G2420" s="1" t="s">
        <v>7328</v>
      </c>
      <c r="H2420" s="1" t="s">
        <v>7343</v>
      </c>
      <c r="I2420" s="1" t="str">
        <f t="shared" si="1"/>
        <v>16</v>
      </c>
      <c r="J2420" s="5"/>
      <c r="K2420" s="1" t="str">
        <f t="shared" si="2"/>
        <v>1</v>
      </c>
      <c r="L2420" s="5"/>
      <c r="M2420" s="2" t="str">
        <f t="shared" si="3"/>
        <v>1390</v>
      </c>
      <c r="N2420" s="5"/>
      <c r="O2420" s="2">
        <v>6.0</v>
      </c>
      <c r="P2420" s="5"/>
      <c r="Q2420" s="5"/>
      <c r="R2420" s="6" t="s">
        <v>7343</v>
      </c>
      <c r="S2420" s="5"/>
      <c r="T2420" s="1" t="str">
        <f>IFERROR(__xludf.DUMMYFUNCTION("INDEX(SPLIT(A2420, ""/""), 2)"),"نشریات مستقل")</f>
        <v>نشریات مستقل</v>
      </c>
      <c r="U2420" s="1" t="str">
        <f>IFERROR(__xludf.DUMMYFUNCTION("INDEX(SPLIT(A2420, ""/""), 3)"),"زیر سوال")</f>
        <v>زیر سوال</v>
      </c>
      <c r="V2420" s="1" t="str">
        <f>IFERROR(__xludf.DUMMYFUNCTION("INDEX(SPLIT(A2420, ""/""), 4)"),"#REF!")</f>
        <v>#REF!</v>
      </c>
    </row>
    <row r="2421">
      <c r="A2421" s="1" t="s">
        <v>7325</v>
      </c>
      <c r="B2421" s="1" t="s">
        <v>7344</v>
      </c>
      <c r="C2421" s="1" t="s">
        <v>21</v>
      </c>
      <c r="D2421" s="4" t="s">
        <v>7345</v>
      </c>
      <c r="E2421" s="1" t="s">
        <v>1139</v>
      </c>
      <c r="F2421" s="1" t="s">
        <v>1139</v>
      </c>
      <c r="G2421" s="1" t="s">
        <v>7328</v>
      </c>
      <c r="H2421" s="1" t="s">
        <v>7346</v>
      </c>
      <c r="I2421" s="1" t="str">
        <f t="shared" si="1"/>
        <v>27</v>
      </c>
      <c r="J2421" s="5"/>
      <c r="K2421" s="1" t="str">
        <f t="shared" si="2"/>
        <v>1</v>
      </c>
      <c r="L2421" s="5"/>
      <c r="M2421" s="2" t="str">
        <f t="shared" si="3"/>
        <v>1390</v>
      </c>
      <c r="N2421" s="5"/>
      <c r="O2421" s="2">
        <v>7.0</v>
      </c>
      <c r="P2421" s="5"/>
      <c r="Q2421" s="5"/>
      <c r="R2421" s="6" t="s">
        <v>7346</v>
      </c>
      <c r="S2421" s="5"/>
      <c r="T2421" s="1" t="str">
        <f>IFERROR(__xludf.DUMMYFUNCTION("INDEX(SPLIT(A2421, ""/""), 2)"),"نشریات مستقل")</f>
        <v>نشریات مستقل</v>
      </c>
      <c r="U2421" s="1" t="str">
        <f>IFERROR(__xludf.DUMMYFUNCTION("INDEX(SPLIT(A2421, ""/""), 3)"),"زیر سوال")</f>
        <v>زیر سوال</v>
      </c>
      <c r="V2421" s="1" t="str">
        <f>IFERROR(__xludf.DUMMYFUNCTION("INDEX(SPLIT(A2421, ""/""), 4)"),"#REF!")</f>
        <v>#REF!</v>
      </c>
    </row>
    <row r="2422">
      <c r="A2422" s="1" t="s">
        <v>7325</v>
      </c>
      <c r="B2422" s="1" t="s">
        <v>7347</v>
      </c>
      <c r="C2422" s="1" t="s">
        <v>21</v>
      </c>
      <c r="D2422" s="4" t="s">
        <v>7348</v>
      </c>
      <c r="E2422" s="1" t="s">
        <v>1139</v>
      </c>
      <c r="F2422" s="1" t="s">
        <v>1139</v>
      </c>
      <c r="G2422" s="1" t="s">
        <v>7328</v>
      </c>
      <c r="H2422" s="7" t="s">
        <v>3771</v>
      </c>
      <c r="I2422" s="1" t="str">
        <f t="shared" si="1"/>
        <v>12</v>
      </c>
      <c r="J2422" s="5"/>
      <c r="K2422" s="1" t="str">
        <f t="shared" si="2"/>
        <v>2</v>
      </c>
      <c r="L2422" s="5"/>
      <c r="M2422" s="2" t="str">
        <f t="shared" si="3"/>
        <v>1390</v>
      </c>
      <c r="N2422" s="5"/>
      <c r="O2422" s="2">
        <v>8.0</v>
      </c>
      <c r="P2422" s="5"/>
      <c r="Q2422" s="5"/>
      <c r="R2422" s="8" t="s">
        <v>3771</v>
      </c>
      <c r="S2422" s="5"/>
      <c r="T2422" s="1" t="str">
        <f>IFERROR(__xludf.DUMMYFUNCTION("INDEX(SPLIT(A2422, ""/""), 2)"),"نشریات مستقل")</f>
        <v>نشریات مستقل</v>
      </c>
      <c r="U2422" s="1" t="str">
        <f>IFERROR(__xludf.DUMMYFUNCTION("INDEX(SPLIT(A2422, ""/""), 3)"),"زیر سوال")</f>
        <v>زیر سوال</v>
      </c>
      <c r="V2422" s="1" t="str">
        <f>IFERROR(__xludf.DUMMYFUNCTION("INDEX(SPLIT(A2422, ""/""), 4)"),"#REF!")</f>
        <v>#REF!</v>
      </c>
    </row>
    <row r="2423">
      <c r="A2423" s="1" t="s">
        <v>7325</v>
      </c>
      <c r="B2423" s="1" t="s">
        <v>7349</v>
      </c>
      <c r="C2423" s="1" t="s">
        <v>21</v>
      </c>
      <c r="D2423" s="4" t="s">
        <v>7350</v>
      </c>
      <c r="E2423" s="1" t="s">
        <v>1139</v>
      </c>
      <c r="F2423" s="1" t="s">
        <v>1139</v>
      </c>
      <c r="G2423" s="1" t="s">
        <v>7328</v>
      </c>
      <c r="H2423" s="1" t="s">
        <v>3774</v>
      </c>
      <c r="I2423" s="1" t="str">
        <f t="shared" si="1"/>
        <v>27</v>
      </c>
      <c r="J2423" s="5"/>
      <c r="K2423" s="1" t="str">
        <f t="shared" si="2"/>
        <v>2</v>
      </c>
      <c r="L2423" s="5"/>
      <c r="M2423" s="2" t="str">
        <f t="shared" si="3"/>
        <v>1390</v>
      </c>
      <c r="N2423" s="5"/>
      <c r="O2423" s="2">
        <v>9.0</v>
      </c>
      <c r="P2423" s="5"/>
      <c r="Q2423" s="5"/>
      <c r="R2423" s="6" t="s">
        <v>3774</v>
      </c>
      <c r="S2423" s="5"/>
      <c r="T2423" s="1" t="str">
        <f>IFERROR(__xludf.DUMMYFUNCTION("INDEX(SPLIT(A2423, ""/""), 2)"),"نشریات مستقل")</f>
        <v>نشریات مستقل</v>
      </c>
      <c r="U2423" s="1" t="str">
        <f>IFERROR(__xludf.DUMMYFUNCTION("INDEX(SPLIT(A2423, ""/""), 3)"),"زیر سوال")</f>
        <v>زیر سوال</v>
      </c>
      <c r="V2423" s="1" t="str">
        <f>IFERROR(__xludf.DUMMYFUNCTION("INDEX(SPLIT(A2423, ""/""), 4)"),"#REF!")</f>
        <v>#REF!</v>
      </c>
    </row>
    <row r="2424">
      <c r="A2424" s="1" t="s">
        <v>7325</v>
      </c>
      <c r="B2424" s="1" t="s">
        <v>7351</v>
      </c>
      <c r="C2424" s="1" t="s">
        <v>21</v>
      </c>
      <c r="D2424" s="4" t="s">
        <v>7352</v>
      </c>
      <c r="E2424" s="1" t="s">
        <v>7353</v>
      </c>
      <c r="F2424" s="1" t="s">
        <v>7353</v>
      </c>
      <c r="G2424" s="1" t="s">
        <v>7354</v>
      </c>
      <c r="H2424" s="7" t="s">
        <v>7355</v>
      </c>
      <c r="I2424" s="1" t="str">
        <f t="shared" si="1"/>
        <v>9</v>
      </c>
      <c r="J2424" s="5"/>
      <c r="K2424" s="1" t="str">
        <f t="shared" si="2"/>
        <v>8</v>
      </c>
      <c r="L2424" s="5"/>
      <c r="M2424" s="2" t="str">
        <f t="shared" si="3"/>
        <v>1390</v>
      </c>
      <c r="N2424" s="5"/>
      <c r="O2424" s="2">
        <v>10.0</v>
      </c>
      <c r="P2424" s="5"/>
      <c r="Q2424" s="5"/>
      <c r="R2424" s="8" t="s">
        <v>7355</v>
      </c>
      <c r="S2424" s="5"/>
      <c r="T2424" s="1" t="str">
        <f>IFERROR(__xludf.DUMMYFUNCTION("INDEX(SPLIT(A2424, ""/""), 2)"),"نشریات مستقل")</f>
        <v>نشریات مستقل</v>
      </c>
      <c r="U2424" s="1" t="str">
        <f>IFERROR(__xludf.DUMMYFUNCTION("INDEX(SPLIT(A2424, ""/""), 3)"),"زیر سوال")</f>
        <v>زیر سوال</v>
      </c>
      <c r="V2424" s="1" t="str">
        <f>IFERROR(__xludf.DUMMYFUNCTION("INDEX(SPLIT(A2424, ""/""), 4)"),"#REF!")</f>
        <v>#REF!</v>
      </c>
    </row>
    <row r="2425">
      <c r="A2425" s="1" t="s">
        <v>7325</v>
      </c>
      <c r="B2425" s="1" t="s">
        <v>7356</v>
      </c>
      <c r="C2425" s="1" t="s">
        <v>21</v>
      </c>
      <c r="D2425" s="4" t="s">
        <v>7357</v>
      </c>
      <c r="E2425" s="1" t="s">
        <v>7353</v>
      </c>
      <c r="F2425" s="1" t="s">
        <v>7353</v>
      </c>
      <c r="G2425" s="1" t="s">
        <v>7354</v>
      </c>
      <c r="H2425" s="1" t="s">
        <v>7358</v>
      </c>
      <c r="I2425" s="1" t="str">
        <f t="shared" si="1"/>
        <v>22</v>
      </c>
      <c r="J2425" s="5"/>
      <c r="K2425" s="1" t="str">
        <f t="shared" si="2"/>
        <v>8</v>
      </c>
      <c r="L2425" s="5"/>
      <c r="M2425" s="2" t="str">
        <f t="shared" si="3"/>
        <v>1390</v>
      </c>
      <c r="N2425" s="5"/>
      <c r="O2425" s="2">
        <v>11.0</v>
      </c>
      <c r="P2425" s="5"/>
      <c r="Q2425" s="5"/>
      <c r="R2425" s="6" t="s">
        <v>7358</v>
      </c>
      <c r="S2425" s="5"/>
      <c r="T2425" s="1" t="str">
        <f>IFERROR(__xludf.DUMMYFUNCTION("INDEX(SPLIT(A2425, ""/""), 2)"),"نشریات مستقل")</f>
        <v>نشریات مستقل</v>
      </c>
      <c r="U2425" s="1" t="str">
        <f>IFERROR(__xludf.DUMMYFUNCTION("INDEX(SPLIT(A2425, ""/""), 3)"),"زیر سوال")</f>
        <v>زیر سوال</v>
      </c>
      <c r="V2425" s="1" t="str">
        <f>IFERROR(__xludf.DUMMYFUNCTION("INDEX(SPLIT(A2425, ""/""), 4)"),"#REF!")</f>
        <v>#REF!</v>
      </c>
    </row>
    <row r="2426">
      <c r="A2426" s="1" t="s">
        <v>7325</v>
      </c>
      <c r="B2426" s="1" t="s">
        <v>7359</v>
      </c>
      <c r="C2426" s="1" t="s">
        <v>21</v>
      </c>
      <c r="D2426" s="4" t="s">
        <v>7360</v>
      </c>
      <c r="E2426" s="1" t="s">
        <v>7353</v>
      </c>
      <c r="F2426" s="1" t="s">
        <v>7353</v>
      </c>
      <c r="G2426" s="1" t="s">
        <v>7354</v>
      </c>
      <c r="H2426" s="1" t="s">
        <v>7361</v>
      </c>
      <c r="I2426" s="1" t="str">
        <f t="shared" si="1"/>
        <v>28</v>
      </c>
      <c r="J2426" s="5"/>
      <c r="K2426" s="1" t="str">
        <f t="shared" si="2"/>
        <v>9</v>
      </c>
      <c r="L2426" s="5"/>
      <c r="M2426" s="2" t="str">
        <f t="shared" si="3"/>
        <v>1390</v>
      </c>
      <c r="N2426" s="5"/>
      <c r="O2426" s="2">
        <v>12.0</v>
      </c>
      <c r="P2426" s="5"/>
      <c r="Q2426" s="5"/>
      <c r="R2426" s="6" t="s">
        <v>7361</v>
      </c>
      <c r="S2426" s="5"/>
      <c r="T2426" s="1" t="str">
        <f>IFERROR(__xludf.DUMMYFUNCTION("INDEX(SPLIT(A2426, ""/""), 2)"),"نشریات مستقل")</f>
        <v>نشریات مستقل</v>
      </c>
      <c r="U2426" s="1" t="str">
        <f>IFERROR(__xludf.DUMMYFUNCTION("INDEX(SPLIT(A2426, ""/""), 3)"),"زیر سوال")</f>
        <v>زیر سوال</v>
      </c>
      <c r="V2426" s="1" t="str">
        <f>IFERROR(__xludf.DUMMYFUNCTION("INDEX(SPLIT(A2426, ""/""), 4)"),"#REF!")</f>
        <v>#REF!</v>
      </c>
    </row>
    <row r="2427">
      <c r="A2427" s="1" t="s">
        <v>7325</v>
      </c>
      <c r="B2427" s="1" t="s">
        <v>7362</v>
      </c>
      <c r="C2427" s="1" t="s">
        <v>21</v>
      </c>
      <c r="D2427" s="4" t="s">
        <v>7363</v>
      </c>
      <c r="E2427" s="1" t="s">
        <v>7353</v>
      </c>
      <c r="F2427" s="1" t="s">
        <v>7353</v>
      </c>
      <c r="G2427" s="1" t="s">
        <v>7354</v>
      </c>
      <c r="H2427" s="7" t="s">
        <v>7364</v>
      </c>
      <c r="I2427" s="1" t="str">
        <f t="shared" si="1"/>
        <v>1</v>
      </c>
      <c r="J2427" s="5"/>
      <c r="K2427" s="1" t="str">
        <f t="shared" si="2"/>
        <v>12</v>
      </c>
      <c r="L2427" s="5"/>
      <c r="M2427" s="2" t="str">
        <f t="shared" si="3"/>
        <v>1390</v>
      </c>
      <c r="N2427" s="5"/>
      <c r="O2427" s="2">
        <v>13.0</v>
      </c>
      <c r="P2427" s="5"/>
      <c r="Q2427" s="5"/>
      <c r="R2427" s="8" t="s">
        <v>7364</v>
      </c>
      <c r="S2427" s="5"/>
      <c r="T2427" s="1" t="str">
        <f>IFERROR(__xludf.DUMMYFUNCTION("INDEX(SPLIT(A2427, ""/""), 2)"),"نشریات مستقل")</f>
        <v>نشریات مستقل</v>
      </c>
      <c r="U2427" s="1" t="str">
        <f>IFERROR(__xludf.DUMMYFUNCTION("INDEX(SPLIT(A2427, ""/""), 3)"),"زیر سوال")</f>
        <v>زیر سوال</v>
      </c>
      <c r="V2427" s="1" t="str">
        <f>IFERROR(__xludf.DUMMYFUNCTION("INDEX(SPLIT(A2427, ""/""), 4)"),"#REF!")</f>
        <v>#REF!</v>
      </c>
    </row>
    <row r="2428">
      <c r="A2428" s="1" t="s">
        <v>7325</v>
      </c>
      <c r="B2428" s="1" t="s">
        <v>7365</v>
      </c>
      <c r="C2428" s="1" t="s">
        <v>21</v>
      </c>
      <c r="D2428" s="4" t="s">
        <v>7366</v>
      </c>
      <c r="E2428" s="1" t="s">
        <v>7353</v>
      </c>
      <c r="F2428" s="1" t="s">
        <v>7353</v>
      </c>
      <c r="G2428" s="1" t="s">
        <v>7354</v>
      </c>
      <c r="H2428" s="1" t="s">
        <v>7367</v>
      </c>
      <c r="I2428" s="1" t="str">
        <f t="shared" si="1"/>
        <v>15</v>
      </c>
      <c r="J2428" s="5"/>
      <c r="K2428" s="1" t="str">
        <f t="shared" si="2"/>
        <v>12</v>
      </c>
      <c r="L2428" s="5"/>
      <c r="M2428" s="2" t="str">
        <f t="shared" si="3"/>
        <v>1390</v>
      </c>
      <c r="N2428" s="5"/>
      <c r="O2428" s="2">
        <v>14.0</v>
      </c>
      <c r="P2428" s="5"/>
      <c r="Q2428" s="5"/>
      <c r="R2428" s="6" t="s">
        <v>7367</v>
      </c>
      <c r="S2428" s="5"/>
      <c r="T2428" s="1" t="str">
        <f>IFERROR(__xludf.DUMMYFUNCTION("INDEX(SPLIT(A2428, ""/""), 2)"),"نشریات مستقل")</f>
        <v>نشریات مستقل</v>
      </c>
      <c r="U2428" s="1" t="str">
        <f>IFERROR(__xludf.DUMMYFUNCTION("INDEX(SPLIT(A2428, ""/""), 3)"),"زیر سوال")</f>
        <v>زیر سوال</v>
      </c>
      <c r="V2428" s="1" t="str">
        <f>IFERROR(__xludf.DUMMYFUNCTION("INDEX(SPLIT(A2428, ""/""), 4)"),"#REF!")</f>
        <v>#REF!</v>
      </c>
    </row>
    <row r="2429">
      <c r="A2429" s="1" t="s">
        <v>7325</v>
      </c>
      <c r="B2429" s="1" t="s">
        <v>7368</v>
      </c>
      <c r="C2429" s="1" t="s">
        <v>21</v>
      </c>
      <c r="D2429" s="4" t="s">
        <v>7369</v>
      </c>
      <c r="E2429" s="1" t="s">
        <v>7353</v>
      </c>
      <c r="F2429" s="1" t="s">
        <v>7353</v>
      </c>
      <c r="G2429" s="1" t="s">
        <v>7354</v>
      </c>
      <c r="H2429" s="1" t="s">
        <v>7370</v>
      </c>
      <c r="I2429" s="1" t="str">
        <f t="shared" si="1"/>
        <v>28</v>
      </c>
      <c r="J2429" s="5"/>
      <c r="K2429" s="1" t="str">
        <f t="shared" si="2"/>
        <v>1</v>
      </c>
      <c r="L2429" s="5"/>
      <c r="M2429" s="2" t="str">
        <f t="shared" si="3"/>
        <v>1391</v>
      </c>
      <c r="N2429" s="5"/>
      <c r="O2429" s="2">
        <v>15.0</v>
      </c>
      <c r="P2429" s="5"/>
      <c r="Q2429" s="5"/>
      <c r="R2429" s="6" t="s">
        <v>7370</v>
      </c>
      <c r="S2429" s="5"/>
      <c r="T2429" s="1" t="str">
        <f>IFERROR(__xludf.DUMMYFUNCTION("INDEX(SPLIT(A2429, ""/""), 2)"),"نشریات مستقل")</f>
        <v>نشریات مستقل</v>
      </c>
      <c r="U2429" s="1" t="str">
        <f>IFERROR(__xludf.DUMMYFUNCTION("INDEX(SPLIT(A2429, ""/""), 3)"),"زیر سوال")</f>
        <v>زیر سوال</v>
      </c>
      <c r="V2429" s="1" t="str">
        <f>IFERROR(__xludf.DUMMYFUNCTION("INDEX(SPLIT(A2429, ""/""), 4)"),"#REF!")</f>
        <v>#REF!</v>
      </c>
    </row>
    <row r="2430">
      <c r="A2430" s="1" t="s">
        <v>7325</v>
      </c>
      <c r="B2430" s="1" t="s">
        <v>7371</v>
      </c>
      <c r="C2430" s="1" t="s">
        <v>21</v>
      </c>
      <c r="D2430" s="4" t="s">
        <v>7372</v>
      </c>
      <c r="E2430" s="1" t="s">
        <v>7353</v>
      </c>
      <c r="F2430" s="1" t="s">
        <v>7353</v>
      </c>
      <c r="G2430" s="1" t="s">
        <v>7354</v>
      </c>
      <c r="H2430" s="7" t="s">
        <v>7373</v>
      </c>
      <c r="I2430" s="1" t="str">
        <f t="shared" si="1"/>
        <v>11</v>
      </c>
      <c r="J2430" s="5"/>
      <c r="K2430" s="1" t="str">
        <f t="shared" si="2"/>
        <v>2</v>
      </c>
      <c r="L2430" s="5"/>
      <c r="M2430" s="2" t="str">
        <f t="shared" si="3"/>
        <v>1391</v>
      </c>
      <c r="N2430" s="5"/>
      <c r="O2430" s="2">
        <v>16.0</v>
      </c>
      <c r="P2430" s="5"/>
      <c r="Q2430" s="5"/>
      <c r="R2430" s="8" t="s">
        <v>7373</v>
      </c>
      <c r="S2430" s="5"/>
      <c r="T2430" s="1" t="str">
        <f>IFERROR(__xludf.DUMMYFUNCTION("INDEX(SPLIT(A2430, ""/""), 2)"),"نشریات مستقل")</f>
        <v>نشریات مستقل</v>
      </c>
      <c r="U2430" s="1" t="str">
        <f>IFERROR(__xludf.DUMMYFUNCTION("INDEX(SPLIT(A2430, ""/""), 3)"),"زیر سوال")</f>
        <v>زیر سوال</v>
      </c>
      <c r="V2430" s="1" t="str">
        <f>IFERROR(__xludf.DUMMYFUNCTION("INDEX(SPLIT(A2430, ""/""), 4)"),"#REF!")</f>
        <v>#REF!</v>
      </c>
    </row>
    <row r="2431">
      <c r="A2431" s="1" t="s">
        <v>7325</v>
      </c>
      <c r="B2431" s="1" t="s">
        <v>7374</v>
      </c>
      <c r="C2431" s="1" t="s">
        <v>21</v>
      </c>
      <c r="D2431" s="4" t="s">
        <v>7375</v>
      </c>
      <c r="E2431" s="1" t="s">
        <v>7353</v>
      </c>
      <c r="F2431" s="1" t="s">
        <v>7353</v>
      </c>
      <c r="G2431" s="1" t="s">
        <v>7354</v>
      </c>
      <c r="H2431" s="7" t="s">
        <v>7376</v>
      </c>
      <c r="I2431" s="1" t="str">
        <f t="shared" si="1"/>
        <v>2</v>
      </c>
      <c r="J2431" s="5"/>
      <c r="K2431" s="1" t="str">
        <f t="shared" si="2"/>
        <v>3</v>
      </c>
      <c r="L2431" s="5"/>
      <c r="M2431" s="2" t="str">
        <f t="shared" si="3"/>
        <v>1391</v>
      </c>
      <c r="N2431" s="5"/>
      <c r="O2431" s="2">
        <v>17.0</v>
      </c>
      <c r="P2431" s="5"/>
      <c r="Q2431" s="5"/>
      <c r="R2431" s="8" t="s">
        <v>7376</v>
      </c>
      <c r="S2431" s="5"/>
      <c r="T2431" s="1" t="str">
        <f>IFERROR(__xludf.DUMMYFUNCTION("INDEX(SPLIT(A2431, ""/""), 2)"),"نشریات مستقل")</f>
        <v>نشریات مستقل</v>
      </c>
      <c r="U2431" s="1" t="str">
        <f>IFERROR(__xludf.DUMMYFUNCTION("INDEX(SPLIT(A2431, ""/""), 3)"),"زیر سوال")</f>
        <v>زیر سوال</v>
      </c>
      <c r="V2431" s="1" t="str">
        <f>IFERROR(__xludf.DUMMYFUNCTION("INDEX(SPLIT(A2431, ""/""), 4)"),"#REF!")</f>
        <v>#REF!</v>
      </c>
    </row>
    <row r="2432">
      <c r="A2432" s="1" t="s">
        <v>7325</v>
      </c>
      <c r="B2432" s="1" t="s">
        <v>7377</v>
      </c>
      <c r="C2432" s="1" t="s">
        <v>21</v>
      </c>
      <c r="D2432" s="4" t="s">
        <v>7378</v>
      </c>
      <c r="E2432" s="1" t="s">
        <v>7353</v>
      </c>
      <c r="F2432" s="1" t="s">
        <v>7379</v>
      </c>
      <c r="G2432" s="1" t="s">
        <v>7380</v>
      </c>
      <c r="H2432" s="1" t="s">
        <v>7381</v>
      </c>
      <c r="I2432" s="1" t="str">
        <f t="shared" si="1"/>
        <v>23</v>
      </c>
      <c r="J2432" s="5"/>
      <c r="K2432" s="1" t="str">
        <f t="shared" si="2"/>
        <v>7</v>
      </c>
      <c r="L2432" s="5"/>
      <c r="M2432" s="2" t="str">
        <f t="shared" si="3"/>
        <v>1391</v>
      </c>
      <c r="N2432" s="5"/>
      <c r="O2432" s="2">
        <v>18.0</v>
      </c>
      <c r="P2432" s="5"/>
      <c r="Q2432" s="5"/>
      <c r="R2432" s="6" t="s">
        <v>7381</v>
      </c>
      <c r="S2432" s="5"/>
      <c r="T2432" s="1" t="str">
        <f>IFERROR(__xludf.DUMMYFUNCTION("INDEX(SPLIT(A2432, ""/""), 2)"),"نشریات مستقل")</f>
        <v>نشریات مستقل</v>
      </c>
      <c r="U2432" s="1" t="str">
        <f>IFERROR(__xludf.DUMMYFUNCTION("INDEX(SPLIT(A2432, ""/""), 3)"),"زیر سوال")</f>
        <v>زیر سوال</v>
      </c>
      <c r="V2432" s="1" t="str">
        <f>IFERROR(__xludf.DUMMYFUNCTION("INDEX(SPLIT(A2432, ""/""), 4)"),"#REF!")</f>
        <v>#REF!</v>
      </c>
    </row>
    <row r="2433">
      <c r="A2433" s="1" t="s">
        <v>7325</v>
      </c>
      <c r="B2433" s="1" t="s">
        <v>7382</v>
      </c>
      <c r="C2433" s="1" t="s">
        <v>21</v>
      </c>
      <c r="D2433" s="4" t="s">
        <v>7383</v>
      </c>
      <c r="E2433" s="1" t="s">
        <v>7353</v>
      </c>
      <c r="F2433" s="1" t="s">
        <v>7379</v>
      </c>
      <c r="G2433" s="1" t="s">
        <v>7380</v>
      </c>
      <c r="H2433" s="7" t="s">
        <v>7384</v>
      </c>
      <c r="I2433" s="1" t="str">
        <f t="shared" si="1"/>
        <v>8</v>
      </c>
      <c r="J2433" s="5"/>
      <c r="K2433" s="1" t="str">
        <f t="shared" si="2"/>
        <v>8</v>
      </c>
      <c r="L2433" s="5"/>
      <c r="M2433" s="2" t="str">
        <f t="shared" si="3"/>
        <v>1391</v>
      </c>
      <c r="N2433" s="5"/>
      <c r="O2433" s="2">
        <v>19.0</v>
      </c>
      <c r="P2433" s="5"/>
      <c r="Q2433" s="5"/>
      <c r="R2433" s="8" t="s">
        <v>7384</v>
      </c>
      <c r="S2433" s="5"/>
      <c r="T2433" s="1" t="str">
        <f>IFERROR(__xludf.DUMMYFUNCTION("INDEX(SPLIT(A2433, ""/""), 2)"),"نشریات مستقل")</f>
        <v>نشریات مستقل</v>
      </c>
      <c r="U2433" s="1" t="str">
        <f>IFERROR(__xludf.DUMMYFUNCTION("INDEX(SPLIT(A2433, ""/""), 3)"),"زیر سوال")</f>
        <v>زیر سوال</v>
      </c>
      <c r="V2433" s="1" t="str">
        <f>IFERROR(__xludf.DUMMYFUNCTION("INDEX(SPLIT(A2433, ""/""), 4)"),"#REF!")</f>
        <v>#REF!</v>
      </c>
    </row>
    <row r="2434">
      <c r="A2434" s="1" t="s">
        <v>7325</v>
      </c>
      <c r="B2434" s="1" t="s">
        <v>7385</v>
      </c>
      <c r="C2434" s="1" t="s">
        <v>21</v>
      </c>
      <c r="D2434" s="4" t="s">
        <v>7386</v>
      </c>
      <c r="E2434" s="1" t="s">
        <v>7353</v>
      </c>
      <c r="F2434" s="1" t="s">
        <v>7379</v>
      </c>
      <c r="G2434" s="1" t="s">
        <v>7380</v>
      </c>
      <c r="H2434" s="1" t="s">
        <v>7387</v>
      </c>
      <c r="I2434" s="1" t="str">
        <f t="shared" si="1"/>
        <v>29</v>
      </c>
      <c r="J2434" s="5"/>
      <c r="K2434" s="1" t="str">
        <f t="shared" si="2"/>
        <v>8</v>
      </c>
      <c r="L2434" s="5"/>
      <c r="M2434" s="2" t="str">
        <f t="shared" si="3"/>
        <v>1391</v>
      </c>
      <c r="N2434" s="5"/>
      <c r="O2434" s="2">
        <v>20.0</v>
      </c>
      <c r="P2434" s="5"/>
      <c r="Q2434" s="5"/>
      <c r="R2434" s="6" t="s">
        <v>7387</v>
      </c>
      <c r="S2434" s="5"/>
      <c r="T2434" s="1" t="str">
        <f>IFERROR(__xludf.DUMMYFUNCTION("INDEX(SPLIT(A2434, ""/""), 2)"),"نشریات مستقل")</f>
        <v>نشریات مستقل</v>
      </c>
      <c r="U2434" s="1" t="str">
        <f>IFERROR(__xludf.DUMMYFUNCTION("INDEX(SPLIT(A2434, ""/""), 3)"),"زیر سوال")</f>
        <v>زیر سوال</v>
      </c>
      <c r="V2434" s="1" t="str">
        <f>IFERROR(__xludf.DUMMYFUNCTION("INDEX(SPLIT(A2434, ""/""), 4)"),"#REF!")</f>
        <v>#REF!</v>
      </c>
    </row>
    <row r="2435">
      <c r="A2435" s="1" t="s">
        <v>7325</v>
      </c>
      <c r="B2435" s="1" t="s">
        <v>7388</v>
      </c>
      <c r="C2435" s="1" t="s">
        <v>21</v>
      </c>
      <c r="D2435" s="4" t="s">
        <v>7389</v>
      </c>
      <c r="E2435" s="1" t="s">
        <v>7353</v>
      </c>
      <c r="F2435" s="1" t="s">
        <v>7379</v>
      </c>
      <c r="G2435" s="1" t="s">
        <v>7380</v>
      </c>
      <c r="H2435" s="1" t="s">
        <v>7390</v>
      </c>
      <c r="I2435" s="1" t="str">
        <f t="shared" si="1"/>
        <v>20</v>
      </c>
      <c r="J2435" s="5"/>
      <c r="K2435" s="1" t="str">
        <f t="shared" si="2"/>
        <v>9</v>
      </c>
      <c r="L2435" s="5"/>
      <c r="M2435" s="2" t="str">
        <f t="shared" si="3"/>
        <v>1391</v>
      </c>
      <c r="N2435" s="5"/>
      <c r="O2435" s="2">
        <v>21.0</v>
      </c>
      <c r="P2435" s="5"/>
      <c r="Q2435" s="5"/>
      <c r="R2435" s="6" t="s">
        <v>7390</v>
      </c>
      <c r="S2435" s="5"/>
      <c r="T2435" s="1" t="str">
        <f>IFERROR(__xludf.DUMMYFUNCTION("INDEX(SPLIT(A2435, ""/""), 2)"),"نشریات مستقل")</f>
        <v>نشریات مستقل</v>
      </c>
      <c r="U2435" s="1" t="str">
        <f>IFERROR(__xludf.DUMMYFUNCTION("INDEX(SPLIT(A2435, ""/""), 3)"),"زیر سوال")</f>
        <v>زیر سوال</v>
      </c>
      <c r="V2435" s="1" t="str">
        <f>IFERROR(__xludf.DUMMYFUNCTION("INDEX(SPLIT(A2435, ""/""), 4)"),"#REF!")</f>
        <v>#REF!</v>
      </c>
    </row>
    <row r="2436">
      <c r="A2436" s="1" t="s">
        <v>7325</v>
      </c>
      <c r="B2436" s="1" t="s">
        <v>7391</v>
      </c>
      <c r="C2436" s="1" t="s">
        <v>21</v>
      </c>
      <c r="D2436" s="4" t="s">
        <v>7392</v>
      </c>
      <c r="E2436" s="1" t="s">
        <v>7353</v>
      </c>
      <c r="F2436" s="1" t="s">
        <v>7379</v>
      </c>
      <c r="G2436" s="1" t="s">
        <v>7380</v>
      </c>
      <c r="H2436" s="1" t="s">
        <v>7393</v>
      </c>
      <c r="I2436" s="1" t="str">
        <f t="shared" si="1"/>
        <v>29</v>
      </c>
      <c r="J2436" s="5"/>
      <c r="K2436" s="1" t="str">
        <f t="shared" si="2"/>
        <v>11</v>
      </c>
      <c r="L2436" s="5"/>
      <c r="M2436" s="2" t="str">
        <f t="shared" si="3"/>
        <v>1391</v>
      </c>
      <c r="N2436" s="5"/>
      <c r="O2436" s="2">
        <v>22.0</v>
      </c>
      <c r="P2436" s="5"/>
      <c r="Q2436" s="5"/>
      <c r="R2436" s="6" t="s">
        <v>7393</v>
      </c>
      <c r="S2436" s="5"/>
      <c r="T2436" s="1" t="str">
        <f>IFERROR(__xludf.DUMMYFUNCTION("INDEX(SPLIT(A2436, ""/""), 2)"),"نشریات مستقل")</f>
        <v>نشریات مستقل</v>
      </c>
      <c r="U2436" s="1" t="str">
        <f>IFERROR(__xludf.DUMMYFUNCTION("INDEX(SPLIT(A2436, ""/""), 3)"),"زیر سوال")</f>
        <v>زیر سوال</v>
      </c>
      <c r="V2436" s="1" t="str">
        <f>IFERROR(__xludf.DUMMYFUNCTION("INDEX(SPLIT(A2436, ""/""), 4)"),"#REF!")</f>
        <v>#REF!</v>
      </c>
    </row>
    <row r="2437">
      <c r="A2437" s="1" t="s">
        <v>7325</v>
      </c>
      <c r="B2437" s="1" t="s">
        <v>7394</v>
      </c>
      <c r="C2437" s="1" t="s">
        <v>21</v>
      </c>
      <c r="D2437" s="4" t="s">
        <v>7395</v>
      </c>
      <c r="E2437" s="1" t="s">
        <v>7353</v>
      </c>
      <c r="F2437" s="1" t="s">
        <v>7379</v>
      </c>
      <c r="G2437" s="1" t="s">
        <v>7396</v>
      </c>
      <c r="H2437" s="1" t="s">
        <v>7397</v>
      </c>
      <c r="I2437" s="1" t="str">
        <f t="shared" si="1"/>
        <v>20</v>
      </c>
      <c r="J2437" s="5"/>
      <c r="K2437" s="1" t="str">
        <f t="shared" si="2"/>
        <v>12</v>
      </c>
      <c r="L2437" s="5"/>
      <c r="M2437" s="2" t="str">
        <f t="shared" si="3"/>
        <v>1391</v>
      </c>
      <c r="N2437" s="5"/>
      <c r="O2437" s="2">
        <v>23.0</v>
      </c>
      <c r="P2437" s="5"/>
      <c r="Q2437" s="5"/>
      <c r="R2437" s="6" t="s">
        <v>7397</v>
      </c>
      <c r="S2437" s="5"/>
      <c r="T2437" s="1" t="str">
        <f>IFERROR(__xludf.DUMMYFUNCTION("INDEX(SPLIT(A2437, ""/""), 2)"),"نشریات مستقل")</f>
        <v>نشریات مستقل</v>
      </c>
      <c r="U2437" s="1" t="str">
        <f>IFERROR(__xludf.DUMMYFUNCTION("INDEX(SPLIT(A2437, ""/""), 3)"),"زیر سوال")</f>
        <v>زیر سوال</v>
      </c>
      <c r="V2437" s="1" t="str">
        <f>IFERROR(__xludf.DUMMYFUNCTION("INDEX(SPLIT(A2437, ""/""), 4)"),"#REF!")</f>
        <v>#REF!</v>
      </c>
    </row>
    <row r="2438">
      <c r="A2438" s="1" t="s">
        <v>7325</v>
      </c>
      <c r="B2438" s="1" t="s">
        <v>7398</v>
      </c>
      <c r="C2438" s="1" t="s">
        <v>21</v>
      </c>
      <c r="D2438" s="4" t="s">
        <v>7399</v>
      </c>
      <c r="E2438" s="1" t="s">
        <v>7353</v>
      </c>
      <c r="F2438" s="1" t="s">
        <v>7379</v>
      </c>
      <c r="G2438" s="1" t="s">
        <v>7396</v>
      </c>
      <c r="H2438" s="7" t="s">
        <v>3822</v>
      </c>
      <c r="I2438" s="1" t="str">
        <f t="shared" si="1"/>
        <v>2</v>
      </c>
      <c r="J2438" s="5"/>
      <c r="K2438" s="1" t="str">
        <f t="shared" si="2"/>
        <v>2</v>
      </c>
      <c r="L2438" s="5"/>
      <c r="M2438" s="2" t="str">
        <f t="shared" si="3"/>
        <v>1392</v>
      </c>
      <c r="N2438" s="5"/>
      <c r="O2438" s="2">
        <v>24.0</v>
      </c>
      <c r="P2438" s="5"/>
      <c r="Q2438" s="5"/>
      <c r="R2438" s="8" t="s">
        <v>3822</v>
      </c>
      <c r="S2438" s="5"/>
      <c r="T2438" s="1" t="str">
        <f>IFERROR(__xludf.DUMMYFUNCTION("INDEX(SPLIT(A2438, ""/""), 2)"),"نشریات مستقل")</f>
        <v>نشریات مستقل</v>
      </c>
      <c r="U2438" s="1" t="str">
        <f>IFERROR(__xludf.DUMMYFUNCTION("INDEX(SPLIT(A2438, ""/""), 3)"),"زیر سوال")</f>
        <v>زیر سوال</v>
      </c>
      <c r="V2438" s="1" t="str">
        <f>IFERROR(__xludf.DUMMYFUNCTION("INDEX(SPLIT(A2438, ""/""), 4)"),"#REF!")</f>
        <v>#REF!</v>
      </c>
    </row>
    <row r="2439">
      <c r="A2439" s="1" t="s">
        <v>7325</v>
      </c>
      <c r="B2439" s="1" t="s">
        <v>7400</v>
      </c>
      <c r="C2439" s="1" t="s">
        <v>21</v>
      </c>
      <c r="D2439" s="4" t="s">
        <v>7401</v>
      </c>
      <c r="E2439" s="1" t="s">
        <v>7353</v>
      </c>
      <c r="F2439" s="1" t="s">
        <v>7379</v>
      </c>
      <c r="G2439" s="1" t="s">
        <v>7396</v>
      </c>
      <c r="H2439" s="1" t="s">
        <v>7402</v>
      </c>
      <c r="I2439" s="1" t="str">
        <f t="shared" si="1"/>
        <v>23</v>
      </c>
      <c r="J2439" s="5"/>
      <c r="K2439" s="1" t="str">
        <f t="shared" si="2"/>
        <v>2</v>
      </c>
      <c r="L2439" s="5"/>
      <c r="M2439" s="2" t="str">
        <f t="shared" si="3"/>
        <v>1392</v>
      </c>
      <c r="N2439" s="5"/>
      <c r="O2439" s="2">
        <v>25.0</v>
      </c>
      <c r="P2439" s="5"/>
      <c r="Q2439" s="5"/>
      <c r="R2439" s="6" t="s">
        <v>7402</v>
      </c>
      <c r="S2439" s="5"/>
      <c r="T2439" s="1" t="str">
        <f>IFERROR(__xludf.DUMMYFUNCTION("INDEX(SPLIT(A2439, ""/""), 2)"),"نشریات مستقل")</f>
        <v>نشریات مستقل</v>
      </c>
      <c r="U2439" s="1" t="str">
        <f>IFERROR(__xludf.DUMMYFUNCTION("INDEX(SPLIT(A2439, ""/""), 3)"),"زیر سوال")</f>
        <v>زیر سوال</v>
      </c>
      <c r="V2439" s="1" t="str">
        <f>IFERROR(__xludf.DUMMYFUNCTION("INDEX(SPLIT(A2439, ""/""), 4)"),"#REF!")</f>
        <v>#REF!</v>
      </c>
    </row>
    <row r="2440">
      <c r="A2440" s="1" t="s">
        <v>7325</v>
      </c>
      <c r="B2440" s="1" t="s">
        <v>7403</v>
      </c>
      <c r="C2440" s="1" t="s">
        <v>21</v>
      </c>
      <c r="D2440" s="4" t="s">
        <v>7404</v>
      </c>
      <c r="E2440" s="1" t="s">
        <v>7353</v>
      </c>
      <c r="F2440" s="1" t="s">
        <v>7379</v>
      </c>
      <c r="G2440" s="1" t="s">
        <v>7396</v>
      </c>
      <c r="H2440" s="1" t="s">
        <v>5528</v>
      </c>
      <c r="I2440" s="1" t="str">
        <f t="shared" si="1"/>
        <v>28</v>
      </c>
      <c r="J2440" s="5"/>
      <c r="K2440" s="1" t="str">
        <f t="shared" si="2"/>
        <v>2</v>
      </c>
      <c r="L2440" s="5"/>
      <c r="M2440" s="2" t="str">
        <f t="shared" si="3"/>
        <v>1392</v>
      </c>
      <c r="N2440" s="5"/>
      <c r="O2440" s="2">
        <v>26.0</v>
      </c>
      <c r="P2440" s="5"/>
      <c r="Q2440" s="5"/>
      <c r="R2440" s="6" t="s">
        <v>5528</v>
      </c>
      <c r="S2440" s="5"/>
      <c r="T2440" s="1" t="str">
        <f>IFERROR(__xludf.DUMMYFUNCTION("INDEX(SPLIT(A2440, ""/""), 2)"),"نشریات مستقل")</f>
        <v>نشریات مستقل</v>
      </c>
      <c r="U2440" s="1" t="str">
        <f>IFERROR(__xludf.DUMMYFUNCTION("INDEX(SPLIT(A2440, ""/""), 3)"),"زیر سوال")</f>
        <v>زیر سوال</v>
      </c>
      <c r="V2440" s="1" t="str">
        <f>IFERROR(__xludf.DUMMYFUNCTION("INDEX(SPLIT(A2440, ""/""), 4)"),"#REF!")</f>
        <v>#REF!</v>
      </c>
    </row>
    <row r="2441">
      <c r="A2441" s="1" t="s">
        <v>7325</v>
      </c>
      <c r="B2441" s="1" t="s">
        <v>7405</v>
      </c>
      <c r="C2441" s="1" t="s">
        <v>21</v>
      </c>
      <c r="D2441" s="4" t="s">
        <v>7406</v>
      </c>
      <c r="E2441" s="1" t="s">
        <v>7353</v>
      </c>
      <c r="F2441" s="1" t="s">
        <v>7379</v>
      </c>
      <c r="G2441" s="1" t="s">
        <v>7396</v>
      </c>
      <c r="H2441" s="7" t="s">
        <v>3822</v>
      </c>
      <c r="I2441" s="1" t="str">
        <f t="shared" si="1"/>
        <v>2</v>
      </c>
      <c r="J2441" s="5"/>
      <c r="K2441" s="1" t="str">
        <f t="shared" si="2"/>
        <v>2</v>
      </c>
      <c r="L2441" s="5"/>
      <c r="M2441" s="2" t="str">
        <f t="shared" si="3"/>
        <v>1392</v>
      </c>
      <c r="N2441" s="5"/>
      <c r="O2441" s="2">
        <v>27.0</v>
      </c>
      <c r="P2441" s="5"/>
      <c r="Q2441" s="5"/>
      <c r="R2441" s="8" t="s">
        <v>3822</v>
      </c>
      <c r="S2441" s="5"/>
      <c r="T2441" s="1" t="str">
        <f>IFERROR(__xludf.DUMMYFUNCTION("INDEX(SPLIT(A2441, ""/""), 2)"),"نشریات مستقل")</f>
        <v>نشریات مستقل</v>
      </c>
      <c r="U2441" s="1" t="str">
        <f>IFERROR(__xludf.DUMMYFUNCTION("INDEX(SPLIT(A2441, ""/""), 3)"),"زیر سوال")</f>
        <v>زیر سوال</v>
      </c>
      <c r="V2441" s="1" t="str">
        <f>IFERROR(__xludf.DUMMYFUNCTION("INDEX(SPLIT(A2441, ""/""), 4)"),"#REF!")</f>
        <v>#REF!</v>
      </c>
    </row>
    <row r="2442">
      <c r="A2442" s="1" t="s">
        <v>7325</v>
      </c>
      <c r="B2442" s="1" t="s">
        <v>7407</v>
      </c>
      <c r="C2442" s="1" t="s">
        <v>21</v>
      </c>
      <c r="D2442" s="4" t="s">
        <v>7408</v>
      </c>
      <c r="E2442" s="1" t="s">
        <v>7353</v>
      </c>
      <c r="F2442" s="1" t="s">
        <v>7379</v>
      </c>
      <c r="G2442" s="1" t="s">
        <v>7396</v>
      </c>
      <c r="H2442" s="1" t="s">
        <v>3830</v>
      </c>
      <c r="I2442" s="1" t="str">
        <f t="shared" si="1"/>
        <v>15</v>
      </c>
      <c r="J2442" s="5"/>
      <c r="K2442" s="1" t="str">
        <f t="shared" si="2"/>
        <v>7</v>
      </c>
      <c r="L2442" s="5"/>
      <c r="M2442" s="2" t="str">
        <f t="shared" si="3"/>
        <v>1392</v>
      </c>
      <c r="N2442" s="5"/>
      <c r="O2442" s="2">
        <v>28.0</v>
      </c>
      <c r="P2442" s="5"/>
      <c r="Q2442" s="5"/>
      <c r="R2442" s="6" t="s">
        <v>3830</v>
      </c>
      <c r="S2442" s="5"/>
      <c r="T2442" s="1" t="str">
        <f>IFERROR(__xludf.DUMMYFUNCTION("INDEX(SPLIT(A2442, ""/""), 2)"),"نشریات مستقل")</f>
        <v>نشریات مستقل</v>
      </c>
      <c r="U2442" s="1" t="str">
        <f>IFERROR(__xludf.DUMMYFUNCTION("INDEX(SPLIT(A2442, ""/""), 3)"),"زیر سوال")</f>
        <v>زیر سوال</v>
      </c>
      <c r="V2442" s="1" t="str">
        <f>IFERROR(__xludf.DUMMYFUNCTION("INDEX(SPLIT(A2442, ""/""), 4)"),"#REF!")</f>
        <v>#REF!</v>
      </c>
    </row>
    <row r="2443">
      <c r="A2443" s="1" t="s">
        <v>7325</v>
      </c>
      <c r="B2443" s="1" t="s">
        <v>7409</v>
      </c>
      <c r="C2443" s="1" t="s">
        <v>21</v>
      </c>
      <c r="D2443" s="4" t="s">
        <v>7410</v>
      </c>
      <c r="E2443" s="1" t="s">
        <v>7353</v>
      </c>
      <c r="F2443" s="1" t="s">
        <v>7379</v>
      </c>
      <c r="G2443" s="1" t="s">
        <v>7396</v>
      </c>
      <c r="H2443" s="1" t="s">
        <v>5558</v>
      </c>
      <c r="I2443" s="1" t="str">
        <f t="shared" si="1"/>
        <v>30</v>
      </c>
      <c r="J2443" s="5"/>
      <c r="K2443" s="1" t="str">
        <f t="shared" si="2"/>
        <v>7</v>
      </c>
      <c r="L2443" s="5"/>
      <c r="M2443" s="2" t="str">
        <f t="shared" si="3"/>
        <v>1392</v>
      </c>
      <c r="N2443" s="5"/>
      <c r="O2443" s="2">
        <v>29.0</v>
      </c>
      <c r="P2443" s="5"/>
      <c r="Q2443" s="5"/>
      <c r="R2443" s="6" t="s">
        <v>5558</v>
      </c>
      <c r="S2443" s="5"/>
      <c r="T2443" s="1" t="str">
        <f>IFERROR(__xludf.DUMMYFUNCTION("INDEX(SPLIT(A2443, ""/""), 2)"),"نشریات مستقل")</f>
        <v>نشریات مستقل</v>
      </c>
      <c r="U2443" s="1" t="str">
        <f>IFERROR(__xludf.DUMMYFUNCTION("INDEX(SPLIT(A2443, ""/""), 3)"),"زیر سوال")</f>
        <v>زیر سوال</v>
      </c>
      <c r="V2443" s="1" t="str">
        <f>IFERROR(__xludf.DUMMYFUNCTION("INDEX(SPLIT(A2443, ""/""), 4)"),"#REF!")</f>
        <v>#REF!</v>
      </c>
    </row>
    <row r="2444">
      <c r="A2444" s="1" t="s">
        <v>7325</v>
      </c>
      <c r="B2444" s="1" t="s">
        <v>7411</v>
      </c>
      <c r="C2444" s="1" t="s">
        <v>21</v>
      </c>
      <c r="D2444" s="4" t="s">
        <v>7412</v>
      </c>
      <c r="E2444" s="1" t="s">
        <v>7379</v>
      </c>
      <c r="F2444" s="1" t="s">
        <v>7413</v>
      </c>
      <c r="G2444" s="1" t="s">
        <v>7414</v>
      </c>
      <c r="H2444" s="1" t="s">
        <v>7415</v>
      </c>
      <c r="I2444" s="1" t="str">
        <f t="shared" si="1"/>
        <v>27</v>
      </c>
      <c r="J2444" s="5"/>
      <c r="K2444" s="1" t="str">
        <f t="shared" si="2"/>
        <v>8</v>
      </c>
      <c r="L2444" s="5"/>
      <c r="M2444" s="2" t="str">
        <f t="shared" si="3"/>
        <v>1392</v>
      </c>
      <c r="N2444" s="5"/>
      <c r="O2444" s="2">
        <v>30.0</v>
      </c>
      <c r="P2444" s="5"/>
      <c r="Q2444" s="5"/>
      <c r="R2444" s="6" t="s">
        <v>7415</v>
      </c>
      <c r="S2444" s="5"/>
      <c r="T2444" s="1" t="str">
        <f>IFERROR(__xludf.DUMMYFUNCTION("INDEX(SPLIT(A2444, ""/""), 2)"),"نشریات مستقل")</f>
        <v>نشریات مستقل</v>
      </c>
      <c r="U2444" s="1" t="str">
        <f>IFERROR(__xludf.DUMMYFUNCTION("INDEX(SPLIT(A2444, ""/""), 3)"),"زیر سوال")</f>
        <v>زیر سوال</v>
      </c>
      <c r="V2444" s="1" t="str">
        <f>IFERROR(__xludf.DUMMYFUNCTION("INDEX(SPLIT(A2444, ""/""), 4)"),"#REF!")</f>
        <v>#REF!</v>
      </c>
    </row>
    <row r="2445">
      <c r="A2445" s="1" t="s">
        <v>7325</v>
      </c>
      <c r="B2445" s="1" t="s">
        <v>7416</v>
      </c>
      <c r="C2445" s="1" t="s">
        <v>21</v>
      </c>
      <c r="D2445" s="4" t="s">
        <v>7417</v>
      </c>
      <c r="E2445" s="1" t="s">
        <v>7379</v>
      </c>
      <c r="F2445" s="1" t="s">
        <v>7413</v>
      </c>
      <c r="G2445" s="1" t="s">
        <v>7414</v>
      </c>
      <c r="H2445" s="1" t="s">
        <v>7418</v>
      </c>
      <c r="I2445" s="1" t="str">
        <f t="shared" si="1"/>
        <v>18</v>
      </c>
      <c r="J2445" s="5"/>
      <c r="K2445" s="1" t="str">
        <f t="shared" si="2"/>
        <v>9</v>
      </c>
      <c r="L2445" s="5"/>
      <c r="M2445" s="2" t="str">
        <f t="shared" si="3"/>
        <v>1392</v>
      </c>
      <c r="N2445" s="5"/>
      <c r="O2445" s="2">
        <v>31.0</v>
      </c>
      <c r="P2445" s="5"/>
      <c r="Q2445" s="5"/>
      <c r="R2445" s="6" t="s">
        <v>7418</v>
      </c>
      <c r="S2445" s="5"/>
      <c r="T2445" s="1" t="str">
        <f>IFERROR(__xludf.DUMMYFUNCTION("INDEX(SPLIT(A2445, ""/""), 2)"),"نشریات مستقل")</f>
        <v>نشریات مستقل</v>
      </c>
      <c r="U2445" s="1" t="str">
        <f>IFERROR(__xludf.DUMMYFUNCTION("INDEX(SPLIT(A2445, ""/""), 3)"),"زیر سوال")</f>
        <v>زیر سوال</v>
      </c>
      <c r="V2445" s="1" t="str">
        <f>IFERROR(__xludf.DUMMYFUNCTION("INDEX(SPLIT(A2445, ""/""), 4)"),"#REF!")</f>
        <v>#REF!</v>
      </c>
    </row>
    <row r="2446">
      <c r="A2446" s="1" t="s">
        <v>7325</v>
      </c>
      <c r="B2446" s="1" t="s">
        <v>7419</v>
      </c>
      <c r="C2446" s="1" t="s">
        <v>21</v>
      </c>
      <c r="D2446" s="4" t="s">
        <v>7420</v>
      </c>
      <c r="E2446" s="1" t="s">
        <v>7379</v>
      </c>
      <c r="F2446" s="1" t="s">
        <v>7413</v>
      </c>
      <c r="G2446" s="1" t="s">
        <v>7414</v>
      </c>
      <c r="H2446" s="1" t="s">
        <v>3852</v>
      </c>
      <c r="I2446" s="1" t="str">
        <f t="shared" si="1"/>
        <v>19</v>
      </c>
      <c r="J2446" s="5"/>
      <c r="K2446" s="1" t="str">
        <f t="shared" si="2"/>
        <v>12</v>
      </c>
      <c r="L2446" s="5"/>
      <c r="M2446" s="2" t="str">
        <f t="shared" si="3"/>
        <v>1392</v>
      </c>
      <c r="N2446" s="5"/>
      <c r="O2446" s="2">
        <v>32.0</v>
      </c>
      <c r="P2446" s="5"/>
      <c r="Q2446" s="5"/>
      <c r="R2446" s="6" t="s">
        <v>3852</v>
      </c>
      <c r="S2446" s="5"/>
      <c r="T2446" s="1" t="str">
        <f>IFERROR(__xludf.DUMMYFUNCTION("INDEX(SPLIT(A2446, ""/""), 2)"),"نشریات مستقل")</f>
        <v>نشریات مستقل</v>
      </c>
      <c r="U2446" s="1" t="str">
        <f>IFERROR(__xludf.DUMMYFUNCTION("INDEX(SPLIT(A2446, ""/""), 3)"),"زیر سوال")</f>
        <v>زیر سوال</v>
      </c>
      <c r="V2446" s="1" t="str">
        <f>IFERROR(__xludf.DUMMYFUNCTION("INDEX(SPLIT(A2446, ""/""), 4)"),"#REF!")</f>
        <v>#REF!</v>
      </c>
    </row>
    <row r="2447">
      <c r="A2447" s="1" t="s">
        <v>7325</v>
      </c>
      <c r="B2447" s="1" t="s">
        <v>7421</v>
      </c>
      <c r="C2447" s="1" t="s">
        <v>21</v>
      </c>
      <c r="D2447" s="4" t="s">
        <v>7422</v>
      </c>
      <c r="E2447" s="1" t="s">
        <v>2448</v>
      </c>
      <c r="F2447" s="1" t="s">
        <v>2448</v>
      </c>
      <c r="G2447" s="1" t="s">
        <v>2448</v>
      </c>
      <c r="H2447" s="1" t="s">
        <v>2448</v>
      </c>
      <c r="I2447" s="1" t="str">
        <f t="shared" si="1"/>
        <v>#VALUE!</v>
      </c>
      <c r="J2447" s="5"/>
      <c r="K2447" s="1" t="str">
        <f t="shared" si="2"/>
        <v>#VALUE!</v>
      </c>
      <c r="L2447" s="5"/>
      <c r="M2447" s="2" t="str">
        <f t="shared" si="3"/>
        <v>#VALUE!</v>
      </c>
      <c r="N2447" s="5"/>
      <c r="O2447" s="2" t="s">
        <v>7423</v>
      </c>
      <c r="P2447" s="1" t="s">
        <v>7272</v>
      </c>
      <c r="Q2447" s="1" t="s">
        <v>3852</v>
      </c>
      <c r="R2447" s="8" t="s">
        <v>7424</v>
      </c>
      <c r="S2447" s="5"/>
      <c r="T2447" s="1" t="str">
        <f>IFERROR(__xludf.DUMMYFUNCTION("INDEX(SPLIT(A2447, ""/""), 2)"),"نشریات مستقل")</f>
        <v>نشریات مستقل</v>
      </c>
      <c r="U2447" s="1" t="str">
        <f>IFERROR(__xludf.DUMMYFUNCTION("INDEX(SPLIT(A2447, ""/""), 3)"),"زیر سوال")</f>
        <v>زیر سوال</v>
      </c>
      <c r="V2447" s="1" t="str">
        <f>IFERROR(__xludf.DUMMYFUNCTION("INDEX(SPLIT(A2447, ""/""), 4)"),"#REF!")</f>
        <v>#REF!</v>
      </c>
    </row>
    <row r="2448">
      <c r="A2448" s="1" t="s">
        <v>7425</v>
      </c>
      <c r="B2448" s="1" t="s">
        <v>7426</v>
      </c>
      <c r="C2448" s="1" t="s">
        <v>21</v>
      </c>
      <c r="D2448" s="4" t="s">
        <v>7427</v>
      </c>
      <c r="E2448" s="1" t="s">
        <v>7428</v>
      </c>
      <c r="F2448" s="1" t="s">
        <v>7428</v>
      </c>
      <c r="G2448" s="1" t="s">
        <v>7428</v>
      </c>
      <c r="H2448" s="1" t="s">
        <v>7429</v>
      </c>
      <c r="I2448" s="1" t="str">
        <f t="shared" si="1"/>
        <v>14</v>
      </c>
      <c r="J2448" s="5"/>
      <c r="K2448" s="1" t="str">
        <f t="shared" si="2"/>
        <v>1</v>
      </c>
      <c r="L2448" s="5"/>
      <c r="M2448" s="2" t="str">
        <f t="shared" si="3"/>
        <v>1400</v>
      </c>
      <c r="N2448" s="5"/>
      <c r="O2448" s="2">
        <v>1.0</v>
      </c>
      <c r="P2448" s="5"/>
      <c r="Q2448" s="5"/>
      <c r="R2448" s="6" t="s">
        <v>7429</v>
      </c>
      <c r="S2448" s="5"/>
      <c r="T2448" s="1" t="str">
        <f>IFERROR(__xludf.DUMMYFUNCTION("INDEX(SPLIT(A2448, ""/""), 2)"),"نشریات مستقل")</f>
        <v>نشریات مستقل</v>
      </c>
      <c r="U2448" s="1" t="str">
        <f>IFERROR(__xludf.DUMMYFUNCTION("INDEX(SPLIT(A2448, ""/""), 3)"),"سویه")</f>
        <v>سویه</v>
      </c>
      <c r="V2448" s="1" t="str">
        <f>IFERROR(__xludf.DUMMYFUNCTION("INDEX(SPLIT(A2448, ""/""), 4)"),"#REF!")</f>
        <v>#REF!</v>
      </c>
    </row>
    <row r="2449">
      <c r="A2449" s="1" t="s">
        <v>7425</v>
      </c>
      <c r="B2449" s="1" t="s">
        <v>7430</v>
      </c>
      <c r="C2449" s="1" t="s">
        <v>21</v>
      </c>
      <c r="D2449" s="4" t="s">
        <v>7431</v>
      </c>
      <c r="E2449" s="1" t="s">
        <v>7428</v>
      </c>
      <c r="F2449" s="1" t="s">
        <v>7428</v>
      </c>
      <c r="G2449" s="1" t="s">
        <v>7428</v>
      </c>
      <c r="H2449" s="1" t="s">
        <v>61</v>
      </c>
      <c r="I2449" s="1" t="str">
        <f t="shared" si="1"/>
        <v>15</v>
      </c>
      <c r="J2449" s="5"/>
      <c r="K2449" s="1" t="str">
        <f t="shared" si="2"/>
        <v>2</v>
      </c>
      <c r="L2449" s="5"/>
      <c r="M2449" s="2" t="str">
        <f t="shared" si="3"/>
        <v>1400</v>
      </c>
      <c r="N2449" s="5"/>
      <c r="O2449" s="2">
        <v>2.0</v>
      </c>
      <c r="P2449" s="5"/>
      <c r="Q2449" s="5"/>
      <c r="R2449" s="6" t="s">
        <v>61</v>
      </c>
      <c r="S2449" s="5"/>
      <c r="T2449" s="1" t="str">
        <f>IFERROR(__xludf.DUMMYFUNCTION("INDEX(SPLIT(A2449, ""/""), 2)"),"نشریات مستقل")</f>
        <v>نشریات مستقل</v>
      </c>
      <c r="U2449" s="1" t="str">
        <f>IFERROR(__xludf.DUMMYFUNCTION("INDEX(SPLIT(A2449, ""/""), 3)"),"سویه")</f>
        <v>سویه</v>
      </c>
      <c r="V2449" s="1" t="str">
        <f>IFERROR(__xludf.DUMMYFUNCTION("INDEX(SPLIT(A2449, ""/""), 4)"),"#REF!")</f>
        <v>#REF!</v>
      </c>
    </row>
    <row r="2450">
      <c r="A2450" s="1" t="s">
        <v>7425</v>
      </c>
      <c r="B2450" s="1" t="s">
        <v>7432</v>
      </c>
      <c r="C2450" s="1" t="s">
        <v>21</v>
      </c>
      <c r="D2450" s="4" t="s">
        <v>7433</v>
      </c>
      <c r="E2450" s="1" t="s">
        <v>7434</v>
      </c>
      <c r="F2450" s="1" t="s">
        <v>7434</v>
      </c>
      <c r="G2450" s="1" t="s">
        <v>7434</v>
      </c>
      <c r="H2450" s="1" t="s">
        <v>7435</v>
      </c>
      <c r="I2450" s="1" t="str">
        <f t="shared" si="1"/>
        <v>27</v>
      </c>
      <c r="J2450" s="5"/>
      <c r="K2450" s="1" t="str">
        <f t="shared" si="2"/>
        <v>2</v>
      </c>
      <c r="L2450" s="5"/>
      <c r="M2450" s="2" t="str">
        <f t="shared" si="3"/>
        <v>1400</v>
      </c>
      <c r="N2450" s="5"/>
      <c r="O2450" s="2">
        <v>3.0</v>
      </c>
      <c r="P2450" s="5"/>
      <c r="Q2450" s="5"/>
      <c r="R2450" s="6" t="s">
        <v>7435</v>
      </c>
      <c r="S2450" s="5"/>
      <c r="T2450" s="1" t="str">
        <f>IFERROR(__xludf.DUMMYFUNCTION("INDEX(SPLIT(A2450, ""/""), 2)"),"نشریات مستقل")</f>
        <v>نشریات مستقل</v>
      </c>
      <c r="U2450" s="1" t="str">
        <f>IFERROR(__xludf.DUMMYFUNCTION("INDEX(SPLIT(A2450, ""/""), 3)"),"سویه")</f>
        <v>سویه</v>
      </c>
      <c r="V2450" s="1" t="str">
        <f>IFERROR(__xludf.DUMMYFUNCTION("INDEX(SPLIT(A2450, ""/""), 4)"),"#REF!")</f>
        <v>#REF!</v>
      </c>
    </row>
    <row r="2451">
      <c r="A2451" s="1" t="s">
        <v>7425</v>
      </c>
      <c r="B2451" s="1" t="s">
        <v>7436</v>
      </c>
      <c r="C2451" s="1" t="s">
        <v>21</v>
      </c>
      <c r="D2451" s="4" t="s">
        <v>7437</v>
      </c>
      <c r="E2451" s="1" t="s">
        <v>7434</v>
      </c>
      <c r="F2451" s="1" t="s">
        <v>7434</v>
      </c>
      <c r="G2451" s="1" t="s">
        <v>7434</v>
      </c>
      <c r="H2451" s="1" t="s">
        <v>7438</v>
      </c>
      <c r="I2451" s="1" t="str">
        <f t="shared" si="1"/>
        <v>24</v>
      </c>
      <c r="J2451" s="5"/>
      <c r="K2451" s="1" t="str">
        <f t="shared" si="2"/>
        <v>5</v>
      </c>
      <c r="L2451" s="5"/>
      <c r="M2451" s="2" t="str">
        <f t="shared" si="3"/>
        <v>1400</v>
      </c>
      <c r="N2451" s="5"/>
      <c r="O2451" s="2">
        <v>4.0</v>
      </c>
      <c r="P2451" s="5"/>
      <c r="Q2451" s="5"/>
      <c r="R2451" s="6" t="s">
        <v>7438</v>
      </c>
      <c r="S2451" s="5"/>
      <c r="T2451" s="1" t="str">
        <f>IFERROR(__xludf.DUMMYFUNCTION("INDEX(SPLIT(A2451, ""/""), 2)"),"نشریات مستقل")</f>
        <v>نشریات مستقل</v>
      </c>
      <c r="U2451" s="1" t="str">
        <f>IFERROR(__xludf.DUMMYFUNCTION("INDEX(SPLIT(A2451, ""/""), 3)"),"سویه")</f>
        <v>سویه</v>
      </c>
      <c r="V2451" s="1" t="str">
        <f>IFERROR(__xludf.DUMMYFUNCTION("INDEX(SPLIT(A2451, ""/""), 4)"),"#REF!")</f>
        <v>#REF!</v>
      </c>
    </row>
    <row r="2452">
      <c r="A2452" s="1" t="s">
        <v>7425</v>
      </c>
      <c r="B2452" s="1" t="s">
        <v>7439</v>
      </c>
      <c r="C2452" s="1" t="s">
        <v>21</v>
      </c>
      <c r="D2452" s="4" t="s">
        <v>7440</v>
      </c>
      <c r="E2452" s="1" t="s">
        <v>7434</v>
      </c>
      <c r="F2452" s="1" t="s">
        <v>7434</v>
      </c>
      <c r="G2452" s="1" t="s">
        <v>7434</v>
      </c>
      <c r="H2452" s="7" t="s">
        <v>7441</v>
      </c>
      <c r="I2452" s="1" t="str">
        <f t="shared" si="1"/>
        <v>8</v>
      </c>
      <c r="J2452" s="5"/>
      <c r="K2452" s="1" t="str">
        <f t="shared" si="2"/>
        <v>9</v>
      </c>
      <c r="L2452" s="5"/>
      <c r="M2452" s="2" t="str">
        <f t="shared" si="3"/>
        <v>1400</v>
      </c>
      <c r="N2452" s="5"/>
      <c r="O2452" s="2">
        <v>5.0</v>
      </c>
      <c r="P2452" s="5"/>
      <c r="Q2452" s="5"/>
      <c r="R2452" s="8" t="s">
        <v>7441</v>
      </c>
      <c r="S2452" s="5"/>
      <c r="T2452" s="1" t="str">
        <f>IFERROR(__xludf.DUMMYFUNCTION("INDEX(SPLIT(A2452, ""/""), 2)"),"نشریات مستقل")</f>
        <v>نشریات مستقل</v>
      </c>
      <c r="U2452" s="1" t="str">
        <f>IFERROR(__xludf.DUMMYFUNCTION("INDEX(SPLIT(A2452, ""/""), 3)"),"سویه")</f>
        <v>سویه</v>
      </c>
      <c r="V2452" s="1" t="str">
        <f>IFERROR(__xludf.DUMMYFUNCTION("INDEX(SPLIT(A2452, ""/""), 4)"),"#REF!")</f>
        <v>#REF!</v>
      </c>
    </row>
    <row r="2453">
      <c r="A2453" s="1" t="s">
        <v>7425</v>
      </c>
      <c r="B2453" s="1" t="s">
        <v>7442</v>
      </c>
      <c r="C2453" s="1" t="s">
        <v>21</v>
      </c>
      <c r="D2453" s="4" t="s">
        <v>7443</v>
      </c>
      <c r="E2453" s="1" t="s">
        <v>7444</v>
      </c>
      <c r="F2453" s="1" t="s">
        <v>7444</v>
      </c>
      <c r="G2453" s="1" t="s">
        <v>7444</v>
      </c>
      <c r="H2453" s="1" t="s">
        <v>7445</v>
      </c>
      <c r="I2453" s="1" t="str">
        <f t="shared" si="1"/>
        <v>14</v>
      </c>
      <c r="J2453" s="5"/>
      <c r="K2453" s="1" t="str">
        <f t="shared" si="2"/>
        <v>2</v>
      </c>
      <c r="L2453" s="5"/>
      <c r="M2453" s="2" t="str">
        <f t="shared" si="3"/>
        <v>1401</v>
      </c>
      <c r="N2453" s="5"/>
      <c r="O2453" s="2">
        <v>6.0</v>
      </c>
      <c r="P2453" s="5"/>
      <c r="Q2453" s="5"/>
      <c r="R2453" s="6" t="s">
        <v>7445</v>
      </c>
      <c r="S2453" s="5"/>
      <c r="T2453" s="1" t="str">
        <f>IFERROR(__xludf.DUMMYFUNCTION("INDEX(SPLIT(A2453, ""/""), 2)"),"نشریات مستقل")</f>
        <v>نشریات مستقل</v>
      </c>
      <c r="U2453" s="1" t="str">
        <f>IFERROR(__xludf.DUMMYFUNCTION("INDEX(SPLIT(A2453, ""/""), 3)"),"سویه")</f>
        <v>سویه</v>
      </c>
      <c r="V2453" s="1" t="str">
        <f>IFERROR(__xludf.DUMMYFUNCTION("INDEX(SPLIT(A2453, ""/""), 4)"),"#REF!")</f>
        <v>#REF!</v>
      </c>
    </row>
    <row r="2454">
      <c r="A2454" s="1" t="s">
        <v>7425</v>
      </c>
      <c r="B2454" s="1" t="s">
        <v>7446</v>
      </c>
      <c r="C2454" s="1" t="s">
        <v>21</v>
      </c>
      <c r="D2454" s="4" t="s">
        <v>7447</v>
      </c>
      <c r="E2454" s="1" t="s">
        <v>7444</v>
      </c>
      <c r="F2454" s="1" t="s">
        <v>7444</v>
      </c>
      <c r="G2454" s="1" t="s">
        <v>7444</v>
      </c>
      <c r="H2454" s="1" t="s">
        <v>7448</v>
      </c>
      <c r="I2454" s="1" t="str">
        <f t="shared" si="1"/>
        <v>19</v>
      </c>
      <c r="J2454" s="5"/>
      <c r="K2454" s="1" t="str">
        <f t="shared" si="2"/>
        <v>6</v>
      </c>
      <c r="L2454" s="5"/>
      <c r="M2454" s="2" t="str">
        <f t="shared" si="3"/>
        <v>1401</v>
      </c>
      <c r="N2454" s="5"/>
      <c r="O2454" s="2">
        <v>7.0</v>
      </c>
      <c r="P2454" s="5"/>
      <c r="Q2454" s="5"/>
      <c r="R2454" s="6" t="s">
        <v>7448</v>
      </c>
      <c r="S2454" s="5"/>
      <c r="T2454" s="1" t="str">
        <f>IFERROR(__xludf.DUMMYFUNCTION("INDEX(SPLIT(A2454, ""/""), 2)"),"نشریات مستقل")</f>
        <v>نشریات مستقل</v>
      </c>
      <c r="U2454" s="1" t="str">
        <f>IFERROR(__xludf.DUMMYFUNCTION("INDEX(SPLIT(A2454, ""/""), 3)"),"سویه")</f>
        <v>سویه</v>
      </c>
      <c r="V2454" s="1" t="str">
        <f>IFERROR(__xludf.DUMMYFUNCTION("INDEX(SPLIT(A2454, ""/""), 4)"),"#REF!")</f>
        <v>#REF!</v>
      </c>
    </row>
    <row r="2455">
      <c r="A2455" s="1" t="s">
        <v>7449</v>
      </c>
      <c r="B2455" s="1" t="s">
        <v>7450</v>
      </c>
      <c r="C2455" s="1" t="s">
        <v>21</v>
      </c>
      <c r="D2455" s="4" t="s">
        <v>7451</v>
      </c>
      <c r="E2455" s="1" t="s">
        <v>71</v>
      </c>
      <c r="F2455" s="1" t="s">
        <v>71</v>
      </c>
      <c r="G2455" s="1" t="s">
        <v>71</v>
      </c>
      <c r="H2455" s="1" t="s">
        <v>7452</v>
      </c>
      <c r="I2455" s="1" t="str">
        <f t="shared" si="1"/>
        <v>23</v>
      </c>
      <c r="J2455" s="5"/>
      <c r="K2455" s="1" t="str">
        <f t="shared" si="2"/>
        <v>7</v>
      </c>
      <c r="L2455" s="5"/>
      <c r="M2455" s="2" t="str">
        <f t="shared" si="3"/>
        <v>1397</v>
      </c>
      <c r="N2455" s="5"/>
      <c r="O2455" s="2">
        <v>1.0</v>
      </c>
      <c r="P2455" s="5"/>
      <c r="Q2455" s="5"/>
      <c r="R2455" s="6" t="s">
        <v>7452</v>
      </c>
      <c r="S2455" s="5"/>
      <c r="T2455" s="1" t="str">
        <f>IFERROR(__xludf.DUMMYFUNCTION("INDEX(SPLIT(A2455, ""/""), 2)"),"نشریات مستقل")</f>
        <v>نشریات مستقل</v>
      </c>
      <c r="U2455" s="1" t="str">
        <f>IFERROR(__xludf.DUMMYFUNCTION("INDEX(SPLIT(A2455, ""/""), 3)"),"شریف‌الصناعیه")</f>
        <v>شریف‌الصناعیه</v>
      </c>
      <c r="V2455" s="1" t="str">
        <f>IFERROR(__xludf.DUMMYFUNCTION("INDEX(SPLIT(A2455, ""/""), 4)"),"#REF!")</f>
        <v>#REF!</v>
      </c>
    </row>
    <row r="2456">
      <c r="A2456" s="1" t="s">
        <v>7449</v>
      </c>
      <c r="B2456" s="1" t="s">
        <v>7453</v>
      </c>
      <c r="C2456" s="1" t="s">
        <v>21</v>
      </c>
      <c r="D2456" s="4" t="s">
        <v>7454</v>
      </c>
      <c r="E2456" s="1" t="s">
        <v>71</v>
      </c>
      <c r="F2456" s="1" t="s">
        <v>71</v>
      </c>
      <c r="G2456" s="1" t="s">
        <v>71</v>
      </c>
      <c r="H2456" s="1" t="s">
        <v>6179</v>
      </c>
      <c r="I2456" s="1" t="str">
        <f t="shared" si="1"/>
        <v>19</v>
      </c>
      <c r="J2456" s="5"/>
      <c r="K2456" s="1" t="str">
        <f t="shared" si="2"/>
        <v>8</v>
      </c>
      <c r="L2456" s="5"/>
      <c r="M2456" s="2" t="str">
        <f t="shared" si="3"/>
        <v>1397</v>
      </c>
      <c r="N2456" s="5"/>
      <c r="O2456" s="2">
        <v>2.0</v>
      </c>
      <c r="P2456" s="5"/>
      <c r="Q2456" s="5"/>
      <c r="R2456" s="6" t="s">
        <v>6179</v>
      </c>
      <c r="S2456" s="5"/>
      <c r="T2456" s="1" t="str">
        <f>IFERROR(__xludf.DUMMYFUNCTION("INDEX(SPLIT(A2456, ""/""), 2)"),"نشریات مستقل")</f>
        <v>نشریات مستقل</v>
      </c>
      <c r="U2456" s="1" t="str">
        <f>IFERROR(__xludf.DUMMYFUNCTION("INDEX(SPLIT(A2456, ""/""), 3)"),"شریف‌الصناعیه")</f>
        <v>شریف‌الصناعیه</v>
      </c>
      <c r="V2456" s="1" t="str">
        <f>IFERROR(__xludf.DUMMYFUNCTION("INDEX(SPLIT(A2456, ""/""), 4)"),"#REF!")</f>
        <v>#REF!</v>
      </c>
    </row>
    <row r="2457">
      <c r="A2457" s="1" t="s">
        <v>7449</v>
      </c>
      <c r="B2457" s="1" t="s">
        <v>7455</v>
      </c>
      <c r="C2457" s="1" t="s">
        <v>21</v>
      </c>
      <c r="D2457" s="4" t="s">
        <v>7456</v>
      </c>
      <c r="E2457" s="1" t="s">
        <v>71</v>
      </c>
      <c r="F2457" s="1" t="s">
        <v>71</v>
      </c>
      <c r="G2457" s="1" t="s">
        <v>71</v>
      </c>
      <c r="H2457" s="1" t="s">
        <v>6204</v>
      </c>
      <c r="I2457" s="1" t="str">
        <f t="shared" si="1"/>
        <v>27</v>
      </c>
      <c r="J2457" s="5"/>
      <c r="K2457" s="1" t="str">
        <f t="shared" si="2"/>
        <v>9</v>
      </c>
      <c r="L2457" s="5"/>
      <c r="M2457" s="2" t="str">
        <f t="shared" si="3"/>
        <v>1397</v>
      </c>
      <c r="N2457" s="5"/>
      <c r="O2457" s="2">
        <v>3.0</v>
      </c>
      <c r="P2457" s="5"/>
      <c r="Q2457" s="5"/>
      <c r="R2457" s="6" t="s">
        <v>6204</v>
      </c>
      <c r="S2457" s="5"/>
      <c r="T2457" s="1" t="str">
        <f>IFERROR(__xludf.DUMMYFUNCTION("INDEX(SPLIT(A2457, ""/""), 2)"),"نشریات مستقل")</f>
        <v>نشریات مستقل</v>
      </c>
      <c r="U2457" s="1" t="str">
        <f>IFERROR(__xludf.DUMMYFUNCTION("INDEX(SPLIT(A2457, ""/""), 3)"),"شریف‌الصناعیه")</f>
        <v>شریف‌الصناعیه</v>
      </c>
      <c r="V2457" s="1" t="str">
        <f>IFERROR(__xludf.DUMMYFUNCTION("INDEX(SPLIT(A2457, ""/""), 4)"),"#REF!")</f>
        <v>#REF!</v>
      </c>
    </row>
    <row r="2458">
      <c r="A2458" s="1" t="s">
        <v>7449</v>
      </c>
      <c r="B2458" s="1" t="s">
        <v>7457</v>
      </c>
      <c r="C2458" s="1" t="s">
        <v>21</v>
      </c>
      <c r="D2458" s="4" t="s">
        <v>7458</v>
      </c>
      <c r="E2458" s="1" t="s">
        <v>71</v>
      </c>
      <c r="F2458" s="1" t="s">
        <v>71</v>
      </c>
      <c r="G2458" s="1" t="s">
        <v>71</v>
      </c>
      <c r="H2458" s="1" t="s">
        <v>6215</v>
      </c>
      <c r="I2458" s="1" t="str">
        <f t="shared" si="1"/>
        <v>27</v>
      </c>
      <c r="J2458" s="5"/>
      <c r="K2458" s="1" t="str">
        <f t="shared" si="2"/>
        <v>11</v>
      </c>
      <c r="L2458" s="5"/>
      <c r="M2458" s="2" t="str">
        <f t="shared" si="3"/>
        <v>1397</v>
      </c>
      <c r="N2458" s="5"/>
      <c r="O2458" s="2">
        <v>4.0</v>
      </c>
      <c r="P2458" s="5"/>
      <c r="Q2458" s="5"/>
      <c r="R2458" s="6" t="s">
        <v>6215</v>
      </c>
      <c r="S2458" s="5"/>
      <c r="T2458" s="1" t="str">
        <f>IFERROR(__xludf.DUMMYFUNCTION("INDEX(SPLIT(A2458, ""/""), 2)"),"نشریات مستقل")</f>
        <v>نشریات مستقل</v>
      </c>
      <c r="U2458" s="1" t="str">
        <f>IFERROR(__xludf.DUMMYFUNCTION("INDEX(SPLIT(A2458, ""/""), 3)"),"شریف‌الصناعیه")</f>
        <v>شریف‌الصناعیه</v>
      </c>
      <c r="V2458" s="1" t="str">
        <f>IFERROR(__xludf.DUMMYFUNCTION("INDEX(SPLIT(A2458, ""/""), 4)"),"#REF!")</f>
        <v>#REF!</v>
      </c>
    </row>
    <row r="2459">
      <c r="A2459" s="1" t="s">
        <v>7449</v>
      </c>
      <c r="B2459" s="1" t="s">
        <v>7459</v>
      </c>
      <c r="C2459" s="1" t="s">
        <v>21</v>
      </c>
      <c r="D2459" s="4" t="s">
        <v>7460</v>
      </c>
      <c r="E2459" s="1" t="s">
        <v>71</v>
      </c>
      <c r="F2459" s="1" t="s">
        <v>71</v>
      </c>
      <c r="G2459" s="1" t="s">
        <v>71</v>
      </c>
      <c r="H2459" s="1" t="s">
        <v>1300</v>
      </c>
      <c r="I2459" s="1" t="str">
        <f t="shared" si="1"/>
        <v>21</v>
      </c>
      <c r="J2459" s="5"/>
      <c r="K2459" s="1" t="str">
        <f t="shared" si="2"/>
        <v>12</v>
      </c>
      <c r="L2459" s="5"/>
      <c r="M2459" s="2" t="str">
        <f t="shared" si="3"/>
        <v>1397</v>
      </c>
      <c r="N2459" s="5"/>
      <c r="O2459" s="2">
        <v>5.0</v>
      </c>
      <c r="P2459" s="5"/>
      <c r="Q2459" s="5"/>
      <c r="R2459" s="6" t="s">
        <v>1300</v>
      </c>
      <c r="S2459" s="5"/>
      <c r="T2459" s="1" t="str">
        <f>IFERROR(__xludf.DUMMYFUNCTION("INDEX(SPLIT(A2459, ""/""), 2)"),"نشریات مستقل")</f>
        <v>نشریات مستقل</v>
      </c>
      <c r="U2459" s="1" t="str">
        <f>IFERROR(__xludf.DUMMYFUNCTION("INDEX(SPLIT(A2459, ""/""), 3)"),"شریف‌الصناعیه")</f>
        <v>شریف‌الصناعیه</v>
      </c>
      <c r="V2459" s="1" t="str">
        <f>IFERROR(__xludf.DUMMYFUNCTION("INDEX(SPLIT(A2459, ""/""), 4)"),"#REF!")</f>
        <v>#REF!</v>
      </c>
    </row>
    <row r="2460">
      <c r="A2460" s="1" t="s">
        <v>7449</v>
      </c>
      <c r="B2460" s="1" t="s">
        <v>7461</v>
      </c>
      <c r="C2460" s="1" t="s">
        <v>21</v>
      </c>
      <c r="D2460" s="4" t="s">
        <v>7462</v>
      </c>
      <c r="E2460" s="1" t="s">
        <v>71</v>
      </c>
      <c r="F2460" s="1" t="s">
        <v>71</v>
      </c>
      <c r="G2460" s="1" t="s">
        <v>71</v>
      </c>
      <c r="H2460" s="1" t="s">
        <v>7463</v>
      </c>
      <c r="I2460" s="1" t="str">
        <f t="shared" si="1"/>
        <v>25</v>
      </c>
      <c r="J2460" s="5"/>
      <c r="K2460" s="1" t="str">
        <f t="shared" si="2"/>
        <v>1</v>
      </c>
      <c r="L2460" s="5"/>
      <c r="M2460" s="2" t="str">
        <f t="shared" si="3"/>
        <v>1398</v>
      </c>
      <c r="N2460" s="5"/>
      <c r="O2460" s="2">
        <v>6.0</v>
      </c>
      <c r="P2460" s="5"/>
      <c r="Q2460" s="5"/>
      <c r="R2460" s="6" t="s">
        <v>7463</v>
      </c>
      <c r="S2460" s="5"/>
      <c r="T2460" s="1" t="str">
        <f>IFERROR(__xludf.DUMMYFUNCTION("INDEX(SPLIT(A2460, ""/""), 2)"),"نشریات مستقل")</f>
        <v>نشریات مستقل</v>
      </c>
      <c r="U2460" s="1" t="str">
        <f>IFERROR(__xludf.DUMMYFUNCTION("INDEX(SPLIT(A2460, ""/""), 3)"),"شریف‌الصناعیه")</f>
        <v>شریف‌الصناعیه</v>
      </c>
      <c r="V2460" s="1" t="str">
        <f>IFERROR(__xludf.DUMMYFUNCTION("INDEX(SPLIT(A2460, ""/""), 4)"),"#REF!")</f>
        <v>#REF!</v>
      </c>
    </row>
    <row r="2461">
      <c r="A2461" s="1" t="s">
        <v>7449</v>
      </c>
      <c r="B2461" s="1" t="s">
        <v>7464</v>
      </c>
      <c r="C2461" s="1" t="s">
        <v>21</v>
      </c>
      <c r="D2461" s="4" t="s">
        <v>7465</v>
      </c>
      <c r="E2461" s="1" t="s">
        <v>71</v>
      </c>
      <c r="F2461" s="1" t="s">
        <v>71</v>
      </c>
      <c r="G2461" s="1" t="s">
        <v>71</v>
      </c>
      <c r="H2461" s="1" t="s">
        <v>6268</v>
      </c>
      <c r="I2461" s="1" t="str">
        <f t="shared" si="1"/>
        <v>31</v>
      </c>
      <c r="J2461" s="5"/>
      <c r="K2461" s="1" t="str">
        <f t="shared" si="2"/>
        <v>2</v>
      </c>
      <c r="L2461" s="5"/>
      <c r="M2461" s="2" t="str">
        <f t="shared" si="3"/>
        <v>1398</v>
      </c>
      <c r="N2461" s="5"/>
      <c r="O2461" s="2">
        <v>7.0</v>
      </c>
      <c r="P2461" s="5"/>
      <c r="Q2461" s="5"/>
      <c r="R2461" s="6" t="s">
        <v>6268</v>
      </c>
      <c r="S2461" s="5"/>
      <c r="T2461" s="1" t="str">
        <f>IFERROR(__xludf.DUMMYFUNCTION("INDEX(SPLIT(A2461, ""/""), 2)"),"نشریات مستقل")</f>
        <v>نشریات مستقل</v>
      </c>
      <c r="U2461" s="1" t="str">
        <f>IFERROR(__xludf.DUMMYFUNCTION("INDEX(SPLIT(A2461, ""/""), 3)"),"شریف‌الصناعیه")</f>
        <v>شریف‌الصناعیه</v>
      </c>
      <c r="V2461" s="1" t="str">
        <f>IFERROR(__xludf.DUMMYFUNCTION("INDEX(SPLIT(A2461, ""/""), 4)"),"#REF!")</f>
        <v>#REF!</v>
      </c>
    </row>
    <row r="2462">
      <c r="A2462" s="1" t="s">
        <v>7449</v>
      </c>
      <c r="B2462" s="1" t="s">
        <v>7466</v>
      </c>
      <c r="C2462" s="1" t="s">
        <v>21</v>
      </c>
      <c r="D2462" s="4" t="s">
        <v>7467</v>
      </c>
      <c r="E2462" s="1" t="s">
        <v>71</v>
      </c>
      <c r="F2462" s="1" t="s">
        <v>71</v>
      </c>
      <c r="G2462" s="1" t="s">
        <v>71</v>
      </c>
      <c r="H2462" s="7" t="s">
        <v>1312</v>
      </c>
      <c r="I2462" s="1" t="str">
        <f t="shared" si="1"/>
        <v>8</v>
      </c>
      <c r="J2462" s="5"/>
      <c r="K2462" s="1" t="str">
        <f t="shared" si="2"/>
        <v>7</v>
      </c>
      <c r="L2462" s="5"/>
      <c r="M2462" s="2" t="str">
        <f t="shared" si="3"/>
        <v>1398</v>
      </c>
      <c r="N2462" s="5"/>
      <c r="O2462" s="2">
        <v>8.0</v>
      </c>
      <c r="P2462" s="5"/>
      <c r="Q2462" s="5"/>
      <c r="R2462" s="8" t="s">
        <v>1312</v>
      </c>
      <c r="S2462" s="5"/>
      <c r="T2462" s="1" t="str">
        <f>IFERROR(__xludf.DUMMYFUNCTION("INDEX(SPLIT(A2462, ""/""), 2)"),"نشریات مستقل")</f>
        <v>نشریات مستقل</v>
      </c>
      <c r="U2462" s="1" t="str">
        <f>IFERROR(__xludf.DUMMYFUNCTION("INDEX(SPLIT(A2462, ""/""), 3)"),"شریف‌الصناعیه")</f>
        <v>شریف‌الصناعیه</v>
      </c>
      <c r="V2462" s="1" t="str">
        <f>IFERROR(__xludf.DUMMYFUNCTION("INDEX(SPLIT(A2462, ""/""), 4)"),"#REF!")</f>
        <v>#REF!</v>
      </c>
    </row>
    <row r="2463">
      <c r="A2463" s="1" t="s">
        <v>7449</v>
      </c>
      <c r="B2463" s="1" t="s">
        <v>7468</v>
      </c>
      <c r="C2463" s="1" t="s">
        <v>21</v>
      </c>
      <c r="D2463" s="4" t="s">
        <v>7469</v>
      </c>
      <c r="E2463" s="1" t="s">
        <v>71</v>
      </c>
      <c r="F2463" s="1" t="s">
        <v>71</v>
      </c>
      <c r="G2463" s="1" t="s">
        <v>71</v>
      </c>
      <c r="H2463" s="1" t="s">
        <v>7470</v>
      </c>
      <c r="I2463" s="1" t="str">
        <f t="shared" si="1"/>
        <v>13</v>
      </c>
      <c r="J2463" s="5"/>
      <c r="K2463" s="1" t="str">
        <f t="shared" si="2"/>
        <v>8</v>
      </c>
      <c r="L2463" s="5"/>
      <c r="M2463" s="2" t="str">
        <f t="shared" si="3"/>
        <v>1398</v>
      </c>
      <c r="N2463" s="5"/>
      <c r="O2463" s="2">
        <v>9.0</v>
      </c>
      <c r="P2463" s="5"/>
      <c r="Q2463" s="5"/>
      <c r="R2463" s="6" t="s">
        <v>7470</v>
      </c>
      <c r="S2463" s="5"/>
      <c r="T2463" s="1" t="str">
        <f>IFERROR(__xludf.DUMMYFUNCTION("INDEX(SPLIT(A2463, ""/""), 2)"),"نشریات مستقل")</f>
        <v>نشریات مستقل</v>
      </c>
      <c r="U2463" s="1" t="str">
        <f>IFERROR(__xludf.DUMMYFUNCTION("INDEX(SPLIT(A2463, ""/""), 3)"),"شریف‌الصناعیه")</f>
        <v>شریف‌الصناعیه</v>
      </c>
      <c r="V2463" s="1" t="str">
        <f>IFERROR(__xludf.DUMMYFUNCTION("INDEX(SPLIT(A2463, ""/""), 4)"),"#REF!")</f>
        <v>#REF!</v>
      </c>
    </row>
    <row r="2464">
      <c r="A2464" s="1" t="s">
        <v>7449</v>
      </c>
      <c r="B2464" s="1" t="s">
        <v>7471</v>
      </c>
      <c r="C2464" s="1" t="s">
        <v>21</v>
      </c>
      <c r="D2464" s="4" t="s">
        <v>7472</v>
      </c>
      <c r="E2464" s="1" t="s">
        <v>71</v>
      </c>
      <c r="F2464" s="1" t="s">
        <v>71</v>
      </c>
      <c r="G2464" s="1" t="s">
        <v>71</v>
      </c>
      <c r="H2464" s="1" t="s">
        <v>7473</v>
      </c>
      <c r="I2464" s="1" t="str">
        <f t="shared" si="1"/>
        <v>18</v>
      </c>
      <c r="J2464" s="5"/>
      <c r="K2464" s="1" t="str">
        <f t="shared" si="2"/>
        <v>9</v>
      </c>
      <c r="L2464" s="5"/>
      <c r="M2464" s="2" t="str">
        <f t="shared" si="3"/>
        <v>1398</v>
      </c>
      <c r="N2464" s="5"/>
      <c r="O2464" s="2">
        <v>10.0</v>
      </c>
      <c r="P2464" s="5"/>
      <c r="Q2464" s="5"/>
      <c r="R2464" s="6" t="s">
        <v>7473</v>
      </c>
      <c r="S2464" s="5"/>
      <c r="T2464" s="1" t="str">
        <f>IFERROR(__xludf.DUMMYFUNCTION("INDEX(SPLIT(A2464, ""/""), 2)"),"نشریات مستقل")</f>
        <v>نشریات مستقل</v>
      </c>
      <c r="U2464" s="1" t="str">
        <f>IFERROR(__xludf.DUMMYFUNCTION("INDEX(SPLIT(A2464, ""/""), 3)"),"شریف‌الصناعیه")</f>
        <v>شریف‌الصناعیه</v>
      </c>
      <c r="V2464" s="1" t="str">
        <f>IFERROR(__xludf.DUMMYFUNCTION("INDEX(SPLIT(A2464, ""/""), 4)"),"#REF!")</f>
        <v>#REF!</v>
      </c>
    </row>
    <row r="2465">
      <c r="A2465" s="1" t="s">
        <v>7449</v>
      </c>
      <c r="B2465" s="1" t="s">
        <v>7474</v>
      </c>
      <c r="C2465" s="1" t="s">
        <v>21</v>
      </c>
      <c r="D2465" s="4" t="s">
        <v>7475</v>
      </c>
      <c r="E2465" s="1" t="s">
        <v>71</v>
      </c>
      <c r="F2465" s="1" t="s">
        <v>71</v>
      </c>
      <c r="G2465" s="1" t="s">
        <v>71</v>
      </c>
      <c r="H2465" s="7" t="s">
        <v>6340</v>
      </c>
      <c r="I2465" s="1" t="str">
        <f t="shared" si="1"/>
        <v>10</v>
      </c>
      <c r="J2465" s="5"/>
      <c r="K2465" s="1" t="str">
        <f t="shared" si="2"/>
        <v>10</v>
      </c>
      <c r="L2465" s="5"/>
      <c r="M2465" s="2" t="str">
        <f t="shared" si="3"/>
        <v>1398</v>
      </c>
      <c r="N2465" s="5"/>
      <c r="O2465" s="2">
        <v>11.0</v>
      </c>
      <c r="P2465" s="5"/>
      <c r="Q2465" s="5"/>
      <c r="R2465" s="8" t="s">
        <v>6340</v>
      </c>
      <c r="S2465" s="5"/>
      <c r="T2465" s="1" t="str">
        <f>IFERROR(__xludf.DUMMYFUNCTION("INDEX(SPLIT(A2465, ""/""), 2)"),"نشریات مستقل")</f>
        <v>نشریات مستقل</v>
      </c>
      <c r="U2465" s="1" t="str">
        <f>IFERROR(__xludf.DUMMYFUNCTION("INDEX(SPLIT(A2465, ""/""), 3)"),"شریف‌الصناعیه")</f>
        <v>شریف‌الصناعیه</v>
      </c>
      <c r="V2465" s="1" t="str">
        <f>IFERROR(__xludf.DUMMYFUNCTION("INDEX(SPLIT(A2465, ""/""), 4)"),"#REF!")</f>
        <v>#REF!</v>
      </c>
    </row>
    <row r="2466">
      <c r="A2466" s="1" t="s">
        <v>7449</v>
      </c>
      <c r="B2466" s="1" t="s">
        <v>7476</v>
      </c>
      <c r="C2466" s="1" t="s">
        <v>21</v>
      </c>
      <c r="D2466" s="4" t="s">
        <v>7477</v>
      </c>
      <c r="E2466" s="1" t="s">
        <v>71</v>
      </c>
      <c r="F2466" s="1" t="s">
        <v>71</v>
      </c>
      <c r="G2466" s="1" t="s">
        <v>71</v>
      </c>
      <c r="H2466" s="1" t="s">
        <v>6349</v>
      </c>
      <c r="I2466" s="1" t="str">
        <f t="shared" si="1"/>
        <v>26</v>
      </c>
      <c r="J2466" s="5"/>
      <c r="K2466" s="1" t="str">
        <f t="shared" si="2"/>
        <v>11</v>
      </c>
      <c r="L2466" s="5"/>
      <c r="M2466" s="2" t="str">
        <f t="shared" si="3"/>
        <v>1398</v>
      </c>
      <c r="N2466" s="5"/>
      <c r="O2466" s="2">
        <v>12.0</v>
      </c>
      <c r="P2466" s="5"/>
      <c r="Q2466" s="5"/>
      <c r="R2466" s="6" t="s">
        <v>6349</v>
      </c>
      <c r="S2466" s="5"/>
      <c r="T2466" s="1" t="str">
        <f>IFERROR(__xludf.DUMMYFUNCTION("INDEX(SPLIT(A2466, ""/""), 2)"),"نشریات مستقل")</f>
        <v>نشریات مستقل</v>
      </c>
      <c r="U2466" s="1" t="str">
        <f>IFERROR(__xludf.DUMMYFUNCTION("INDEX(SPLIT(A2466, ""/""), 3)"),"شریف‌الصناعیه")</f>
        <v>شریف‌الصناعیه</v>
      </c>
      <c r="V2466" s="1" t="str">
        <f>IFERROR(__xludf.DUMMYFUNCTION("INDEX(SPLIT(A2466, ""/""), 4)"),"#REF!")</f>
        <v>#REF!</v>
      </c>
    </row>
    <row r="2467">
      <c r="A2467" s="1" t="s">
        <v>7449</v>
      </c>
      <c r="B2467" s="1" t="s">
        <v>7478</v>
      </c>
      <c r="C2467" s="1" t="s">
        <v>21</v>
      </c>
      <c r="D2467" s="4" t="s">
        <v>7479</v>
      </c>
      <c r="E2467" s="1" t="s">
        <v>71</v>
      </c>
      <c r="F2467" s="1" t="s">
        <v>71</v>
      </c>
      <c r="G2467" s="1" t="s">
        <v>71</v>
      </c>
      <c r="H2467" s="1" t="s">
        <v>6349</v>
      </c>
      <c r="I2467" s="1" t="str">
        <f t="shared" si="1"/>
        <v>26</v>
      </c>
      <c r="J2467" s="5"/>
      <c r="K2467" s="1" t="str">
        <f t="shared" si="2"/>
        <v>11</v>
      </c>
      <c r="L2467" s="5"/>
      <c r="M2467" s="2" t="str">
        <f t="shared" si="3"/>
        <v>1398</v>
      </c>
      <c r="N2467" s="5"/>
      <c r="O2467" s="2">
        <v>13.0</v>
      </c>
      <c r="P2467" s="5"/>
      <c r="Q2467" s="5"/>
      <c r="R2467" s="6" t="s">
        <v>6349</v>
      </c>
      <c r="S2467" s="5"/>
      <c r="T2467" s="1" t="str">
        <f>IFERROR(__xludf.DUMMYFUNCTION("INDEX(SPLIT(A2467, ""/""), 2)"),"نشریات مستقل")</f>
        <v>نشریات مستقل</v>
      </c>
      <c r="U2467" s="1" t="str">
        <f>IFERROR(__xludf.DUMMYFUNCTION("INDEX(SPLIT(A2467, ""/""), 3)"),"شریف‌الصناعیه")</f>
        <v>شریف‌الصناعیه</v>
      </c>
      <c r="V2467" s="1" t="str">
        <f>IFERROR(__xludf.DUMMYFUNCTION("INDEX(SPLIT(A2467, ""/""), 4)"),"#REF!")</f>
        <v>#REF!</v>
      </c>
    </row>
    <row r="2468">
      <c r="A2468" s="1" t="s">
        <v>7449</v>
      </c>
      <c r="B2468" s="1" t="s">
        <v>7480</v>
      </c>
      <c r="C2468" s="1" t="s">
        <v>21</v>
      </c>
      <c r="D2468" s="4" t="s">
        <v>7481</v>
      </c>
      <c r="E2468" s="1" t="s">
        <v>71</v>
      </c>
      <c r="F2468" s="1" t="s">
        <v>71</v>
      </c>
      <c r="G2468" s="1" t="s">
        <v>71</v>
      </c>
      <c r="H2468" s="1" t="s">
        <v>7482</v>
      </c>
      <c r="I2468" s="1" t="str">
        <f t="shared" si="1"/>
        <v>21</v>
      </c>
      <c r="J2468" s="5"/>
      <c r="K2468" s="1" t="str">
        <f t="shared" si="2"/>
        <v>12</v>
      </c>
      <c r="L2468" s="5"/>
      <c r="M2468" s="2" t="str">
        <f t="shared" si="3"/>
        <v>1398</v>
      </c>
      <c r="N2468" s="5"/>
      <c r="O2468" s="2">
        <v>13.0</v>
      </c>
      <c r="P2468" s="5"/>
      <c r="Q2468" s="5"/>
      <c r="R2468" s="6" t="s">
        <v>7482</v>
      </c>
      <c r="S2468" s="5"/>
      <c r="T2468" s="1" t="str">
        <f>IFERROR(__xludf.DUMMYFUNCTION("INDEX(SPLIT(A2468, ""/""), 2)"),"نشریات مستقل")</f>
        <v>نشریات مستقل</v>
      </c>
      <c r="U2468" s="1" t="str">
        <f>IFERROR(__xludf.DUMMYFUNCTION("INDEX(SPLIT(A2468, ""/""), 3)"),"شریف‌الصناعیه")</f>
        <v>شریف‌الصناعیه</v>
      </c>
      <c r="V2468" s="1" t="str">
        <f>IFERROR(__xludf.DUMMYFUNCTION("INDEX(SPLIT(A2468, ""/""), 4)"),"#REF!")</f>
        <v>#REF!</v>
      </c>
    </row>
    <row r="2469">
      <c r="A2469" s="1" t="s">
        <v>7449</v>
      </c>
      <c r="B2469" s="1" t="s">
        <v>7483</v>
      </c>
      <c r="C2469" s="1" t="s">
        <v>21</v>
      </c>
      <c r="D2469" s="4" t="s">
        <v>7484</v>
      </c>
      <c r="E2469" s="1" t="s">
        <v>71</v>
      </c>
      <c r="F2469" s="1" t="s">
        <v>71</v>
      </c>
      <c r="G2469" s="1" t="s">
        <v>71</v>
      </c>
      <c r="H2469" s="1" t="s">
        <v>7485</v>
      </c>
      <c r="I2469" s="1" t="str">
        <f t="shared" si="1"/>
        <v>22</v>
      </c>
      <c r="J2469" s="5"/>
      <c r="K2469" s="1" t="str">
        <f t="shared" si="2"/>
        <v>1</v>
      </c>
      <c r="L2469" s="5"/>
      <c r="M2469" s="2" t="str">
        <f t="shared" si="3"/>
        <v>1399</v>
      </c>
      <c r="N2469" s="5"/>
      <c r="O2469" s="2">
        <v>14.0</v>
      </c>
      <c r="P2469" s="5"/>
      <c r="Q2469" s="5"/>
      <c r="R2469" s="6" t="s">
        <v>7485</v>
      </c>
      <c r="S2469" s="5"/>
      <c r="T2469" s="1" t="str">
        <f>IFERROR(__xludf.DUMMYFUNCTION("INDEX(SPLIT(A2469, ""/""), 2)"),"نشریات مستقل")</f>
        <v>نشریات مستقل</v>
      </c>
      <c r="U2469" s="1" t="str">
        <f>IFERROR(__xludf.DUMMYFUNCTION("INDEX(SPLIT(A2469, ""/""), 3)"),"شریف‌الصناعیه")</f>
        <v>شریف‌الصناعیه</v>
      </c>
      <c r="V2469" s="1" t="str">
        <f>IFERROR(__xludf.DUMMYFUNCTION("INDEX(SPLIT(A2469, ""/""), 4)"),"#REF!")</f>
        <v>#REF!</v>
      </c>
    </row>
    <row r="2470">
      <c r="A2470" s="1" t="s">
        <v>7449</v>
      </c>
      <c r="B2470" s="1" t="s">
        <v>7486</v>
      </c>
      <c r="C2470" s="1" t="s">
        <v>21</v>
      </c>
      <c r="D2470" s="4" t="s">
        <v>7487</v>
      </c>
      <c r="E2470" s="1" t="s">
        <v>71</v>
      </c>
      <c r="F2470" s="1" t="s">
        <v>71</v>
      </c>
      <c r="G2470" s="1" t="s">
        <v>71</v>
      </c>
      <c r="H2470" s="1" t="s">
        <v>7488</v>
      </c>
      <c r="I2470" s="1" t="str">
        <f t="shared" si="1"/>
        <v>16</v>
      </c>
      <c r="J2470" s="5"/>
      <c r="K2470" s="1" t="str">
        <f t="shared" si="2"/>
        <v>2</v>
      </c>
      <c r="L2470" s="5"/>
      <c r="M2470" s="2" t="str">
        <f t="shared" si="3"/>
        <v>1399</v>
      </c>
      <c r="N2470" s="5"/>
      <c r="O2470" s="2">
        <v>15.0</v>
      </c>
      <c r="P2470" s="5"/>
      <c r="Q2470" s="5"/>
      <c r="R2470" s="6" t="s">
        <v>7488</v>
      </c>
      <c r="S2470" s="5"/>
      <c r="T2470" s="1" t="str">
        <f>IFERROR(__xludf.DUMMYFUNCTION("INDEX(SPLIT(A2470, ""/""), 2)"),"نشریات مستقل")</f>
        <v>نشریات مستقل</v>
      </c>
      <c r="U2470" s="1" t="str">
        <f>IFERROR(__xludf.DUMMYFUNCTION("INDEX(SPLIT(A2470, ""/""), 3)"),"شریف‌الصناعیه")</f>
        <v>شریف‌الصناعیه</v>
      </c>
      <c r="V2470" s="1" t="str">
        <f>IFERROR(__xludf.DUMMYFUNCTION("INDEX(SPLIT(A2470, ""/""), 4)"),"#REF!")</f>
        <v>#REF!</v>
      </c>
    </row>
    <row r="2471">
      <c r="A2471" s="1" t="s">
        <v>7449</v>
      </c>
      <c r="B2471" s="1" t="s">
        <v>7489</v>
      </c>
      <c r="C2471" s="1" t="s">
        <v>21</v>
      </c>
      <c r="D2471" s="4" t="s">
        <v>7490</v>
      </c>
      <c r="E2471" s="1" t="s">
        <v>71</v>
      </c>
      <c r="F2471" s="1" t="s">
        <v>71</v>
      </c>
      <c r="G2471" s="1" t="s">
        <v>71</v>
      </c>
      <c r="H2471" s="1" t="s">
        <v>6378</v>
      </c>
      <c r="I2471" s="1" t="str">
        <f t="shared" si="1"/>
        <v>25</v>
      </c>
      <c r="J2471" s="5"/>
      <c r="K2471" s="1" t="str">
        <f t="shared" si="2"/>
        <v>3</v>
      </c>
      <c r="L2471" s="5"/>
      <c r="M2471" s="2" t="str">
        <f t="shared" si="3"/>
        <v>1399</v>
      </c>
      <c r="N2471" s="5"/>
      <c r="O2471" s="2">
        <v>16.0</v>
      </c>
      <c r="P2471" s="5"/>
      <c r="Q2471" s="5"/>
      <c r="R2471" s="6" t="s">
        <v>6378</v>
      </c>
      <c r="S2471" s="5"/>
      <c r="T2471" s="1" t="str">
        <f>IFERROR(__xludf.DUMMYFUNCTION("INDEX(SPLIT(A2471, ""/""), 2)"),"نشریات مستقل")</f>
        <v>نشریات مستقل</v>
      </c>
      <c r="U2471" s="1" t="str">
        <f>IFERROR(__xludf.DUMMYFUNCTION("INDEX(SPLIT(A2471, ""/""), 3)"),"شریف‌الصناعیه")</f>
        <v>شریف‌الصناعیه</v>
      </c>
      <c r="V2471" s="1" t="str">
        <f>IFERROR(__xludf.DUMMYFUNCTION("INDEX(SPLIT(A2471, ""/""), 4)"),"#REF!")</f>
        <v>#REF!</v>
      </c>
    </row>
    <row r="2472">
      <c r="A2472" s="1" t="s">
        <v>7449</v>
      </c>
      <c r="B2472" s="1" t="s">
        <v>7491</v>
      </c>
      <c r="C2472" s="1" t="s">
        <v>21</v>
      </c>
      <c r="D2472" s="4" t="s">
        <v>7492</v>
      </c>
      <c r="E2472" s="1" t="s">
        <v>71</v>
      </c>
      <c r="F2472" s="1" t="s">
        <v>71</v>
      </c>
      <c r="G2472" s="1" t="s">
        <v>71</v>
      </c>
      <c r="H2472" s="1" t="s">
        <v>7493</v>
      </c>
      <c r="I2472" s="1" t="str">
        <f t="shared" si="1"/>
        <v>28</v>
      </c>
      <c r="J2472" s="5"/>
      <c r="K2472" s="1" t="str">
        <f t="shared" si="2"/>
        <v>6</v>
      </c>
      <c r="L2472" s="5"/>
      <c r="M2472" s="2" t="str">
        <f t="shared" si="3"/>
        <v>1399</v>
      </c>
      <c r="N2472" s="5"/>
      <c r="O2472" s="2">
        <v>17.0</v>
      </c>
      <c r="P2472" s="5"/>
      <c r="Q2472" s="5"/>
      <c r="R2472" s="6" t="s">
        <v>7493</v>
      </c>
      <c r="S2472" s="5"/>
      <c r="T2472" s="1" t="str">
        <f>IFERROR(__xludf.DUMMYFUNCTION("INDEX(SPLIT(A2472, ""/""), 2)"),"نشریات مستقل")</f>
        <v>نشریات مستقل</v>
      </c>
      <c r="U2472" s="1" t="str">
        <f>IFERROR(__xludf.DUMMYFUNCTION("INDEX(SPLIT(A2472, ""/""), 3)"),"شریف‌الصناعیه")</f>
        <v>شریف‌الصناعیه</v>
      </c>
      <c r="V2472" s="1" t="str">
        <f>IFERROR(__xludf.DUMMYFUNCTION("INDEX(SPLIT(A2472, ""/""), 4)"),"#REF!")</f>
        <v>#REF!</v>
      </c>
    </row>
    <row r="2473">
      <c r="A2473" s="1" t="s">
        <v>7449</v>
      </c>
      <c r="B2473" s="1" t="s">
        <v>7494</v>
      </c>
      <c r="C2473" s="1" t="s">
        <v>21</v>
      </c>
      <c r="D2473" s="4" t="s">
        <v>7495</v>
      </c>
      <c r="E2473" s="1" t="s">
        <v>71</v>
      </c>
      <c r="F2473" s="1" t="s">
        <v>71</v>
      </c>
      <c r="G2473" s="1" t="s">
        <v>71</v>
      </c>
      <c r="H2473" s="1" t="s">
        <v>7496</v>
      </c>
      <c r="I2473" s="1" t="str">
        <f t="shared" si="1"/>
        <v>28</v>
      </c>
      <c r="J2473" s="5"/>
      <c r="K2473" s="1" t="str">
        <f t="shared" si="2"/>
        <v>7</v>
      </c>
      <c r="L2473" s="5"/>
      <c r="M2473" s="2" t="str">
        <f t="shared" si="3"/>
        <v>1399</v>
      </c>
      <c r="N2473" s="5"/>
      <c r="O2473" s="2">
        <v>18.0</v>
      </c>
      <c r="P2473" s="5"/>
      <c r="Q2473" s="5"/>
      <c r="R2473" s="6" t="s">
        <v>7496</v>
      </c>
      <c r="S2473" s="5"/>
      <c r="T2473" s="1" t="str">
        <f>IFERROR(__xludf.DUMMYFUNCTION("INDEX(SPLIT(A2473, ""/""), 2)"),"نشریات مستقل")</f>
        <v>نشریات مستقل</v>
      </c>
      <c r="U2473" s="1" t="str">
        <f>IFERROR(__xludf.DUMMYFUNCTION("INDEX(SPLIT(A2473, ""/""), 3)"),"شریف‌الصناعیه")</f>
        <v>شریف‌الصناعیه</v>
      </c>
      <c r="V2473" s="1" t="str">
        <f>IFERROR(__xludf.DUMMYFUNCTION("INDEX(SPLIT(A2473, ""/""), 4)"),"#REF!")</f>
        <v>#REF!</v>
      </c>
    </row>
    <row r="2474">
      <c r="A2474" s="1" t="s">
        <v>7449</v>
      </c>
      <c r="B2474" s="1" t="s">
        <v>7497</v>
      </c>
      <c r="C2474" s="1" t="s">
        <v>21</v>
      </c>
      <c r="D2474" s="4" t="s">
        <v>7498</v>
      </c>
      <c r="E2474" s="1" t="s">
        <v>71</v>
      </c>
      <c r="F2474" s="1" t="s">
        <v>71</v>
      </c>
      <c r="G2474" s="1" t="s">
        <v>71</v>
      </c>
      <c r="H2474" s="1" t="s">
        <v>7499</v>
      </c>
      <c r="I2474" s="1" t="str">
        <f t="shared" si="1"/>
        <v>25</v>
      </c>
      <c r="J2474" s="5"/>
      <c r="K2474" s="1" t="str">
        <f t="shared" si="2"/>
        <v>8</v>
      </c>
      <c r="L2474" s="5"/>
      <c r="M2474" s="2" t="str">
        <f t="shared" si="3"/>
        <v>1399</v>
      </c>
      <c r="N2474" s="5"/>
      <c r="O2474" s="2">
        <v>19.0</v>
      </c>
      <c r="P2474" s="5"/>
      <c r="Q2474" s="5"/>
      <c r="R2474" s="6" t="s">
        <v>7499</v>
      </c>
      <c r="S2474" s="5"/>
      <c r="T2474" s="1" t="str">
        <f>IFERROR(__xludf.DUMMYFUNCTION("INDEX(SPLIT(A2474, ""/""), 2)"),"نشریات مستقل")</f>
        <v>نشریات مستقل</v>
      </c>
      <c r="U2474" s="1" t="str">
        <f>IFERROR(__xludf.DUMMYFUNCTION("INDEX(SPLIT(A2474, ""/""), 3)"),"شریف‌الصناعیه")</f>
        <v>شریف‌الصناعیه</v>
      </c>
      <c r="V2474" s="1" t="str">
        <f>IFERROR(__xludf.DUMMYFUNCTION("INDEX(SPLIT(A2474, ""/""), 4)"),"#REF!")</f>
        <v>#REF!</v>
      </c>
    </row>
    <row r="2475">
      <c r="A2475" s="1" t="s">
        <v>7500</v>
      </c>
      <c r="B2475" s="1" t="s">
        <v>7501</v>
      </c>
      <c r="C2475" s="1" t="s">
        <v>21</v>
      </c>
      <c r="D2475" s="4" t="s">
        <v>7502</v>
      </c>
      <c r="E2475" s="1" t="s">
        <v>7503</v>
      </c>
      <c r="F2475" s="1" t="s">
        <v>7503</v>
      </c>
      <c r="G2475" s="1" t="s">
        <v>7504</v>
      </c>
      <c r="H2475" s="1" t="s">
        <v>4015</v>
      </c>
      <c r="I2475" s="1" t="str">
        <f t="shared" si="1"/>
        <v>x</v>
      </c>
      <c r="J2475" s="5"/>
      <c r="K2475" s="1" t="str">
        <f t="shared" si="2"/>
        <v>9</v>
      </c>
      <c r="L2475" s="5"/>
      <c r="M2475" s="2" t="str">
        <f t="shared" si="3"/>
        <v>1388</v>
      </c>
      <c r="N2475" s="5"/>
      <c r="O2475" s="1">
        <v>1.0</v>
      </c>
      <c r="P2475" s="5"/>
      <c r="Q2475" s="5"/>
      <c r="R2475" s="6" t="s">
        <v>4016</v>
      </c>
      <c r="S2475" s="1" t="s">
        <v>7505</v>
      </c>
      <c r="T2475" s="1" t="str">
        <f>IFERROR(__xludf.DUMMYFUNCTION("INDEX(SPLIT(A2475, ""/""), 2)"),"نشریات مستقل")</f>
        <v>نشریات مستقل</v>
      </c>
      <c r="U2475" s="1" t="str">
        <f>IFERROR(__xludf.DUMMYFUNCTION("INDEX(SPLIT(A2475, ""/""), 3)"),"صدای تغییر")</f>
        <v>صدای تغییر</v>
      </c>
      <c r="V2475" s="1" t="str">
        <f>IFERROR(__xludf.DUMMYFUNCTION("INDEX(SPLIT(A2475, ""/""), 4)"),"#REF!")</f>
        <v>#REF!</v>
      </c>
    </row>
    <row r="2476">
      <c r="A2476" s="1" t="s">
        <v>7500</v>
      </c>
      <c r="B2476" s="1" t="s">
        <v>7506</v>
      </c>
      <c r="C2476" s="1" t="s">
        <v>21</v>
      </c>
      <c r="D2476" s="4" t="s">
        <v>7507</v>
      </c>
      <c r="E2476" s="1" t="s">
        <v>7503</v>
      </c>
      <c r="F2476" s="1" t="s">
        <v>7503</v>
      </c>
      <c r="G2476" s="1" t="s">
        <v>7504</v>
      </c>
      <c r="H2476" s="1" t="s">
        <v>4015</v>
      </c>
      <c r="I2476" s="1" t="str">
        <f t="shared" si="1"/>
        <v>x</v>
      </c>
      <c r="J2476" s="5"/>
      <c r="K2476" s="1" t="str">
        <f t="shared" si="2"/>
        <v>9</v>
      </c>
      <c r="L2476" s="5"/>
      <c r="M2476" s="2" t="str">
        <f t="shared" si="3"/>
        <v>1388</v>
      </c>
      <c r="N2476" s="5"/>
      <c r="O2476" s="1">
        <v>2.0</v>
      </c>
      <c r="P2476" s="5"/>
      <c r="Q2476" s="5"/>
      <c r="R2476" s="6" t="s">
        <v>4016</v>
      </c>
      <c r="S2476" s="1" t="s">
        <v>7505</v>
      </c>
      <c r="T2476" s="1" t="str">
        <f>IFERROR(__xludf.DUMMYFUNCTION("INDEX(SPLIT(A2476, ""/""), 2)"),"نشریات مستقل")</f>
        <v>نشریات مستقل</v>
      </c>
      <c r="U2476" s="1" t="str">
        <f>IFERROR(__xludf.DUMMYFUNCTION("INDEX(SPLIT(A2476, ""/""), 3)"),"صدای تغییر")</f>
        <v>صدای تغییر</v>
      </c>
      <c r="V2476" s="1" t="str">
        <f>IFERROR(__xludf.DUMMYFUNCTION("INDEX(SPLIT(A2476, ""/""), 4)"),"#REF!")</f>
        <v>#REF!</v>
      </c>
    </row>
    <row r="2477">
      <c r="A2477" s="1" t="s">
        <v>7500</v>
      </c>
      <c r="B2477" s="1" t="s">
        <v>7508</v>
      </c>
      <c r="C2477" s="1" t="s">
        <v>21</v>
      </c>
      <c r="D2477" s="4" t="s">
        <v>7509</v>
      </c>
      <c r="E2477" s="1" t="s">
        <v>7503</v>
      </c>
      <c r="F2477" s="1" t="s">
        <v>7503</v>
      </c>
      <c r="G2477" s="1" t="s">
        <v>7504</v>
      </c>
      <c r="H2477" s="1" t="s">
        <v>3953</v>
      </c>
      <c r="I2477" s="1" t="str">
        <f t="shared" si="1"/>
        <v>x</v>
      </c>
      <c r="J2477" s="5"/>
      <c r="K2477" s="1" t="str">
        <f t="shared" si="2"/>
        <v>10</v>
      </c>
      <c r="L2477" s="5"/>
      <c r="M2477" s="2" t="str">
        <f t="shared" si="3"/>
        <v>1388</v>
      </c>
      <c r="N2477" s="5"/>
      <c r="O2477" s="1">
        <v>3.0</v>
      </c>
      <c r="P2477" s="5"/>
      <c r="Q2477" s="5"/>
      <c r="R2477" s="6" t="s">
        <v>7510</v>
      </c>
      <c r="S2477" s="1" t="s">
        <v>7505</v>
      </c>
      <c r="T2477" s="1" t="str">
        <f>IFERROR(__xludf.DUMMYFUNCTION("INDEX(SPLIT(A2477, ""/""), 2)"),"نشریات مستقل")</f>
        <v>نشریات مستقل</v>
      </c>
      <c r="U2477" s="1" t="str">
        <f>IFERROR(__xludf.DUMMYFUNCTION("INDEX(SPLIT(A2477, ""/""), 3)"),"صدای تغییر")</f>
        <v>صدای تغییر</v>
      </c>
      <c r="V2477" s="1" t="str">
        <f>IFERROR(__xludf.DUMMYFUNCTION("INDEX(SPLIT(A2477, ""/""), 4)"),"#REF!")</f>
        <v>#REF!</v>
      </c>
    </row>
    <row r="2478">
      <c r="A2478" s="1" t="s">
        <v>7500</v>
      </c>
      <c r="B2478" s="1" t="s">
        <v>7511</v>
      </c>
      <c r="C2478" s="1" t="s">
        <v>21</v>
      </c>
      <c r="D2478" s="4" t="s">
        <v>7512</v>
      </c>
      <c r="E2478" s="1" t="s">
        <v>7503</v>
      </c>
      <c r="F2478" s="1" t="s">
        <v>7503</v>
      </c>
      <c r="G2478" s="1" t="s">
        <v>7504</v>
      </c>
      <c r="H2478" s="1" t="s">
        <v>6870</v>
      </c>
      <c r="I2478" s="1" t="str">
        <f t="shared" si="1"/>
        <v>x</v>
      </c>
      <c r="J2478" s="5"/>
      <c r="K2478" s="1" t="str">
        <f t="shared" si="2"/>
        <v>12</v>
      </c>
      <c r="L2478" s="5"/>
      <c r="M2478" s="2" t="str">
        <f t="shared" si="3"/>
        <v>1388</v>
      </c>
      <c r="N2478" s="5"/>
      <c r="O2478" s="1">
        <v>4.0</v>
      </c>
      <c r="P2478" s="5"/>
      <c r="Q2478" s="5"/>
      <c r="R2478" s="6" t="s">
        <v>5420</v>
      </c>
      <c r="S2478" s="5"/>
      <c r="T2478" s="1" t="str">
        <f>IFERROR(__xludf.DUMMYFUNCTION("INDEX(SPLIT(A2478, ""/""), 2)"),"نشریات مستقل")</f>
        <v>نشریات مستقل</v>
      </c>
      <c r="U2478" s="1" t="str">
        <f>IFERROR(__xludf.DUMMYFUNCTION("INDEX(SPLIT(A2478, ""/""), 3)"),"صدای تغییر")</f>
        <v>صدای تغییر</v>
      </c>
      <c r="V2478" s="1" t="str">
        <f>IFERROR(__xludf.DUMMYFUNCTION("INDEX(SPLIT(A2478, ""/""), 4)"),"#REF!")</f>
        <v>#REF!</v>
      </c>
    </row>
    <row r="2479">
      <c r="A2479" s="1" t="s">
        <v>7500</v>
      </c>
      <c r="B2479" s="1" t="s">
        <v>7513</v>
      </c>
      <c r="C2479" s="1" t="s">
        <v>21</v>
      </c>
      <c r="D2479" s="4" t="s">
        <v>7514</v>
      </c>
      <c r="E2479" s="1" t="s">
        <v>7515</v>
      </c>
      <c r="F2479" s="1" t="s">
        <v>7515</v>
      </c>
      <c r="G2479" s="1" t="s">
        <v>7515</v>
      </c>
      <c r="H2479" s="1" t="s">
        <v>291</v>
      </c>
      <c r="I2479" s="1" t="str">
        <f t="shared" si="1"/>
        <v>x</v>
      </c>
      <c r="J2479" s="5"/>
      <c r="K2479" s="1" t="str">
        <f t="shared" si="2"/>
        <v>x</v>
      </c>
      <c r="L2479" s="5"/>
      <c r="M2479" s="2" t="str">
        <f t="shared" si="3"/>
        <v>x</v>
      </c>
      <c r="N2479" s="5"/>
      <c r="O2479" s="1">
        <v>5.0</v>
      </c>
      <c r="P2479" s="1" t="s">
        <v>6870</v>
      </c>
      <c r="Q2479" s="7" t="s">
        <v>7516</v>
      </c>
      <c r="R2479" s="6" t="s">
        <v>7517</v>
      </c>
      <c r="S2479" s="5"/>
      <c r="T2479" s="1" t="str">
        <f>IFERROR(__xludf.DUMMYFUNCTION("INDEX(SPLIT(A2479, ""/""), 2)"),"نشریات مستقل")</f>
        <v>نشریات مستقل</v>
      </c>
      <c r="U2479" s="1" t="str">
        <f>IFERROR(__xludf.DUMMYFUNCTION("INDEX(SPLIT(A2479, ""/""), 3)"),"صدای تغییر")</f>
        <v>صدای تغییر</v>
      </c>
      <c r="V2479" s="1" t="str">
        <f>IFERROR(__xludf.DUMMYFUNCTION("INDEX(SPLIT(A2479, ""/""), 4)"),"#REF!")</f>
        <v>#REF!</v>
      </c>
    </row>
    <row r="2480">
      <c r="A2480" s="1" t="s">
        <v>7500</v>
      </c>
      <c r="B2480" s="1" t="s">
        <v>7518</v>
      </c>
      <c r="C2480" s="1" t="s">
        <v>21</v>
      </c>
      <c r="D2480" s="4" t="s">
        <v>7519</v>
      </c>
      <c r="E2480" s="1" t="s">
        <v>7515</v>
      </c>
      <c r="F2480" s="1" t="s">
        <v>7515</v>
      </c>
      <c r="G2480" s="1" t="s">
        <v>7515</v>
      </c>
      <c r="H2480" s="7" t="s">
        <v>7516</v>
      </c>
      <c r="I2480" s="1" t="str">
        <f t="shared" si="1"/>
        <v>2</v>
      </c>
      <c r="J2480" s="5"/>
      <c r="K2480" s="1" t="str">
        <f t="shared" si="2"/>
        <v>3</v>
      </c>
      <c r="L2480" s="5"/>
      <c r="M2480" s="2" t="str">
        <f t="shared" si="3"/>
        <v>1390</v>
      </c>
      <c r="N2480" s="5"/>
      <c r="O2480" s="1">
        <v>6.0</v>
      </c>
      <c r="P2480" s="5"/>
      <c r="Q2480" s="5"/>
      <c r="R2480" s="8" t="s">
        <v>7516</v>
      </c>
      <c r="S2480" s="5"/>
      <c r="T2480" s="1" t="str">
        <f>IFERROR(__xludf.DUMMYFUNCTION("INDEX(SPLIT(A2480, ""/""), 2)"),"نشریات مستقل")</f>
        <v>نشریات مستقل</v>
      </c>
      <c r="U2480" s="1" t="str">
        <f>IFERROR(__xludf.DUMMYFUNCTION("INDEX(SPLIT(A2480, ""/""), 3)"),"صدای تغییر")</f>
        <v>صدای تغییر</v>
      </c>
      <c r="V2480" s="1" t="str">
        <f>IFERROR(__xludf.DUMMYFUNCTION("INDEX(SPLIT(A2480, ""/""), 4)"),"#REF!")</f>
        <v>#REF!</v>
      </c>
    </row>
    <row r="2481">
      <c r="A2481" s="1" t="s">
        <v>7520</v>
      </c>
      <c r="B2481" s="1" t="s">
        <v>7521</v>
      </c>
      <c r="C2481" s="1" t="s">
        <v>21</v>
      </c>
      <c r="D2481" s="4" t="s">
        <v>7522</v>
      </c>
      <c r="E2481" s="1" t="s">
        <v>7523</v>
      </c>
      <c r="F2481" s="1" t="s">
        <v>7524</v>
      </c>
      <c r="G2481" s="1" t="s">
        <v>752</v>
      </c>
      <c r="H2481" s="1" t="s">
        <v>7510</v>
      </c>
      <c r="I2481" s="1" t="str">
        <f t="shared" si="1"/>
        <v>15</v>
      </c>
      <c r="J2481" s="5"/>
      <c r="K2481" s="1" t="str">
        <f t="shared" si="2"/>
        <v>10</v>
      </c>
      <c r="L2481" s="5"/>
      <c r="M2481" s="2" t="str">
        <f t="shared" si="3"/>
        <v>1388</v>
      </c>
      <c r="N2481" s="5"/>
      <c r="O2481" s="2">
        <v>36.0</v>
      </c>
      <c r="P2481" s="5"/>
      <c r="Q2481" s="5"/>
      <c r="R2481" s="6" t="s">
        <v>7510</v>
      </c>
      <c r="S2481" s="5"/>
      <c r="T2481" s="1" t="str">
        <f>IFERROR(__xludf.DUMMYFUNCTION("INDEX(SPLIT(A2481, ""/""), 2)"),"نشریات مستقل")</f>
        <v>نشریات مستقل</v>
      </c>
      <c r="U2481" s="1" t="str">
        <f>IFERROR(__xludf.DUMMYFUNCTION("INDEX(SPLIT(A2481, ""/""), 3)"),"صدف")</f>
        <v>صدف</v>
      </c>
      <c r="V2481" s="1" t="str">
        <f>IFERROR(__xludf.DUMMYFUNCTION("INDEX(SPLIT(A2481, ""/""), 4)"),"#REF!")</f>
        <v>#REF!</v>
      </c>
    </row>
    <row r="2482">
      <c r="A2482" s="1" t="s">
        <v>7520</v>
      </c>
      <c r="B2482" s="1" t="s">
        <v>7525</v>
      </c>
      <c r="C2482" s="1" t="s">
        <v>21</v>
      </c>
      <c r="D2482" s="4" t="s">
        <v>7526</v>
      </c>
      <c r="E2482" s="1" t="s">
        <v>7523</v>
      </c>
      <c r="F2482" s="1" t="s">
        <v>7524</v>
      </c>
      <c r="G2482" s="1" t="s">
        <v>752</v>
      </c>
      <c r="H2482" s="1" t="s">
        <v>7527</v>
      </c>
      <c r="I2482" s="1" t="str">
        <f t="shared" si="1"/>
        <v>29</v>
      </c>
      <c r="J2482" s="5"/>
      <c r="K2482" s="1" t="str">
        <f t="shared" si="2"/>
        <v>10</v>
      </c>
      <c r="L2482" s="5"/>
      <c r="M2482" s="2" t="str">
        <f t="shared" si="3"/>
        <v>1388</v>
      </c>
      <c r="N2482" s="5"/>
      <c r="O2482" s="2">
        <v>38.0</v>
      </c>
      <c r="P2482" s="5"/>
      <c r="Q2482" s="5"/>
      <c r="R2482" s="6" t="s">
        <v>7527</v>
      </c>
      <c r="S2482" s="5"/>
      <c r="T2482" s="1" t="str">
        <f>IFERROR(__xludf.DUMMYFUNCTION("INDEX(SPLIT(A2482, ""/""), 2)"),"نشریات مستقل")</f>
        <v>نشریات مستقل</v>
      </c>
      <c r="U2482" s="1" t="str">
        <f>IFERROR(__xludf.DUMMYFUNCTION("INDEX(SPLIT(A2482, ""/""), 3)"),"صدف")</f>
        <v>صدف</v>
      </c>
      <c r="V2482" s="1" t="str">
        <f>IFERROR(__xludf.DUMMYFUNCTION("INDEX(SPLIT(A2482, ""/""), 4)"),"#REF!")</f>
        <v>#REF!</v>
      </c>
    </row>
    <row r="2483">
      <c r="A2483" s="1" t="s">
        <v>7520</v>
      </c>
      <c r="B2483" s="1" t="s">
        <v>7528</v>
      </c>
      <c r="C2483" s="1" t="s">
        <v>21</v>
      </c>
      <c r="D2483" s="4" t="s">
        <v>7529</v>
      </c>
      <c r="E2483" s="1" t="s">
        <v>7523</v>
      </c>
      <c r="F2483" s="1" t="s">
        <v>7524</v>
      </c>
      <c r="G2483" s="1" t="s">
        <v>752</v>
      </c>
      <c r="H2483" s="7" t="s">
        <v>5414</v>
      </c>
      <c r="I2483" s="1" t="str">
        <f t="shared" si="1"/>
        <v>4</v>
      </c>
      <c r="J2483" s="5"/>
      <c r="K2483" s="1" t="str">
        <f t="shared" si="2"/>
        <v>12</v>
      </c>
      <c r="L2483" s="5"/>
      <c r="M2483" s="2" t="str">
        <f t="shared" si="3"/>
        <v>1388</v>
      </c>
      <c r="N2483" s="5"/>
      <c r="O2483" s="2">
        <v>41.0</v>
      </c>
      <c r="P2483" s="5"/>
      <c r="Q2483" s="5"/>
      <c r="R2483" s="8" t="s">
        <v>5414</v>
      </c>
      <c r="S2483" s="5"/>
      <c r="T2483" s="1" t="str">
        <f>IFERROR(__xludf.DUMMYFUNCTION("INDEX(SPLIT(A2483, ""/""), 2)"),"نشریات مستقل")</f>
        <v>نشریات مستقل</v>
      </c>
      <c r="U2483" s="1" t="str">
        <f>IFERROR(__xludf.DUMMYFUNCTION("INDEX(SPLIT(A2483, ""/""), 3)"),"صدف")</f>
        <v>صدف</v>
      </c>
      <c r="V2483" s="1" t="str">
        <f>IFERROR(__xludf.DUMMYFUNCTION("INDEX(SPLIT(A2483, ""/""), 4)"),"#REF!")</f>
        <v>#REF!</v>
      </c>
    </row>
    <row r="2484">
      <c r="A2484" s="1" t="s">
        <v>7520</v>
      </c>
      <c r="B2484" s="1" t="s">
        <v>7530</v>
      </c>
      <c r="C2484" s="1" t="s">
        <v>21</v>
      </c>
      <c r="D2484" s="4" t="s">
        <v>7531</v>
      </c>
      <c r="E2484" s="1" t="s">
        <v>7523</v>
      </c>
      <c r="F2484" s="1" t="s">
        <v>7524</v>
      </c>
      <c r="G2484" s="1" t="s">
        <v>752</v>
      </c>
      <c r="H2484" s="1" t="s">
        <v>7532</v>
      </c>
      <c r="I2484" s="1" t="str">
        <f t="shared" si="1"/>
        <v>16</v>
      </c>
      <c r="J2484" s="5"/>
      <c r="K2484" s="1" t="str">
        <f t="shared" si="2"/>
        <v>12</v>
      </c>
      <c r="L2484" s="5"/>
      <c r="M2484" s="2" t="str">
        <f t="shared" si="3"/>
        <v>1388</v>
      </c>
      <c r="N2484" s="5"/>
      <c r="O2484" s="2">
        <v>43.0</v>
      </c>
      <c r="P2484" s="5"/>
      <c r="Q2484" s="5"/>
      <c r="R2484" s="6" t="s">
        <v>7532</v>
      </c>
      <c r="S2484" s="5"/>
      <c r="T2484" s="1" t="str">
        <f>IFERROR(__xludf.DUMMYFUNCTION("INDEX(SPLIT(A2484, ""/""), 2)"),"نشریات مستقل")</f>
        <v>نشریات مستقل</v>
      </c>
      <c r="U2484" s="1" t="str">
        <f>IFERROR(__xludf.DUMMYFUNCTION("INDEX(SPLIT(A2484, ""/""), 3)"),"صدف")</f>
        <v>صدف</v>
      </c>
      <c r="V2484" s="1" t="str">
        <f>IFERROR(__xludf.DUMMYFUNCTION("INDEX(SPLIT(A2484, ""/""), 4)"),"#REF!")</f>
        <v>#REF!</v>
      </c>
    </row>
    <row r="2485">
      <c r="A2485" s="1" t="s">
        <v>7520</v>
      </c>
      <c r="B2485" s="1" t="s">
        <v>7533</v>
      </c>
      <c r="C2485" s="1" t="s">
        <v>21</v>
      </c>
      <c r="D2485" s="4" t="s">
        <v>7534</v>
      </c>
      <c r="E2485" s="1" t="s">
        <v>7523</v>
      </c>
      <c r="F2485" s="1" t="s">
        <v>7524</v>
      </c>
      <c r="G2485" s="1" t="s">
        <v>752</v>
      </c>
      <c r="H2485" s="7" t="s">
        <v>5438</v>
      </c>
      <c r="I2485" s="1" t="str">
        <f t="shared" si="1"/>
        <v>4</v>
      </c>
      <c r="J2485" s="5"/>
      <c r="K2485" s="1" t="str">
        <f t="shared" si="2"/>
        <v>3</v>
      </c>
      <c r="L2485" s="5"/>
      <c r="M2485" s="2" t="str">
        <f t="shared" si="3"/>
        <v>1389</v>
      </c>
      <c r="N2485" s="5"/>
      <c r="O2485" s="2">
        <v>47.0</v>
      </c>
      <c r="P2485" s="5"/>
      <c r="Q2485" s="5"/>
      <c r="R2485" s="8" t="s">
        <v>5438</v>
      </c>
      <c r="S2485" s="5"/>
      <c r="T2485" s="1" t="str">
        <f>IFERROR(__xludf.DUMMYFUNCTION("INDEX(SPLIT(A2485, ""/""), 2)"),"نشریات مستقل")</f>
        <v>نشریات مستقل</v>
      </c>
      <c r="U2485" s="1" t="str">
        <f>IFERROR(__xludf.DUMMYFUNCTION("INDEX(SPLIT(A2485, ""/""), 3)"),"صدف")</f>
        <v>صدف</v>
      </c>
      <c r="V2485" s="1" t="str">
        <f>IFERROR(__xludf.DUMMYFUNCTION("INDEX(SPLIT(A2485, ""/""), 4)"),"#REF!")</f>
        <v>#REF!</v>
      </c>
    </row>
    <row r="2486">
      <c r="A2486" s="1" t="s">
        <v>7520</v>
      </c>
      <c r="B2486" s="1" t="s">
        <v>7535</v>
      </c>
      <c r="C2486" s="1" t="s">
        <v>21</v>
      </c>
      <c r="D2486" s="4" t="s">
        <v>7536</v>
      </c>
      <c r="E2486" s="1" t="s">
        <v>7523</v>
      </c>
      <c r="F2486" s="1" t="s">
        <v>7524</v>
      </c>
      <c r="G2486" s="1" t="s">
        <v>7537</v>
      </c>
      <c r="H2486" s="7" t="s">
        <v>7538</v>
      </c>
      <c r="I2486" s="1" t="str">
        <f t="shared" si="1"/>
        <v>11</v>
      </c>
      <c r="J2486" s="5"/>
      <c r="K2486" s="1" t="str">
        <f t="shared" si="2"/>
        <v>3</v>
      </c>
      <c r="L2486" s="5"/>
      <c r="M2486" s="2" t="str">
        <f t="shared" si="3"/>
        <v>1389</v>
      </c>
      <c r="N2486" s="5"/>
      <c r="O2486" s="2">
        <v>48.0</v>
      </c>
      <c r="P2486" s="5"/>
      <c r="Q2486" s="5"/>
      <c r="R2486" s="8" t="s">
        <v>7538</v>
      </c>
      <c r="S2486" s="5"/>
      <c r="T2486" s="1" t="str">
        <f>IFERROR(__xludf.DUMMYFUNCTION("INDEX(SPLIT(A2486, ""/""), 2)"),"نشریات مستقل")</f>
        <v>نشریات مستقل</v>
      </c>
      <c r="U2486" s="1" t="str">
        <f>IFERROR(__xludf.DUMMYFUNCTION("INDEX(SPLIT(A2486, ""/""), 3)"),"صدف")</f>
        <v>صدف</v>
      </c>
      <c r="V2486" s="1" t="str">
        <f>IFERROR(__xludf.DUMMYFUNCTION("INDEX(SPLIT(A2486, ""/""), 4)"),"#REF!")</f>
        <v>#REF!</v>
      </c>
    </row>
    <row r="2487">
      <c r="A2487" s="1" t="s">
        <v>7539</v>
      </c>
      <c r="B2487" s="1" t="s">
        <v>7540</v>
      </c>
      <c r="C2487" s="1" t="s">
        <v>21</v>
      </c>
      <c r="D2487" s="4" t="s">
        <v>7541</v>
      </c>
      <c r="E2487" s="1" t="s">
        <v>71</v>
      </c>
      <c r="F2487" s="1" t="s">
        <v>71</v>
      </c>
      <c r="G2487" s="1" t="s">
        <v>71</v>
      </c>
      <c r="H2487" s="7" t="s">
        <v>7542</v>
      </c>
      <c r="I2487" s="1" t="str">
        <f t="shared" si="1"/>
        <v>6</v>
      </c>
      <c r="J2487" s="5"/>
      <c r="K2487" s="1" t="str">
        <f t="shared" si="2"/>
        <v>4</v>
      </c>
      <c r="L2487" s="5"/>
      <c r="M2487" s="2" t="str">
        <f t="shared" si="3"/>
        <v>1389</v>
      </c>
      <c r="N2487" s="5"/>
      <c r="O2487" s="2">
        <v>2.0</v>
      </c>
      <c r="P2487" s="5"/>
      <c r="Q2487" s="5"/>
      <c r="R2487" s="8" t="s">
        <v>7542</v>
      </c>
      <c r="S2487" s="5"/>
      <c r="T2487" s="1" t="str">
        <f>IFERROR(__xludf.DUMMYFUNCTION("INDEX(SPLIT(A2487, ""/""), 2)"),"نشریات مستقل")</f>
        <v>نشریات مستقل</v>
      </c>
      <c r="U2487" s="1" t="str">
        <f>IFERROR(__xludf.DUMMYFUNCTION("INDEX(SPLIT(A2487, ""/""), 3)"),"فرهنگ")</f>
        <v>فرهنگ</v>
      </c>
      <c r="V2487" s="1" t="str">
        <f>IFERROR(__xludf.DUMMYFUNCTION("INDEX(SPLIT(A2487, ""/""), 4)"),"#REF!")</f>
        <v>#REF!</v>
      </c>
    </row>
    <row r="2488">
      <c r="A2488" s="1" t="s">
        <v>7539</v>
      </c>
      <c r="B2488" s="1" t="s">
        <v>7543</v>
      </c>
      <c r="C2488" s="1" t="s">
        <v>21</v>
      </c>
      <c r="D2488" s="4" t="s">
        <v>7544</v>
      </c>
      <c r="E2488" s="1" t="s">
        <v>71</v>
      </c>
      <c r="F2488" s="1" t="s">
        <v>71</v>
      </c>
      <c r="G2488" s="1" t="s">
        <v>71</v>
      </c>
      <c r="H2488" s="1" t="s">
        <v>7545</v>
      </c>
      <c r="I2488" s="1" t="str">
        <f t="shared" si="1"/>
        <v>22</v>
      </c>
      <c r="J2488" s="5"/>
      <c r="K2488" s="1" t="str">
        <f t="shared" si="2"/>
        <v>4</v>
      </c>
      <c r="L2488" s="5"/>
      <c r="M2488" s="2" t="str">
        <f t="shared" si="3"/>
        <v>1389</v>
      </c>
      <c r="N2488" s="5"/>
      <c r="O2488" s="2">
        <v>3.0</v>
      </c>
      <c r="P2488" s="5"/>
      <c r="Q2488" s="5"/>
      <c r="R2488" s="6" t="s">
        <v>7545</v>
      </c>
      <c r="S2488" s="5"/>
      <c r="T2488" s="1" t="str">
        <f>IFERROR(__xludf.DUMMYFUNCTION("INDEX(SPLIT(A2488, ""/""), 2)"),"نشریات مستقل")</f>
        <v>نشریات مستقل</v>
      </c>
      <c r="U2488" s="1" t="str">
        <f>IFERROR(__xludf.DUMMYFUNCTION("INDEX(SPLIT(A2488, ""/""), 3)"),"فرهنگ")</f>
        <v>فرهنگ</v>
      </c>
      <c r="V2488" s="1" t="str">
        <f>IFERROR(__xludf.DUMMYFUNCTION("INDEX(SPLIT(A2488, ""/""), 4)"),"#REF!")</f>
        <v>#REF!</v>
      </c>
    </row>
    <row r="2489">
      <c r="A2489" s="1" t="s">
        <v>7546</v>
      </c>
      <c r="B2489" s="1" t="s">
        <v>7547</v>
      </c>
      <c r="C2489" s="1" t="s">
        <v>21</v>
      </c>
      <c r="D2489" s="4" t="s">
        <v>7548</v>
      </c>
      <c r="E2489" s="1" t="s">
        <v>7549</v>
      </c>
      <c r="F2489" s="1" t="s">
        <v>1182</v>
      </c>
      <c r="G2489" s="1" t="s">
        <v>7550</v>
      </c>
      <c r="H2489" s="7" t="s">
        <v>7551</v>
      </c>
      <c r="I2489" s="1" t="str">
        <f t="shared" si="1"/>
        <v>7</v>
      </c>
      <c r="J2489" s="5"/>
      <c r="K2489" s="1" t="str">
        <f t="shared" si="2"/>
        <v>7</v>
      </c>
      <c r="L2489" s="5"/>
      <c r="M2489" s="2" t="str">
        <f t="shared" si="3"/>
        <v>1392</v>
      </c>
      <c r="N2489" s="5"/>
      <c r="O2489" s="1">
        <v>1.0</v>
      </c>
      <c r="P2489" s="5"/>
      <c r="Q2489" s="5"/>
      <c r="R2489" s="8" t="s">
        <v>7551</v>
      </c>
      <c r="S2489" s="5"/>
      <c r="T2489" s="1" t="str">
        <f>IFERROR(__xludf.DUMMYFUNCTION("INDEX(SPLIT(A2489, ""/""), 2)"),"نشریات مستقل")</f>
        <v>نشریات مستقل</v>
      </c>
      <c r="U2489" s="1" t="str">
        <f>IFERROR(__xludf.DUMMYFUNCTION("INDEX(SPLIT(A2489, ""/""), 3)"),"قانون")</f>
        <v>قانون</v>
      </c>
      <c r="V2489" s="1" t="str">
        <f>IFERROR(__xludf.DUMMYFUNCTION("INDEX(SPLIT(A2489, ""/""), 4)"),"#REF!")</f>
        <v>#REF!</v>
      </c>
    </row>
    <row r="2490">
      <c r="A2490" s="1" t="s">
        <v>7546</v>
      </c>
      <c r="B2490" s="1" t="s">
        <v>7552</v>
      </c>
      <c r="C2490" s="1" t="s">
        <v>21</v>
      </c>
      <c r="D2490" s="4" t="s">
        <v>7553</v>
      </c>
      <c r="E2490" s="1" t="s">
        <v>7549</v>
      </c>
      <c r="F2490" s="1" t="s">
        <v>1182</v>
      </c>
      <c r="G2490" s="1" t="s">
        <v>7550</v>
      </c>
      <c r="H2490" s="1" t="s">
        <v>7554</v>
      </c>
      <c r="I2490" s="1" t="str">
        <f t="shared" si="1"/>
        <v>21</v>
      </c>
      <c r="J2490" s="5"/>
      <c r="K2490" s="1" t="str">
        <f t="shared" si="2"/>
        <v>7</v>
      </c>
      <c r="L2490" s="5"/>
      <c r="M2490" s="2" t="str">
        <f t="shared" si="3"/>
        <v>1392</v>
      </c>
      <c r="N2490" s="5"/>
      <c r="O2490" s="1">
        <v>2.0</v>
      </c>
      <c r="P2490" s="5"/>
      <c r="Q2490" s="5"/>
      <c r="R2490" s="6" t="s">
        <v>7554</v>
      </c>
      <c r="S2490" s="5"/>
      <c r="T2490" s="1" t="str">
        <f>IFERROR(__xludf.DUMMYFUNCTION("INDEX(SPLIT(A2490, ""/""), 2)"),"نشریات مستقل")</f>
        <v>نشریات مستقل</v>
      </c>
      <c r="U2490" s="1" t="str">
        <f>IFERROR(__xludf.DUMMYFUNCTION("INDEX(SPLIT(A2490, ""/""), 3)"),"قانون")</f>
        <v>قانون</v>
      </c>
      <c r="V2490" s="1" t="str">
        <f>IFERROR(__xludf.DUMMYFUNCTION("INDEX(SPLIT(A2490, ""/""), 4)"),"#REF!")</f>
        <v>#REF!</v>
      </c>
    </row>
    <row r="2491">
      <c r="A2491" s="1" t="s">
        <v>7546</v>
      </c>
      <c r="B2491" s="1" t="s">
        <v>7555</v>
      </c>
      <c r="C2491" s="1" t="s">
        <v>21</v>
      </c>
      <c r="D2491" s="4" t="s">
        <v>7556</v>
      </c>
      <c r="E2491" s="1" t="s">
        <v>7549</v>
      </c>
      <c r="F2491" s="1" t="s">
        <v>1182</v>
      </c>
      <c r="G2491" s="1" t="s">
        <v>7550</v>
      </c>
      <c r="H2491" s="7" t="s">
        <v>7557</v>
      </c>
      <c r="I2491" s="1" t="str">
        <f t="shared" si="1"/>
        <v>12</v>
      </c>
      <c r="J2491" s="5"/>
      <c r="K2491" s="1" t="str">
        <f t="shared" si="2"/>
        <v>8</v>
      </c>
      <c r="L2491" s="5"/>
      <c r="M2491" s="2" t="str">
        <f t="shared" si="3"/>
        <v>1392</v>
      </c>
      <c r="N2491" s="5"/>
      <c r="O2491" s="1">
        <v>3.0</v>
      </c>
      <c r="P2491" s="5"/>
      <c r="Q2491" s="5"/>
      <c r="R2491" s="8" t="s">
        <v>7557</v>
      </c>
      <c r="S2491" s="5"/>
      <c r="T2491" s="1" t="str">
        <f>IFERROR(__xludf.DUMMYFUNCTION("INDEX(SPLIT(A2491, ""/""), 2)"),"نشریات مستقل")</f>
        <v>نشریات مستقل</v>
      </c>
      <c r="U2491" s="1" t="str">
        <f>IFERROR(__xludf.DUMMYFUNCTION("INDEX(SPLIT(A2491, ""/""), 3)"),"قانون")</f>
        <v>قانون</v>
      </c>
      <c r="V2491" s="1" t="str">
        <f>IFERROR(__xludf.DUMMYFUNCTION("INDEX(SPLIT(A2491, ""/""), 4)"),"#REF!")</f>
        <v>#REF!</v>
      </c>
    </row>
    <row r="2492">
      <c r="A2492" s="1" t="s">
        <v>7546</v>
      </c>
      <c r="B2492" s="1" t="s">
        <v>7558</v>
      </c>
      <c r="C2492" s="1" t="s">
        <v>21</v>
      </c>
      <c r="D2492" s="4" t="s">
        <v>7559</v>
      </c>
      <c r="E2492" s="1" t="s">
        <v>7549</v>
      </c>
      <c r="F2492" s="1" t="s">
        <v>1182</v>
      </c>
      <c r="G2492" s="1" t="s">
        <v>7550</v>
      </c>
      <c r="H2492" s="7" t="s">
        <v>7560</v>
      </c>
      <c r="I2492" s="1" t="str">
        <f t="shared" si="1"/>
        <v>3</v>
      </c>
      <c r="J2492" s="5"/>
      <c r="K2492" s="1" t="str">
        <f t="shared" si="2"/>
        <v>9</v>
      </c>
      <c r="L2492" s="5"/>
      <c r="M2492" s="2" t="str">
        <f t="shared" si="3"/>
        <v>1392</v>
      </c>
      <c r="N2492" s="5"/>
      <c r="O2492" s="1">
        <v>4.0</v>
      </c>
      <c r="P2492" s="5"/>
      <c r="Q2492" s="5"/>
      <c r="R2492" s="8" t="s">
        <v>7560</v>
      </c>
      <c r="S2492" s="5"/>
      <c r="T2492" s="1" t="str">
        <f>IFERROR(__xludf.DUMMYFUNCTION("INDEX(SPLIT(A2492, ""/""), 2)"),"نشریات مستقل")</f>
        <v>نشریات مستقل</v>
      </c>
      <c r="U2492" s="1" t="str">
        <f>IFERROR(__xludf.DUMMYFUNCTION("INDEX(SPLIT(A2492, ""/""), 3)"),"قانون")</f>
        <v>قانون</v>
      </c>
      <c r="V2492" s="1" t="str">
        <f>IFERROR(__xludf.DUMMYFUNCTION("INDEX(SPLIT(A2492, ""/""), 4)"),"#REF!")</f>
        <v>#REF!</v>
      </c>
    </row>
    <row r="2493">
      <c r="A2493" s="1" t="s">
        <v>7546</v>
      </c>
      <c r="B2493" s="1" t="s">
        <v>7561</v>
      </c>
      <c r="C2493" s="1" t="s">
        <v>21</v>
      </c>
      <c r="D2493" s="4" t="s">
        <v>7562</v>
      </c>
      <c r="E2493" s="1" t="s">
        <v>7550</v>
      </c>
      <c r="F2493" s="1" t="s">
        <v>1182</v>
      </c>
      <c r="G2493" s="1" t="s">
        <v>4028</v>
      </c>
      <c r="H2493" s="1" t="s">
        <v>5594</v>
      </c>
      <c r="I2493" s="1" t="str">
        <f t="shared" si="1"/>
        <v>16</v>
      </c>
      <c r="J2493" s="5"/>
      <c r="K2493" s="1" t="str">
        <f t="shared" si="2"/>
        <v>9</v>
      </c>
      <c r="L2493" s="5"/>
      <c r="M2493" s="2" t="str">
        <f t="shared" si="3"/>
        <v>1392</v>
      </c>
      <c r="N2493" s="5"/>
      <c r="O2493" s="1">
        <v>5.0</v>
      </c>
      <c r="P2493" s="5"/>
      <c r="Q2493" s="5"/>
      <c r="R2493" s="6" t="s">
        <v>5594</v>
      </c>
      <c r="S2493" s="5"/>
      <c r="T2493" s="1" t="str">
        <f>IFERROR(__xludf.DUMMYFUNCTION("INDEX(SPLIT(A2493, ""/""), 2)"),"نشریات مستقل")</f>
        <v>نشریات مستقل</v>
      </c>
      <c r="U2493" s="1" t="str">
        <f>IFERROR(__xludf.DUMMYFUNCTION("INDEX(SPLIT(A2493, ""/""), 3)"),"قانون")</f>
        <v>قانون</v>
      </c>
      <c r="V2493" s="1" t="str">
        <f>IFERROR(__xludf.DUMMYFUNCTION("INDEX(SPLIT(A2493, ""/""), 4)"),"#REF!")</f>
        <v>#REF!</v>
      </c>
    </row>
    <row r="2494">
      <c r="A2494" s="1" t="s">
        <v>7546</v>
      </c>
      <c r="B2494" s="1" t="s">
        <v>7563</v>
      </c>
      <c r="C2494" s="1" t="s">
        <v>21</v>
      </c>
      <c r="D2494" s="4" t="s">
        <v>7564</v>
      </c>
      <c r="E2494" s="1" t="s">
        <v>7550</v>
      </c>
      <c r="F2494" s="1" t="s">
        <v>1182</v>
      </c>
      <c r="G2494" s="1" t="s">
        <v>4028</v>
      </c>
      <c r="H2494" s="1" t="s">
        <v>7565</v>
      </c>
      <c r="I2494" s="1" t="str">
        <f t="shared" si="1"/>
        <v>26</v>
      </c>
      <c r="J2494" s="5"/>
      <c r="K2494" s="1" t="str">
        <f t="shared" si="2"/>
        <v>12</v>
      </c>
      <c r="L2494" s="5"/>
      <c r="M2494" s="2" t="str">
        <f t="shared" si="3"/>
        <v>1392</v>
      </c>
      <c r="N2494" s="5"/>
      <c r="O2494" s="1">
        <v>6.0</v>
      </c>
      <c r="P2494" s="5"/>
      <c r="Q2494" s="5"/>
      <c r="R2494" s="6" t="s">
        <v>7565</v>
      </c>
      <c r="S2494" s="5"/>
      <c r="T2494" s="1" t="str">
        <f>IFERROR(__xludf.DUMMYFUNCTION("INDEX(SPLIT(A2494, ""/""), 2)"),"نشریات مستقل")</f>
        <v>نشریات مستقل</v>
      </c>
      <c r="U2494" s="1" t="str">
        <f>IFERROR(__xludf.DUMMYFUNCTION("INDEX(SPLIT(A2494, ""/""), 3)"),"قانون")</f>
        <v>قانون</v>
      </c>
      <c r="V2494" s="1" t="str">
        <f>IFERROR(__xludf.DUMMYFUNCTION("INDEX(SPLIT(A2494, ""/""), 4)"),"#REF!")</f>
        <v>#REF!</v>
      </c>
    </row>
    <row r="2495">
      <c r="A2495" s="1" t="s">
        <v>7546</v>
      </c>
      <c r="B2495" s="1" t="s">
        <v>7566</v>
      </c>
      <c r="C2495" s="1" t="s">
        <v>21</v>
      </c>
      <c r="D2495" s="4" t="s">
        <v>7567</v>
      </c>
      <c r="E2495" s="1" t="s">
        <v>1182</v>
      </c>
      <c r="F2495" s="1" t="s">
        <v>3863</v>
      </c>
      <c r="G2495" s="1" t="s">
        <v>7568</v>
      </c>
      <c r="H2495" s="1" t="s">
        <v>1720</v>
      </c>
      <c r="I2495" s="1" t="str">
        <f t="shared" si="1"/>
        <v>18</v>
      </c>
      <c r="J2495" s="5"/>
      <c r="K2495" s="1" t="str">
        <f t="shared" si="2"/>
        <v>12</v>
      </c>
      <c r="L2495" s="5"/>
      <c r="M2495" s="2" t="str">
        <f t="shared" si="3"/>
        <v>1392</v>
      </c>
      <c r="N2495" s="5"/>
      <c r="O2495" s="1">
        <v>7.0</v>
      </c>
      <c r="P2495" s="5"/>
      <c r="Q2495" s="5"/>
      <c r="R2495" s="6" t="s">
        <v>1720</v>
      </c>
      <c r="S2495" s="5"/>
      <c r="T2495" s="1" t="str">
        <f>IFERROR(__xludf.DUMMYFUNCTION("INDEX(SPLIT(A2495, ""/""), 2)"),"نشریات مستقل")</f>
        <v>نشریات مستقل</v>
      </c>
      <c r="U2495" s="1" t="str">
        <f>IFERROR(__xludf.DUMMYFUNCTION("INDEX(SPLIT(A2495, ""/""), 3)"),"قانون")</f>
        <v>قانون</v>
      </c>
      <c r="V2495" s="1" t="str">
        <f>IFERROR(__xludf.DUMMYFUNCTION("INDEX(SPLIT(A2495, ""/""), 4)"),"#REF!")</f>
        <v>#REF!</v>
      </c>
    </row>
    <row r="2496">
      <c r="A2496" s="1" t="s">
        <v>7546</v>
      </c>
      <c r="B2496" s="1" t="s">
        <v>7569</v>
      </c>
      <c r="C2496" s="1" t="s">
        <v>21</v>
      </c>
      <c r="D2496" s="4" t="s">
        <v>7570</v>
      </c>
      <c r="E2496" s="1" t="s">
        <v>1182</v>
      </c>
      <c r="F2496" s="1" t="s">
        <v>3863</v>
      </c>
      <c r="G2496" s="1" t="s">
        <v>7568</v>
      </c>
      <c r="H2496" s="1" t="s">
        <v>5658</v>
      </c>
      <c r="I2496" s="1" t="str">
        <f t="shared" si="1"/>
        <v>13</v>
      </c>
      <c r="J2496" s="5"/>
      <c r="K2496" s="1" t="str">
        <f t="shared" si="2"/>
        <v>2</v>
      </c>
      <c r="L2496" s="5"/>
      <c r="M2496" s="2" t="str">
        <f t="shared" si="3"/>
        <v>1393</v>
      </c>
      <c r="N2496" s="5"/>
      <c r="O2496" s="1">
        <v>8.0</v>
      </c>
      <c r="P2496" s="5"/>
      <c r="Q2496" s="5"/>
      <c r="R2496" s="6" t="s">
        <v>5658</v>
      </c>
      <c r="S2496" s="5"/>
      <c r="T2496" s="1" t="str">
        <f>IFERROR(__xludf.DUMMYFUNCTION("INDEX(SPLIT(A2496, ""/""), 2)"),"نشریات مستقل")</f>
        <v>نشریات مستقل</v>
      </c>
      <c r="U2496" s="1" t="str">
        <f>IFERROR(__xludf.DUMMYFUNCTION("INDEX(SPLIT(A2496, ""/""), 3)"),"قانون")</f>
        <v>قانون</v>
      </c>
      <c r="V2496" s="1" t="str">
        <f>IFERROR(__xludf.DUMMYFUNCTION("INDEX(SPLIT(A2496, ""/""), 4)"),"#REF!")</f>
        <v>#REF!</v>
      </c>
    </row>
    <row r="2497">
      <c r="A2497" s="1" t="s">
        <v>7546</v>
      </c>
      <c r="B2497" s="1" t="s">
        <v>7571</v>
      </c>
      <c r="C2497" s="1" t="s">
        <v>21</v>
      </c>
      <c r="D2497" s="4" t="s">
        <v>7572</v>
      </c>
      <c r="E2497" s="1" t="s">
        <v>1182</v>
      </c>
      <c r="F2497" s="1" t="s">
        <v>3863</v>
      </c>
      <c r="G2497" s="1" t="s">
        <v>7568</v>
      </c>
      <c r="H2497" s="7" t="s">
        <v>5673</v>
      </c>
      <c r="I2497" s="1" t="str">
        <f t="shared" si="1"/>
        <v>3</v>
      </c>
      <c r="J2497" s="5"/>
      <c r="K2497" s="1" t="str">
        <f t="shared" si="2"/>
        <v>3</v>
      </c>
      <c r="L2497" s="5"/>
      <c r="M2497" s="2" t="str">
        <f t="shared" si="3"/>
        <v>1393</v>
      </c>
      <c r="N2497" s="5"/>
      <c r="O2497" s="1">
        <v>9.0</v>
      </c>
      <c r="P2497" s="5"/>
      <c r="Q2497" s="5"/>
      <c r="R2497" s="8" t="s">
        <v>5673</v>
      </c>
      <c r="S2497" s="5"/>
      <c r="T2497" s="1" t="str">
        <f>IFERROR(__xludf.DUMMYFUNCTION("INDEX(SPLIT(A2497, ""/""), 2)"),"نشریات مستقل")</f>
        <v>نشریات مستقل</v>
      </c>
      <c r="U2497" s="1" t="str">
        <f>IFERROR(__xludf.DUMMYFUNCTION("INDEX(SPLIT(A2497, ""/""), 3)"),"قانون")</f>
        <v>قانون</v>
      </c>
      <c r="V2497" s="1" t="str">
        <f>IFERROR(__xludf.DUMMYFUNCTION("INDEX(SPLIT(A2497, ""/""), 4)"),"#REF!")</f>
        <v>#REF!</v>
      </c>
    </row>
    <row r="2498">
      <c r="A2498" s="1" t="s">
        <v>7546</v>
      </c>
      <c r="B2498" s="1" t="s">
        <v>7573</v>
      </c>
      <c r="C2498" s="1" t="s">
        <v>21</v>
      </c>
      <c r="D2498" s="4" t="s">
        <v>7574</v>
      </c>
      <c r="E2498" s="1" t="s">
        <v>1182</v>
      </c>
      <c r="F2498" s="1" t="s">
        <v>3863</v>
      </c>
      <c r="G2498" s="1" t="s">
        <v>7575</v>
      </c>
      <c r="H2498" s="7" t="s">
        <v>7576</v>
      </c>
      <c r="I2498" s="1" t="str">
        <f t="shared" si="1"/>
        <v>7</v>
      </c>
      <c r="J2498" s="5"/>
      <c r="K2498" s="1" t="str">
        <f t="shared" si="2"/>
        <v>7</v>
      </c>
      <c r="L2498" s="5"/>
      <c r="M2498" s="2" t="str">
        <f t="shared" si="3"/>
        <v>1393</v>
      </c>
      <c r="N2498" s="5"/>
      <c r="O2498" s="1">
        <v>10.0</v>
      </c>
      <c r="P2498" s="5"/>
      <c r="Q2498" s="5"/>
      <c r="R2498" s="8" t="s">
        <v>7576</v>
      </c>
      <c r="S2498" s="5"/>
      <c r="T2498" s="1" t="str">
        <f>IFERROR(__xludf.DUMMYFUNCTION("INDEX(SPLIT(A2498, ""/""), 2)"),"نشریات مستقل")</f>
        <v>نشریات مستقل</v>
      </c>
      <c r="U2498" s="1" t="str">
        <f>IFERROR(__xludf.DUMMYFUNCTION("INDEX(SPLIT(A2498, ""/""), 3)"),"قانون")</f>
        <v>قانون</v>
      </c>
      <c r="V2498" s="1" t="str">
        <f>IFERROR(__xludf.DUMMYFUNCTION("INDEX(SPLIT(A2498, ""/""), 4)"),"#REF!")</f>
        <v>#REF!</v>
      </c>
    </row>
    <row r="2499">
      <c r="A2499" s="1" t="s">
        <v>7546</v>
      </c>
      <c r="B2499" s="1" t="s">
        <v>7577</v>
      </c>
      <c r="C2499" s="1" t="s">
        <v>21</v>
      </c>
      <c r="D2499" s="4" t="s">
        <v>7578</v>
      </c>
      <c r="E2499" s="1" t="s">
        <v>1182</v>
      </c>
      <c r="F2499" s="1" t="s">
        <v>3863</v>
      </c>
      <c r="G2499" s="1" t="s">
        <v>7575</v>
      </c>
      <c r="H2499" s="1" t="s">
        <v>3106</v>
      </c>
      <c r="I2499" s="1" t="str">
        <f t="shared" si="1"/>
        <v>14</v>
      </c>
      <c r="J2499" s="5"/>
      <c r="K2499" s="1" t="str">
        <f t="shared" si="2"/>
        <v>7</v>
      </c>
      <c r="L2499" s="5"/>
      <c r="M2499" s="2" t="str">
        <f t="shared" si="3"/>
        <v>1393</v>
      </c>
      <c r="N2499" s="5"/>
      <c r="O2499" s="1">
        <v>11.0</v>
      </c>
      <c r="P2499" s="5"/>
      <c r="Q2499" s="5"/>
      <c r="R2499" s="6" t="s">
        <v>3106</v>
      </c>
      <c r="S2499" s="5"/>
      <c r="T2499" s="1" t="str">
        <f>IFERROR(__xludf.DUMMYFUNCTION("INDEX(SPLIT(A2499, ""/""), 2)"),"نشریات مستقل")</f>
        <v>نشریات مستقل</v>
      </c>
      <c r="U2499" s="1" t="str">
        <f>IFERROR(__xludf.DUMMYFUNCTION("INDEX(SPLIT(A2499, ""/""), 3)"),"قانون")</f>
        <v>قانون</v>
      </c>
      <c r="V2499" s="1" t="str">
        <f>IFERROR(__xludf.DUMMYFUNCTION("INDEX(SPLIT(A2499, ""/""), 4)"),"#REF!")</f>
        <v>#REF!</v>
      </c>
    </row>
    <row r="2500">
      <c r="A2500" s="1" t="s">
        <v>7546</v>
      </c>
      <c r="B2500" s="1" t="s">
        <v>7579</v>
      </c>
      <c r="C2500" s="1" t="s">
        <v>21</v>
      </c>
      <c r="D2500" s="4" t="s">
        <v>7580</v>
      </c>
      <c r="E2500" s="1" t="s">
        <v>1182</v>
      </c>
      <c r="F2500" s="1" t="s">
        <v>3863</v>
      </c>
      <c r="G2500" s="1" t="s">
        <v>7575</v>
      </c>
      <c r="H2500" s="1" t="s">
        <v>7581</v>
      </c>
      <c r="I2500" s="1" t="str">
        <f t="shared" si="1"/>
        <v>28</v>
      </c>
      <c r="J2500" s="5"/>
      <c r="K2500" s="1" t="str">
        <f t="shared" si="2"/>
        <v>7</v>
      </c>
      <c r="L2500" s="5"/>
      <c r="M2500" s="2" t="str">
        <f t="shared" si="3"/>
        <v>1393</v>
      </c>
      <c r="N2500" s="5"/>
      <c r="O2500" s="1">
        <v>12.0</v>
      </c>
      <c r="P2500" s="5"/>
      <c r="Q2500" s="5"/>
      <c r="R2500" s="6" t="s">
        <v>7581</v>
      </c>
      <c r="S2500" s="5"/>
      <c r="T2500" s="1" t="str">
        <f>IFERROR(__xludf.DUMMYFUNCTION("INDEX(SPLIT(A2500, ""/""), 2)"),"نشریات مستقل")</f>
        <v>نشریات مستقل</v>
      </c>
      <c r="U2500" s="1" t="str">
        <f>IFERROR(__xludf.DUMMYFUNCTION("INDEX(SPLIT(A2500, ""/""), 3)"),"قانون")</f>
        <v>قانون</v>
      </c>
      <c r="V2500" s="1" t="str">
        <f>IFERROR(__xludf.DUMMYFUNCTION("INDEX(SPLIT(A2500, ""/""), 4)"),"#REF!")</f>
        <v>#REF!</v>
      </c>
    </row>
    <row r="2501">
      <c r="A2501" s="1" t="s">
        <v>7546</v>
      </c>
      <c r="B2501" s="1" t="s">
        <v>7582</v>
      </c>
      <c r="C2501" s="1" t="s">
        <v>21</v>
      </c>
      <c r="D2501" s="4" t="s">
        <v>7583</v>
      </c>
      <c r="E2501" s="1" t="s">
        <v>1182</v>
      </c>
      <c r="F2501" s="1" t="s">
        <v>3863</v>
      </c>
      <c r="G2501" s="1" t="s">
        <v>7575</v>
      </c>
      <c r="H2501" s="7" t="s">
        <v>5709</v>
      </c>
      <c r="I2501" s="1" t="str">
        <f t="shared" si="1"/>
        <v>6</v>
      </c>
      <c r="J2501" s="5"/>
      <c r="K2501" s="1" t="str">
        <f t="shared" si="2"/>
        <v>8</v>
      </c>
      <c r="L2501" s="5"/>
      <c r="M2501" s="2" t="str">
        <f t="shared" si="3"/>
        <v>1393</v>
      </c>
      <c r="N2501" s="5"/>
      <c r="O2501" s="1">
        <v>13.0</v>
      </c>
      <c r="P2501" s="5"/>
      <c r="Q2501" s="5"/>
      <c r="R2501" s="8" t="s">
        <v>5709</v>
      </c>
      <c r="S2501" s="5"/>
      <c r="T2501" s="1" t="str">
        <f>IFERROR(__xludf.DUMMYFUNCTION("INDEX(SPLIT(A2501, ""/""), 2)"),"نشریات مستقل")</f>
        <v>نشریات مستقل</v>
      </c>
      <c r="U2501" s="1" t="str">
        <f>IFERROR(__xludf.DUMMYFUNCTION("INDEX(SPLIT(A2501, ""/""), 3)"),"قانون")</f>
        <v>قانون</v>
      </c>
      <c r="V2501" s="1" t="str">
        <f>IFERROR(__xludf.DUMMYFUNCTION("INDEX(SPLIT(A2501, ""/""), 4)"),"#REF!")</f>
        <v>#REF!</v>
      </c>
    </row>
    <row r="2502">
      <c r="A2502" s="1" t="s">
        <v>7546</v>
      </c>
      <c r="B2502" s="1" t="s">
        <v>7584</v>
      </c>
      <c r="C2502" s="1" t="s">
        <v>21</v>
      </c>
      <c r="D2502" s="4" t="s">
        <v>7585</v>
      </c>
      <c r="E2502" s="1" t="s">
        <v>1182</v>
      </c>
      <c r="F2502" s="1" t="s">
        <v>3863</v>
      </c>
      <c r="G2502" s="1" t="s">
        <v>7575</v>
      </c>
      <c r="H2502" s="1" t="s">
        <v>5717</v>
      </c>
      <c r="I2502" s="1" t="str">
        <f t="shared" si="1"/>
        <v>24</v>
      </c>
      <c r="J2502" s="5"/>
      <c r="K2502" s="1" t="str">
        <f t="shared" si="2"/>
        <v>8</v>
      </c>
      <c r="L2502" s="5"/>
      <c r="M2502" s="2" t="str">
        <f t="shared" si="3"/>
        <v>1393</v>
      </c>
      <c r="N2502" s="5"/>
      <c r="O2502" s="1">
        <v>14.0</v>
      </c>
      <c r="P2502" s="5"/>
      <c r="Q2502" s="5"/>
      <c r="R2502" s="6" t="s">
        <v>5717</v>
      </c>
      <c r="S2502" s="5"/>
      <c r="T2502" s="1" t="str">
        <f>IFERROR(__xludf.DUMMYFUNCTION("INDEX(SPLIT(A2502, ""/""), 2)"),"نشریات مستقل")</f>
        <v>نشریات مستقل</v>
      </c>
      <c r="U2502" s="1" t="str">
        <f>IFERROR(__xludf.DUMMYFUNCTION("INDEX(SPLIT(A2502, ""/""), 3)"),"قانون")</f>
        <v>قانون</v>
      </c>
      <c r="V2502" s="1" t="str">
        <f>IFERROR(__xludf.DUMMYFUNCTION("INDEX(SPLIT(A2502, ""/""), 4)"),"#REF!")</f>
        <v>#REF!</v>
      </c>
    </row>
    <row r="2503">
      <c r="A2503" s="1" t="s">
        <v>7546</v>
      </c>
      <c r="B2503" s="1" t="s">
        <v>7586</v>
      </c>
      <c r="C2503" s="1" t="s">
        <v>21</v>
      </c>
      <c r="D2503" s="4" t="s">
        <v>7587</v>
      </c>
      <c r="E2503" s="1" t="s">
        <v>1182</v>
      </c>
      <c r="F2503" s="1" t="s">
        <v>3863</v>
      </c>
      <c r="G2503" s="1" t="s">
        <v>7575</v>
      </c>
      <c r="H2503" s="1" t="s">
        <v>7588</v>
      </c>
      <c r="I2503" s="1" t="str">
        <f t="shared" si="1"/>
        <v>26</v>
      </c>
      <c r="J2503" s="5"/>
      <c r="K2503" s="1" t="str">
        <f t="shared" si="2"/>
        <v>8</v>
      </c>
      <c r="L2503" s="5"/>
      <c r="M2503" s="2" t="str">
        <f t="shared" si="3"/>
        <v>1393</v>
      </c>
      <c r="N2503" s="5"/>
      <c r="O2503" s="1">
        <v>15.0</v>
      </c>
      <c r="P2503" s="5"/>
      <c r="Q2503" s="5"/>
      <c r="R2503" s="6" t="s">
        <v>7588</v>
      </c>
      <c r="S2503" s="5"/>
      <c r="T2503" s="1" t="str">
        <f>IFERROR(__xludf.DUMMYFUNCTION("INDEX(SPLIT(A2503, ""/""), 2)"),"نشریات مستقل")</f>
        <v>نشریات مستقل</v>
      </c>
      <c r="U2503" s="1" t="str">
        <f>IFERROR(__xludf.DUMMYFUNCTION("INDEX(SPLIT(A2503, ""/""), 3)"),"قانون")</f>
        <v>قانون</v>
      </c>
      <c r="V2503" s="1" t="str">
        <f>IFERROR(__xludf.DUMMYFUNCTION("INDEX(SPLIT(A2503, ""/""), 4)"),"#REF!")</f>
        <v>#REF!</v>
      </c>
    </row>
    <row r="2504">
      <c r="A2504" s="1" t="s">
        <v>7546</v>
      </c>
      <c r="B2504" s="1" t="s">
        <v>7589</v>
      </c>
      <c r="C2504" s="1" t="s">
        <v>21</v>
      </c>
      <c r="D2504" s="4" t="s">
        <v>7590</v>
      </c>
      <c r="E2504" s="1" t="s">
        <v>1182</v>
      </c>
      <c r="F2504" s="1" t="s">
        <v>3863</v>
      </c>
      <c r="G2504" s="1" t="s">
        <v>7575</v>
      </c>
      <c r="H2504" s="1" t="s">
        <v>7591</v>
      </c>
      <c r="I2504" s="1" t="str">
        <f t="shared" si="1"/>
        <v>17</v>
      </c>
      <c r="J2504" s="5"/>
      <c r="K2504" s="1" t="str">
        <f t="shared" si="2"/>
        <v>8</v>
      </c>
      <c r="L2504" s="5"/>
      <c r="M2504" s="2" t="str">
        <f t="shared" si="3"/>
        <v>1393</v>
      </c>
      <c r="N2504" s="5"/>
      <c r="O2504" s="1">
        <v>16.0</v>
      </c>
      <c r="P2504" s="5"/>
      <c r="Q2504" s="5"/>
      <c r="R2504" s="6" t="s">
        <v>7591</v>
      </c>
      <c r="S2504" s="5"/>
      <c r="T2504" s="1" t="str">
        <f>IFERROR(__xludf.DUMMYFUNCTION("INDEX(SPLIT(A2504, ""/""), 2)"),"نشریات مستقل")</f>
        <v>نشریات مستقل</v>
      </c>
      <c r="U2504" s="1" t="str">
        <f>IFERROR(__xludf.DUMMYFUNCTION("INDEX(SPLIT(A2504, ""/""), 3)"),"قانون")</f>
        <v>قانون</v>
      </c>
      <c r="V2504" s="1" t="str">
        <f>IFERROR(__xludf.DUMMYFUNCTION("INDEX(SPLIT(A2504, ""/""), 4)"),"#REF!")</f>
        <v>#REF!</v>
      </c>
    </row>
    <row r="2505">
      <c r="A2505" s="1" t="s">
        <v>7546</v>
      </c>
      <c r="B2505" s="1" t="s">
        <v>7592</v>
      </c>
      <c r="C2505" s="1" t="s">
        <v>21</v>
      </c>
      <c r="D2505" s="4" t="s">
        <v>7593</v>
      </c>
      <c r="E2505" s="1" t="s">
        <v>1182</v>
      </c>
      <c r="F2505" s="1" t="s">
        <v>7575</v>
      </c>
      <c r="G2505" s="1" t="s">
        <v>7594</v>
      </c>
      <c r="H2505" s="7" t="s">
        <v>3124</v>
      </c>
      <c r="I2505" s="1" t="str">
        <f t="shared" si="1"/>
        <v>8</v>
      </c>
      <c r="J2505" s="5"/>
      <c r="K2505" s="1" t="str">
        <f t="shared" si="2"/>
        <v>10</v>
      </c>
      <c r="L2505" s="5"/>
      <c r="M2505" s="2" t="str">
        <f t="shared" si="3"/>
        <v>1393</v>
      </c>
      <c r="N2505" s="5"/>
      <c r="O2505" s="1">
        <v>17.0</v>
      </c>
      <c r="P2505" s="5"/>
      <c r="Q2505" s="5"/>
      <c r="R2505" s="8" t="s">
        <v>3124</v>
      </c>
      <c r="S2505" s="5"/>
      <c r="T2505" s="1" t="str">
        <f>IFERROR(__xludf.DUMMYFUNCTION("INDEX(SPLIT(A2505, ""/""), 2)"),"نشریات مستقل")</f>
        <v>نشریات مستقل</v>
      </c>
      <c r="U2505" s="1" t="str">
        <f>IFERROR(__xludf.DUMMYFUNCTION("INDEX(SPLIT(A2505, ""/""), 3)"),"قانون")</f>
        <v>قانون</v>
      </c>
      <c r="V2505" s="1" t="str">
        <f>IFERROR(__xludf.DUMMYFUNCTION("INDEX(SPLIT(A2505, ""/""), 4)"),"#REF!")</f>
        <v>#REF!</v>
      </c>
    </row>
    <row r="2506">
      <c r="A2506" s="1" t="s">
        <v>7546</v>
      </c>
      <c r="B2506" s="1" t="s">
        <v>7595</v>
      </c>
      <c r="C2506" s="1" t="s">
        <v>21</v>
      </c>
      <c r="D2506" s="4" t="s">
        <v>7596</v>
      </c>
      <c r="E2506" s="1" t="s">
        <v>1182</v>
      </c>
      <c r="F2506" s="1" t="s">
        <v>7575</v>
      </c>
      <c r="G2506" s="1" t="s">
        <v>7594</v>
      </c>
      <c r="H2506" s="1" t="s">
        <v>3127</v>
      </c>
      <c r="I2506" s="1" t="str">
        <f t="shared" si="1"/>
        <v>27</v>
      </c>
      <c r="J2506" s="5"/>
      <c r="K2506" s="1" t="str">
        <f t="shared" si="2"/>
        <v>11</v>
      </c>
      <c r="L2506" s="5"/>
      <c r="M2506" s="2" t="str">
        <f t="shared" si="3"/>
        <v>1393</v>
      </c>
      <c r="N2506" s="5"/>
      <c r="O2506" s="1">
        <v>18.0</v>
      </c>
      <c r="P2506" s="5"/>
      <c r="Q2506" s="5"/>
      <c r="R2506" s="6" t="s">
        <v>3127</v>
      </c>
      <c r="S2506" s="5"/>
      <c r="T2506" s="1" t="str">
        <f>IFERROR(__xludf.DUMMYFUNCTION("INDEX(SPLIT(A2506, ""/""), 2)"),"نشریات مستقل")</f>
        <v>نشریات مستقل</v>
      </c>
      <c r="U2506" s="1" t="str">
        <f>IFERROR(__xludf.DUMMYFUNCTION("INDEX(SPLIT(A2506, ""/""), 3)"),"قانون")</f>
        <v>قانون</v>
      </c>
      <c r="V2506" s="1" t="str">
        <f>IFERROR(__xludf.DUMMYFUNCTION("INDEX(SPLIT(A2506, ""/""), 4)"),"#REF!")</f>
        <v>#REF!</v>
      </c>
    </row>
    <row r="2507">
      <c r="A2507" s="1" t="s">
        <v>7546</v>
      </c>
      <c r="B2507" s="1" t="s">
        <v>7597</v>
      </c>
      <c r="C2507" s="1" t="s">
        <v>21</v>
      </c>
      <c r="D2507" s="4" t="s">
        <v>7598</v>
      </c>
      <c r="E2507" s="1" t="s">
        <v>1182</v>
      </c>
      <c r="F2507" s="1" t="s">
        <v>7575</v>
      </c>
      <c r="G2507" s="1" t="s">
        <v>7594</v>
      </c>
      <c r="H2507" s="1" t="s">
        <v>1153</v>
      </c>
      <c r="I2507" s="1" t="str">
        <f t="shared" si="1"/>
        <v>18</v>
      </c>
      <c r="J2507" s="5"/>
      <c r="K2507" s="1" t="str">
        <f t="shared" si="2"/>
        <v>12</v>
      </c>
      <c r="L2507" s="5"/>
      <c r="M2507" s="2" t="str">
        <f t="shared" si="3"/>
        <v>1393</v>
      </c>
      <c r="N2507" s="5"/>
      <c r="O2507" s="1">
        <v>19.0</v>
      </c>
      <c r="P2507" s="5"/>
      <c r="Q2507" s="5"/>
      <c r="R2507" s="6" t="s">
        <v>1153</v>
      </c>
      <c r="S2507" s="5"/>
      <c r="T2507" s="1" t="str">
        <f>IFERROR(__xludf.DUMMYFUNCTION("INDEX(SPLIT(A2507, ""/""), 2)"),"نشریات مستقل")</f>
        <v>نشریات مستقل</v>
      </c>
      <c r="U2507" s="1" t="str">
        <f>IFERROR(__xludf.DUMMYFUNCTION("INDEX(SPLIT(A2507, ""/""), 3)"),"قانون")</f>
        <v>قانون</v>
      </c>
      <c r="V2507" s="1" t="str">
        <f>IFERROR(__xludf.DUMMYFUNCTION("INDEX(SPLIT(A2507, ""/""), 4)"),"#REF!")</f>
        <v>#REF!</v>
      </c>
    </row>
    <row r="2508">
      <c r="A2508" s="1" t="s">
        <v>7546</v>
      </c>
      <c r="B2508" s="1" t="s">
        <v>7599</v>
      </c>
      <c r="C2508" s="1" t="s">
        <v>21</v>
      </c>
      <c r="D2508" s="4" t="s">
        <v>7600</v>
      </c>
      <c r="E2508" s="1" t="s">
        <v>1182</v>
      </c>
      <c r="F2508" s="1" t="s">
        <v>7601</v>
      </c>
      <c r="G2508" s="1" t="s">
        <v>7594</v>
      </c>
      <c r="H2508" s="1" t="s">
        <v>7602</v>
      </c>
      <c r="I2508" s="1" t="str">
        <f t="shared" si="1"/>
        <v>14</v>
      </c>
      <c r="J2508" s="5"/>
      <c r="K2508" s="1" t="str">
        <f t="shared" si="2"/>
        <v>2</v>
      </c>
      <c r="L2508" s="5"/>
      <c r="M2508" s="2" t="str">
        <f t="shared" si="3"/>
        <v>1394</v>
      </c>
      <c r="N2508" s="5"/>
      <c r="O2508" s="1">
        <v>20.0</v>
      </c>
      <c r="P2508" s="5"/>
      <c r="Q2508" s="5"/>
      <c r="R2508" s="6" t="s">
        <v>7602</v>
      </c>
      <c r="S2508" s="5"/>
      <c r="T2508" s="1" t="str">
        <f>IFERROR(__xludf.DUMMYFUNCTION("INDEX(SPLIT(A2508, ""/""), 2)"),"نشریات مستقل")</f>
        <v>نشریات مستقل</v>
      </c>
      <c r="U2508" s="1" t="str">
        <f>IFERROR(__xludf.DUMMYFUNCTION("INDEX(SPLIT(A2508, ""/""), 3)"),"قانون")</f>
        <v>قانون</v>
      </c>
      <c r="V2508" s="1" t="str">
        <f>IFERROR(__xludf.DUMMYFUNCTION("INDEX(SPLIT(A2508, ""/""), 4)"),"#REF!")</f>
        <v>#REF!</v>
      </c>
    </row>
    <row r="2509">
      <c r="A2509" s="1" t="s">
        <v>7546</v>
      </c>
      <c r="B2509" s="1" t="s">
        <v>7603</v>
      </c>
      <c r="C2509" s="1" t="s">
        <v>21</v>
      </c>
      <c r="D2509" s="4" t="s">
        <v>7604</v>
      </c>
      <c r="E2509" s="1" t="s">
        <v>1182</v>
      </c>
      <c r="F2509" s="1" t="s">
        <v>7601</v>
      </c>
      <c r="G2509" s="1" t="s">
        <v>7594</v>
      </c>
      <c r="H2509" s="7" t="s">
        <v>7605</v>
      </c>
      <c r="I2509" s="1" t="str">
        <f t="shared" si="1"/>
        <v>4</v>
      </c>
      <c r="J2509" s="5"/>
      <c r="K2509" s="1" t="str">
        <f t="shared" si="2"/>
        <v>3</v>
      </c>
      <c r="L2509" s="5"/>
      <c r="M2509" s="2" t="str">
        <f t="shared" si="3"/>
        <v>1394</v>
      </c>
      <c r="N2509" s="5"/>
      <c r="O2509" s="1">
        <v>21.0</v>
      </c>
      <c r="P2509" s="5"/>
      <c r="Q2509" s="5"/>
      <c r="R2509" s="8" t="s">
        <v>7605</v>
      </c>
      <c r="S2509" s="5"/>
      <c r="T2509" s="1" t="str">
        <f>IFERROR(__xludf.DUMMYFUNCTION("INDEX(SPLIT(A2509, ""/""), 2)"),"نشریات مستقل")</f>
        <v>نشریات مستقل</v>
      </c>
      <c r="U2509" s="1" t="str">
        <f>IFERROR(__xludf.DUMMYFUNCTION("INDEX(SPLIT(A2509, ""/""), 3)"),"قانون")</f>
        <v>قانون</v>
      </c>
      <c r="V2509" s="1" t="str">
        <f>IFERROR(__xludf.DUMMYFUNCTION("INDEX(SPLIT(A2509, ""/""), 4)"),"#REF!")</f>
        <v>#REF!</v>
      </c>
    </row>
    <row r="2510">
      <c r="A2510" s="1" t="s">
        <v>7546</v>
      </c>
      <c r="B2510" s="1" t="s">
        <v>7606</v>
      </c>
      <c r="C2510" s="1" t="s">
        <v>21</v>
      </c>
      <c r="D2510" s="4" t="s">
        <v>7607</v>
      </c>
      <c r="E2510" s="1" t="s">
        <v>1182</v>
      </c>
      <c r="F2510" s="1" t="s">
        <v>7601</v>
      </c>
      <c r="G2510" s="1" t="s">
        <v>7594</v>
      </c>
      <c r="H2510" s="1" t="s">
        <v>7608</v>
      </c>
      <c r="I2510" s="1" t="str">
        <f t="shared" si="1"/>
        <v>20</v>
      </c>
      <c r="J2510" s="5"/>
      <c r="K2510" s="1" t="str">
        <f t="shared" si="2"/>
        <v>6</v>
      </c>
      <c r="L2510" s="5"/>
      <c r="M2510" s="2" t="str">
        <f t="shared" si="3"/>
        <v>1394</v>
      </c>
      <c r="N2510" s="5"/>
      <c r="O2510" s="1">
        <v>22.0</v>
      </c>
      <c r="P2510" s="5"/>
      <c r="Q2510" s="5"/>
      <c r="R2510" s="6" t="s">
        <v>7608</v>
      </c>
      <c r="S2510" s="5"/>
      <c r="T2510" s="1" t="str">
        <f>IFERROR(__xludf.DUMMYFUNCTION("INDEX(SPLIT(A2510, ""/""), 2)"),"نشریات مستقل")</f>
        <v>نشریات مستقل</v>
      </c>
      <c r="U2510" s="1" t="str">
        <f>IFERROR(__xludf.DUMMYFUNCTION("INDEX(SPLIT(A2510, ""/""), 3)"),"قانون")</f>
        <v>قانون</v>
      </c>
      <c r="V2510" s="1" t="str">
        <f>IFERROR(__xludf.DUMMYFUNCTION("INDEX(SPLIT(A2510, ""/""), 4)"),"#REF!")</f>
        <v>#REF!</v>
      </c>
    </row>
    <row r="2511">
      <c r="A2511" s="1" t="s">
        <v>7546</v>
      </c>
      <c r="B2511" s="1" t="s">
        <v>7609</v>
      </c>
      <c r="C2511" s="1" t="s">
        <v>21</v>
      </c>
      <c r="D2511" s="4" t="s">
        <v>7610</v>
      </c>
      <c r="E2511" s="1" t="s">
        <v>1182</v>
      </c>
      <c r="F2511" s="1" t="s">
        <v>7601</v>
      </c>
      <c r="G2511" s="1" t="s">
        <v>7594</v>
      </c>
      <c r="H2511" s="1" t="s">
        <v>7611</v>
      </c>
      <c r="I2511" s="1" t="str">
        <f t="shared" si="1"/>
        <v>19</v>
      </c>
      <c r="J2511" s="5"/>
      <c r="K2511" s="1" t="str">
        <f t="shared" si="2"/>
        <v>7</v>
      </c>
      <c r="L2511" s="5"/>
      <c r="M2511" s="2" t="str">
        <f t="shared" si="3"/>
        <v>1394</v>
      </c>
      <c r="N2511" s="5"/>
      <c r="O2511" s="1">
        <v>23.0</v>
      </c>
      <c r="P2511" s="5"/>
      <c r="Q2511" s="5"/>
      <c r="R2511" s="6" t="s">
        <v>7611</v>
      </c>
      <c r="S2511" s="5"/>
      <c r="T2511" s="1" t="str">
        <f>IFERROR(__xludf.DUMMYFUNCTION("INDEX(SPLIT(A2511, ""/""), 2)"),"نشریات مستقل")</f>
        <v>نشریات مستقل</v>
      </c>
      <c r="U2511" s="1" t="str">
        <f>IFERROR(__xludf.DUMMYFUNCTION("INDEX(SPLIT(A2511, ""/""), 3)"),"قانون")</f>
        <v>قانون</v>
      </c>
      <c r="V2511" s="1" t="str">
        <f>IFERROR(__xludf.DUMMYFUNCTION("INDEX(SPLIT(A2511, ""/""), 4)"),"#REF!")</f>
        <v>#REF!</v>
      </c>
    </row>
    <row r="2512">
      <c r="A2512" s="1" t="s">
        <v>7546</v>
      </c>
      <c r="B2512" s="1" t="s">
        <v>7612</v>
      </c>
      <c r="C2512" s="1" t="s">
        <v>21</v>
      </c>
      <c r="D2512" s="4" t="s">
        <v>7613</v>
      </c>
      <c r="E2512" s="1" t="s">
        <v>1182</v>
      </c>
      <c r="F2512" s="1" t="s">
        <v>7601</v>
      </c>
      <c r="G2512" s="1" t="s">
        <v>7594</v>
      </c>
      <c r="H2512" s="7" t="s">
        <v>7614</v>
      </c>
      <c r="I2512" s="1" t="str">
        <f t="shared" si="1"/>
        <v>4</v>
      </c>
      <c r="J2512" s="5"/>
      <c r="K2512" s="1" t="str">
        <f t="shared" si="2"/>
        <v>8</v>
      </c>
      <c r="L2512" s="5"/>
      <c r="M2512" s="2" t="str">
        <f t="shared" si="3"/>
        <v>1394</v>
      </c>
      <c r="N2512" s="5"/>
      <c r="O2512" s="1">
        <v>24.0</v>
      </c>
      <c r="P2512" s="5"/>
      <c r="Q2512" s="5"/>
      <c r="R2512" s="8" t="s">
        <v>7614</v>
      </c>
      <c r="S2512" s="5"/>
      <c r="T2512" s="1" t="str">
        <f>IFERROR(__xludf.DUMMYFUNCTION("INDEX(SPLIT(A2512, ""/""), 2)"),"نشریات مستقل")</f>
        <v>نشریات مستقل</v>
      </c>
      <c r="U2512" s="1" t="str">
        <f>IFERROR(__xludf.DUMMYFUNCTION("INDEX(SPLIT(A2512, ""/""), 3)"),"قانون")</f>
        <v>قانون</v>
      </c>
      <c r="V2512" s="1" t="str">
        <f>IFERROR(__xludf.DUMMYFUNCTION("INDEX(SPLIT(A2512, ""/""), 4)"),"#REF!")</f>
        <v>#REF!</v>
      </c>
    </row>
    <row r="2513">
      <c r="A2513" s="1" t="s">
        <v>7546</v>
      </c>
      <c r="B2513" s="1" t="s">
        <v>7615</v>
      </c>
      <c r="C2513" s="1" t="s">
        <v>21</v>
      </c>
      <c r="D2513" s="4" t="s">
        <v>7616</v>
      </c>
      <c r="E2513" s="1" t="s">
        <v>1182</v>
      </c>
      <c r="F2513" s="1" t="s">
        <v>7601</v>
      </c>
      <c r="G2513" s="1" t="s">
        <v>7594</v>
      </c>
      <c r="H2513" s="1" t="s">
        <v>7617</v>
      </c>
      <c r="I2513" s="1" t="str">
        <f t="shared" si="1"/>
        <v>30</v>
      </c>
      <c r="J2513" s="5"/>
      <c r="K2513" s="1" t="str">
        <f t="shared" si="2"/>
        <v>9</v>
      </c>
      <c r="L2513" s="5"/>
      <c r="M2513" s="2" t="str">
        <f t="shared" si="3"/>
        <v>1394</v>
      </c>
      <c r="N2513" s="5"/>
      <c r="O2513" s="1">
        <v>26.0</v>
      </c>
      <c r="P2513" s="5"/>
      <c r="Q2513" s="5"/>
      <c r="R2513" s="6" t="s">
        <v>7617</v>
      </c>
      <c r="S2513" s="5"/>
      <c r="T2513" s="1" t="str">
        <f>IFERROR(__xludf.DUMMYFUNCTION("INDEX(SPLIT(A2513, ""/""), 2)"),"نشریات مستقل")</f>
        <v>نشریات مستقل</v>
      </c>
      <c r="U2513" s="1" t="str">
        <f>IFERROR(__xludf.DUMMYFUNCTION("INDEX(SPLIT(A2513, ""/""), 3)"),"قانون")</f>
        <v>قانون</v>
      </c>
      <c r="V2513" s="1" t="str">
        <f>IFERROR(__xludf.DUMMYFUNCTION("INDEX(SPLIT(A2513, ""/""), 4)"),"#REF!")</f>
        <v>#REF!</v>
      </c>
    </row>
    <row r="2514">
      <c r="A2514" s="1" t="s">
        <v>7546</v>
      </c>
      <c r="B2514" s="1" t="s">
        <v>7618</v>
      </c>
      <c r="C2514" s="1" t="s">
        <v>21</v>
      </c>
      <c r="D2514" s="4" t="s">
        <v>7619</v>
      </c>
      <c r="E2514" s="1" t="s">
        <v>1183</v>
      </c>
      <c r="F2514" s="1" t="s">
        <v>7620</v>
      </c>
      <c r="G2514" s="1" t="s">
        <v>7621</v>
      </c>
      <c r="H2514" s="1" t="s">
        <v>7622</v>
      </c>
      <c r="I2514" s="1" t="str">
        <f t="shared" si="1"/>
        <v>27</v>
      </c>
      <c r="J2514" s="5"/>
      <c r="K2514" s="1" t="str">
        <f t="shared" si="2"/>
        <v>11</v>
      </c>
      <c r="L2514" s="5"/>
      <c r="M2514" s="2" t="str">
        <f t="shared" si="3"/>
        <v>1394</v>
      </c>
      <c r="N2514" s="5"/>
      <c r="O2514" s="1">
        <v>27.0</v>
      </c>
      <c r="P2514" s="5"/>
      <c r="Q2514" s="5"/>
      <c r="R2514" s="6" t="s">
        <v>7622</v>
      </c>
      <c r="S2514" s="5"/>
      <c r="T2514" s="1" t="str">
        <f>IFERROR(__xludf.DUMMYFUNCTION("INDEX(SPLIT(A2514, ""/""), 2)"),"نشریات مستقل")</f>
        <v>نشریات مستقل</v>
      </c>
      <c r="U2514" s="1" t="str">
        <f>IFERROR(__xludf.DUMMYFUNCTION("INDEX(SPLIT(A2514, ""/""), 3)"),"قانون")</f>
        <v>قانون</v>
      </c>
      <c r="V2514" s="1" t="str">
        <f>IFERROR(__xludf.DUMMYFUNCTION("INDEX(SPLIT(A2514, ""/""), 4)"),"#REF!")</f>
        <v>#REF!</v>
      </c>
    </row>
    <row r="2515">
      <c r="A2515" s="1" t="s">
        <v>7546</v>
      </c>
      <c r="B2515" s="1" t="s">
        <v>7623</v>
      </c>
      <c r="C2515" s="1" t="s">
        <v>21</v>
      </c>
      <c r="D2515" s="4" t="s">
        <v>7624</v>
      </c>
      <c r="E2515" s="1" t="s">
        <v>1183</v>
      </c>
      <c r="F2515" s="1" t="s">
        <v>7620</v>
      </c>
      <c r="G2515" s="1" t="s">
        <v>7621</v>
      </c>
      <c r="H2515" s="7" t="s">
        <v>1173</v>
      </c>
      <c r="I2515" s="1" t="str">
        <f t="shared" si="1"/>
        <v>3</v>
      </c>
      <c r="J2515" s="5"/>
      <c r="K2515" s="1" t="str">
        <f t="shared" si="2"/>
        <v>12</v>
      </c>
      <c r="L2515" s="5"/>
      <c r="M2515" s="2" t="str">
        <f t="shared" si="3"/>
        <v>1394</v>
      </c>
      <c r="N2515" s="5"/>
      <c r="O2515" s="1">
        <v>28.0</v>
      </c>
      <c r="P2515" s="5"/>
      <c r="Q2515" s="5"/>
      <c r="R2515" s="8" t="s">
        <v>1173</v>
      </c>
      <c r="S2515" s="5"/>
      <c r="T2515" s="1" t="str">
        <f>IFERROR(__xludf.DUMMYFUNCTION("INDEX(SPLIT(A2515, ""/""), 2)"),"نشریات مستقل")</f>
        <v>نشریات مستقل</v>
      </c>
      <c r="U2515" s="1" t="str">
        <f>IFERROR(__xludf.DUMMYFUNCTION("INDEX(SPLIT(A2515, ""/""), 3)"),"قانون")</f>
        <v>قانون</v>
      </c>
      <c r="V2515" s="1" t="str">
        <f>IFERROR(__xludf.DUMMYFUNCTION("INDEX(SPLIT(A2515, ""/""), 4)"),"#REF!")</f>
        <v>#REF!</v>
      </c>
    </row>
    <row r="2516">
      <c r="A2516" s="1" t="s">
        <v>7546</v>
      </c>
      <c r="B2516" s="1" t="s">
        <v>7625</v>
      </c>
      <c r="C2516" s="1" t="s">
        <v>21</v>
      </c>
      <c r="D2516" s="4" t="s">
        <v>7626</v>
      </c>
      <c r="E2516" s="1" t="s">
        <v>1183</v>
      </c>
      <c r="F2516" s="1" t="s">
        <v>7620</v>
      </c>
      <c r="G2516" s="1" t="s">
        <v>7621</v>
      </c>
      <c r="H2516" s="1" t="s">
        <v>7627</v>
      </c>
      <c r="I2516" s="1" t="str">
        <f t="shared" si="1"/>
        <v>17</v>
      </c>
      <c r="J2516" s="5"/>
      <c r="K2516" s="1" t="str">
        <f t="shared" si="2"/>
        <v>12</v>
      </c>
      <c r="L2516" s="5"/>
      <c r="M2516" s="2" t="str">
        <f t="shared" si="3"/>
        <v>1394</v>
      </c>
      <c r="N2516" s="5"/>
      <c r="O2516" s="1">
        <v>30.0</v>
      </c>
      <c r="P2516" s="5"/>
      <c r="Q2516" s="5"/>
      <c r="R2516" s="6" t="s">
        <v>7627</v>
      </c>
      <c r="S2516" s="5"/>
      <c r="T2516" s="1" t="str">
        <f>IFERROR(__xludf.DUMMYFUNCTION("INDEX(SPLIT(A2516, ""/""), 2)"),"نشریات مستقل")</f>
        <v>نشریات مستقل</v>
      </c>
      <c r="U2516" s="1" t="str">
        <f>IFERROR(__xludf.DUMMYFUNCTION("INDEX(SPLIT(A2516, ""/""), 3)"),"قانون")</f>
        <v>قانون</v>
      </c>
      <c r="V2516" s="1" t="str">
        <f>IFERROR(__xludf.DUMMYFUNCTION("INDEX(SPLIT(A2516, ""/""), 4)"),"#REF!")</f>
        <v>#REF!</v>
      </c>
    </row>
    <row r="2517">
      <c r="A2517" s="1" t="s">
        <v>7546</v>
      </c>
      <c r="B2517" s="1" t="s">
        <v>7628</v>
      </c>
      <c r="C2517" s="1" t="s">
        <v>21</v>
      </c>
      <c r="D2517" s="4" t="s">
        <v>7629</v>
      </c>
      <c r="E2517" s="1" t="s">
        <v>1183</v>
      </c>
      <c r="F2517" s="1" t="s">
        <v>7620</v>
      </c>
      <c r="G2517" s="1" t="s">
        <v>7621</v>
      </c>
      <c r="H2517" s="7" t="s">
        <v>7630</v>
      </c>
      <c r="I2517" s="1" t="str">
        <f t="shared" si="1"/>
        <v>6</v>
      </c>
      <c r="J2517" s="5"/>
      <c r="K2517" s="1" t="str">
        <f t="shared" si="2"/>
        <v>2</v>
      </c>
      <c r="L2517" s="5"/>
      <c r="M2517" s="2" t="str">
        <f t="shared" si="3"/>
        <v>1395</v>
      </c>
      <c r="N2517" s="5"/>
      <c r="O2517" s="1">
        <v>31.0</v>
      </c>
      <c r="P2517" s="5"/>
      <c r="Q2517" s="5"/>
      <c r="R2517" s="8" t="s">
        <v>7630</v>
      </c>
      <c r="S2517" s="5"/>
      <c r="T2517" s="1" t="str">
        <f>IFERROR(__xludf.DUMMYFUNCTION("INDEX(SPLIT(A2517, ""/""), 2)"),"نشریات مستقل")</f>
        <v>نشریات مستقل</v>
      </c>
      <c r="U2517" s="1" t="str">
        <f>IFERROR(__xludf.DUMMYFUNCTION("INDEX(SPLIT(A2517, ""/""), 3)"),"قانون")</f>
        <v>قانون</v>
      </c>
      <c r="V2517" s="1" t="str">
        <f>IFERROR(__xludf.DUMMYFUNCTION("INDEX(SPLIT(A2517, ""/""), 4)"),"#REF!")</f>
        <v>#REF!</v>
      </c>
    </row>
    <row r="2518">
      <c r="A2518" s="1" t="s">
        <v>7546</v>
      </c>
      <c r="B2518" s="1" t="s">
        <v>7631</v>
      </c>
      <c r="C2518" s="1" t="s">
        <v>21</v>
      </c>
      <c r="D2518" s="4" t="s">
        <v>7632</v>
      </c>
      <c r="E2518" s="1" t="s">
        <v>7621</v>
      </c>
      <c r="F2518" s="1" t="s">
        <v>7620</v>
      </c>
      <c r="G2518" s="1" t="s">
        <v>7633</v>
      </c>
      <c r="H2518" s="7" t="s">
        <v>7634</v>
      </c>
      <c r="I2518" s="1" t="str">
        <f t="shared" si="1"/>
        <v>3</v>
      </c>
      <c r="J2518" s="5"/>
      <c r="K2518" s="1" t="str">
        <f t="shared" si="2"/>
        <v>3</v>
      </c>
      <c r="L2518" s="5"/>
      <c r="M2518" s="2" t="str">
        <f t="shared" si="3"/>
        <v>1395</v>
      </c>
      <c r="N2518" s="5"/>
      <c r="O2518" s="1">
        <v>32.0</v>
      </c>
      <c r="P2518" s="5"/>
      <c r="Q2518" s="5"/>
      <c r="R2518" s="8" t="s">
        <v>7634</v>
      </c>
      <c r="S2518" s="5"/>
      <c r="T2518" s="1" t="str">
        <f>IFERROR(__xludf.DUMMYFUNCTION("INDEX(SPLIT(A2518, ""/""), 2)"),"نشریات مستقل")</f>
        <v>نشریات مستقل</v>
      </c>
      <c r="U2518" s="1" t="str">
        <f>IFERROR(__xludf.DUMMYFUNCTION("INDEX(SPLIT(A2518, ""/""), 3)"),"قانون")</f>
        <v>قانون</v>
      </c>
      <c r="V2518" s="1" t="str">
        <f>IFERROR(__xludf.DUMMYFUNCTION("INDEX(SPLIT(A2518, ""/""), 4)"),"#REF!")</f>
        <v>#REF!</v>
      </c>
    </row>
    <row r="2519">
      <c r="A2519" s="1" t="s">
        <v>7546</v>
      </c>
      <c r="B2519" s="1" t="s">
        <v>7635</v>
      </c>
      <c r="C2519" s="1" t="s">
        <v>21</v>
      </c>
      <c r="D2519" s="4" t="s">
        <v>7636</v>
      </c>
      <c r="E2519" s="1" t="s">
        <v>7621</v>
      </c>
      <c r="F2519" s="1" t="s">
        <v>7620</v>
      </c>
      <c r="G2519" s="1" t="s">
        <v>7633</v>
      </c>
      <c r="H2519" s="1" t="s">
        <v>7637</v>
      </c>
      <c r="I2519" s="1" t="str">
        <f t="shared" si="1"/>
        <v>27</v>
      </c>
      <c r="J2519" s="5"/>
      <c r="K2519" s="1" t="str">
        <f t="shared" si="2"/>
        <v>7</v>
      </c>
      <c r="L2519" s="5"/>
      <c r="M2519" s="2" t="str">
        <f t="shared" si="3"/>
        <v>1395</v>
      </c>
      <c r="N2519" s="5"/>
      <c r="O2519" s="1">
        <v>33.0</v>
      </c>
      <c r="P2519" s="5"/>
      <c r="Q2519" s="5"/>
      <c r="R2519" s="6" t="s">
        <v>7637</v>
      </c>
      <c r="S2519" s="5"/>
      <c r="T2519" s="1" t="str">
        <f>IFERROR(__xludf.DUMMYFUNCTION("INDEX(SPLIT(A2519, ""/""), 2)"),"نشریات مستقل")</f>
        <v>نشریات مستقل</v>
      </c>
      <c r="U2519" s="1" t="str">
        <f>IFERROR(__xludf.DUMMYFUNCTION("INDEX(SPLIT(A2519, ""/""), 3)"),"قانون")</f>
        <v>قانون</v>
      </c>
      <c r="V2519" s="1" t="str">
        <f>IFERROR(__xludf.DUMMYFUNCTION("INDEX(SPLIT(A2519, ""/""), 4)"),"#REF!")</f>
        <v>#REF!</v>
      </c>
    </row>
    <row r="2520">
      <c r="A2520" s="1" t="s">
        <v>7546</v>
      </c>
      <c r="B2520" s="1" t="s">
        <v>7638</v>
      </c>
      <c r="C2520" s="1" t="s">
        <v>21</v>
      </c>
      <c r="D2520" s="4" t="s">
        <v>7639</v>
      </c>
      <c r="E2520" s="1" t="s">
        <v>7621</v>
      </c>
      <c r="F2520" s="1" t="s">
        <v>7620</v>
      </c>
      <c r="G2520" s="1" t="s">
        <v>7633</v>
      </c>
      <c r="H2520" s="7" t="s">
        <v>1190</v>
      </c>
      <c r="I2520" s="1" t="str">
        <f t="shared" si="1"/>
        <v>10</v>
      </c>
      <c r="J2520" s="5"/>
      <c r="K2520" s="1" t="str">
        <f t="shared" si="2"/>
        <v>8</v>
      </c>
      <c r="L2520" s="5"/>
      <c r="M2520" s="2" t="str">
        <f t="shared" si="3"/>
        <v>1395</v>
      </c>
      <c r="N2520" s="5"/>
      <c r="O2520" s="1">
        <v>34.0</v>
      </c>
      <c r="P2520" s="5"/>
      <c r="Q2520" s="5"/>
      <c r="R2520" s="8" t="s">
        <v>1190</v>
      </c>
      <c r="S2520" s="5"/>
      <c r="T2520" s="1" t="str">
        <f>IFERROR(__xludf.DUMMYFUNCTION("INDEX(SPLIT(A2520, ""/""), 2)"),"نشریات مستقل")</f>
        <v>نشریات مستقل</v>
      </c>
      <c r="U2520" s="1" t="str">
        <f>IFERROR(__xludf.DUMMYFUNCTION("INDEX(SPLIT(A2520, ""/""), 3)"),"قانون")</f>
        <v>قانون</v>
      </c>
      <c r="V2520" s="1" t="str">
        <f>IFERROR(__xludf.DUMMYFUNCTION("INDEX(SPLIT(A2520, ""/""), 4)"),"#REF!")</f>
        <v>#REF!</v>
      </c>
    </row>
    <row r="2521">
      <c r="A2521" s="1" t="s">
        <v>7546</v>
      </c>
      <c r="B2521" s="1" t="s">
        <v>7640</v>
      </c>
      <c r="C2521" s="1" t="s">
        <v>21</v>
      </c>
      <c r="D2521" s="4" t="s">
        <v>7641</v>
      </c>
      <c r="E2521" s="1" t="s">
        <v>7621</v>
      </c>
      <c r="F2521" s="1" t="s">
        <v>7620</v>
      </c>
      <c r="G2521" s="1" t="s">
        <v>7633</v>
      </c>
      <c r="H2521" s="1" t="s">
        <v>7642</v>
      </c>
      <c r="I2521" s="1" t="str">
        <f t="shared" si="1"/>
        <v>17</v>
      </c>
      <c r="J2521" s="5"/>
      <c r="K2521" s="1" t="str">
        <f t="shared" si="2"/>
        <v>8</v>
      </c>
      <c r="L2521" s="5"/>
      <c r="M2521" s="2" t="str">
        <f t="shared" si="3"/>
        <v>1395</v>
      </c>
      <c r="N2521" s="5"/>
      <c r="O2521" s="1">
        <v>35.0</v>
      </c>
      <c r="P2521" s="5"/>
      <c r="Q2521" s="5"/>
      <c r="R2521" s="6" t="s">
        <v>7642</v>
      </c>
      <c r="S2521" s="5"/>
      <c r="T2521" s="1" t="str">
        <f>IFERROR(__xludf.DUMMYFUNCTION("INDEX(SPLIT(A2521, ""/""), 2)"),"نشریات مستقل")</f>
        <v>نشریات مستقل</v>
      </c>
      <c r="U2521" s="1" t="str">
        <f>IFERROR(__xludf.DUMMYFUNCTION("INDEX(SPLIT(A2521, ""/""), 3)"),"قانون")</f>
        <v>قانون</v>
      </c>
      <c r="V2521" s="1" t="str">
        <f>IFERROR(__xludf.DUMMYFUNCTION("INDEX(SPLIT(A2521, ""/""), 4)"),"#REF!")</f>
        <v>#REF!</v>
      </c>
    </row>
    <row r="2522">
      <c r="A2522" s="1" t="s">
        <v>7546</v>
      </c>
      <c r="B2522" s="1" t="s">
        <v>7643</v>
      </c>
      <c r="C2522" s="1" t="s">
        <v>21</v>
      </c>
      <c r="D2522" s="4" t="s">
        <v>7644</v>
      </c>
      <c r="E2522" s="1" t="s">
        <v>7621</v>
      </c>
      <c r="F2522" s="1" t="s">
        <v>7645</v>
      </c>
      <c r="G2522" s="1" t="s">
        <v>752</v>
      </c>
      <c r="H2522" s="7" t="s">
        <v>5957</v>
      </c>
      <c r="I2522" s="1" t="str">
        <f t="shared" si="1"/>
        <v>7</v>
      </c>
      <c r="J2522" s="5"/>
      <c r="K2522" s="1" t="str">
        <f t="shared" si="2"/>
        <v>12</v>
      </c>
      <c r="L2522" s="5"/>
      <c r="M2522" s="2" t="str">
        <f t="shared" si="3"/>
        <v>1395</v>
      </c>
      <c r="N2522" s="5"/>
      <c r="O2522" s="1">
        <v>36.0</v>
      </c>
      <c r="P2522" s="5"/>
      <c r="Q2522" s="5"/>
      <c r="R2522" s="8" t="s">
        <v>5957</v>
      </c>
      <c r="S2522" s="5"/>
      <c r="T2522" s="1" t="str">
        <f>IFERROR(__xludf.DUMMYFUNCTION("INDEX(SPLIT(A2522, ""/""), 2)"),"نشریات مستقل")</f>
        <v>نشریات مستقل</v>
      </c>
      <c r="U2522" s="1" t="str">
        <f>IFERROR(__xludf.DUMMYFUNCTION("INDEX(SPLIT(A2522, ""/""), 3)"),"قانون")</f>
        <v>قانون</v>
      </c>
      <c r="V2522" s="1" t="str">
        <f>IFERROR(__xludf.DUMMYFUNCTION("INDEX(SPLIT(A2522, ""/""), 4)"),"#REF!")</f>
        <v>#REF!</v>
      </c>
    </row>
    <row r="2523">
      <c r="A2523" s="1" t="s">
        <v>7546</v>
      </c>
      <c r="B2523" s="1" t="s">
        <v>7646</v>
      </c>
      <c r="C2523" s="1" t="s">
        <v>21</v>
      </c>
      <c r="D2523" s="4" t="s">
        <v>7647</v>
      </c>
      <c r="E2523" s="1" t="s">
        <v>7621</v>
      </c>
      <c r="F2523" s="1" t="s">
        <v>7645</v>
      </c>
      <c r="G2523" s="1" t="s">
        <v>752</v>
      </c>
      <c r="H2523" s="1" t="s">
        <v>5971</v>
      </c>
      <c r="I2523" s="1" t="str">
        <f t="shared" si="1"/>
        <v>19</v>
      </c>
      <c r="J2523" s="5"/>
      <c r="K2523" s="1" t="str">
        <f t="shared" si="2"/>
        <v>1</v>
      </c>
      <c r="L2523" s="5"/>
      <c r="M2523" s="2" t="str">
        <f t="shared" si="3"/>
        <v>1396</v>
      </c>
      <c r="N2523" s="5"/>
      <c r="O2523" s="1">
        <v>37.0</v>
      </c>
      <c r="P2523" s="5"/>
      <c r="Q2523" s="5"/>
      <c r="R2523" s="6" t="s">
        <v>5971</v>
      </c>
      <c r="S2523" s="5"/>
      <c r="T2523" s="1" t="str">
        <f>IFERROR(__xludf.DUMMYFUNCTION("INDEX(SPLIT(A2523, ""/""), 2)"),"نشریات مستقل")</f>
        <v>نشریات مستقل</v>
      </c>
      <c r="U2523" s="1" t="str">
        <f>IFERROR(__xludf.DUMMYFUNCTION("INDEX(SPLIT(A2523, ""/""), 3)"),"قانون")</f>
        <v>قانون</v>
      </c>
      <c r="V2523" s="1" t="str">
        <f>IFERROR(__xludf.DUMMYFUNCTION("INDEX(SPLIT(A2523, ""/""), 4)"),"#REF!")</f>
        <v>#REF!</v>
      </c>
    </row>
    <row r="2524">
      <c r="A2524" s="1" t="s">
        <v>7546</v>
      </c>
      <c r="B2524" s="1" t="s">
        <v>7648</v>
      </c>
      <c r="C2524" s="1" t="s">
        <v>21</v>
      </c>
      <c r="D2524" s="4" t="s">
        <v>7649</v>
      </c>
      <c r="E2524" s="1" t="s">
        <v>7621</v>
      </c>
      <c r="F2524" s="1" t="s">
        <v>7645</v>
      </c>
      <c r="G2524" s="1" t="s">
        <v>752</v>
      </c>
      <c r="H2524" s="1" t="s">
        <v>1212</v>
      </c>
      <c r="I2524" s="1" t="str">
        <f t="shared" si="1"/>
        <v>26</v>
      </c>
      <c r="J2524" s="5"/>
      <c r="K2524" s="1" t="str">
        <f t="shared" si="2"/>
        <v>1</v>
      </c>
      <c r="L2524" s="5"/>
      <c r="M2524" s="2" t="str">
        <f t="shared" si="3"/>
        <v>1396</v>
      </c>
      <c r="N2524" s="5"/>
      <c r="O2524" s="1">
        <v>38.0</v>
      </c>
      <c r="P2524" s="5"/>
      <c r="Q2524" s="5"/>
      <c r="R2524" s="6" t="s">
        <v>1212</v>
      </c>
      <c r="S2524" s="5"/>
      <c r="T2524" s="1" t="str">
        <f>IFERROR(__xludf.DUMMYFUNCTION("INDEX(SPLIT(A2524, ""/""), 2)"),"نشریات مستقل")</f>
        <v>نشریات مستقل</v>
      </c>
      <c r="U2524" s="1" t="str">
        <f>IFERROR(__xludf.DUMMYFUNCTION("INDEX(SPLIT(A2524, ""/""), 3)"),"قانون")</f>
        <v>قانون</v>
      </c>
      <c r="V2524" s="1" t="str">
        <f>IFERROR(__xludf.DUMMYFUNCTION("INDEX(SPLIT(A2524, ""/""), 4)"),"#REF!")</f>
        <v>#REF!</v>
      </c>
    </row>
    <row r="2525">
      <c r="A2525" s="1" t="s">
        <v>7546</v>
      </c>
      <c r="B2525" s="1" t="s">
        <v>7650</v>
      </c>
      <c r="C2525" s="1" t="s">
        <v>21</v>
      </c>
      <c r="D2525" s="4" t="s">
        <v>7651</v>
      </c>
      <c r="E2525" s="1" t="s">
        <v>7621</v>
      </c>
      <c r="F2525" s="1" t="s">
        <v>7645</v>
      </c>
      <c r="G2525" s="1" t="s">
        <v>752</v>
      </c>
      <c r="H2525" s="7" t="s">
        <v>5982</v>
      </c>
      <c r="I2525" s="1" t="str">
        <f t="shared" si="1"/>
        <v>9</v>
      </c>
      <c r="J2525" s="5"/>
      <c r="K2525" s="1" t="str">
        <f t="shared" si="2"/>
        <v>2</v>
      </c>
      <c r="L2525" s="5"/>
      <c r="M2525" s="2" t="str">
        <f t="shared" si="3"/>
        <v>1396</v>
      </c>
      <c r="N2525" s="5"/>
      <c r="O2525" s="1">
        <v>39.0</v>
      </c>
      <c r="P2525" s="5"/>
      <c r="Q2525" s="5"/>
      <c r="R2525" s="8" t="s">
        <v>5982</v>
      </c>
      <c r="S2525" s="5"/>
      <c r="T2525" s="1" t="str">
        <f>IFERROR(__xludf.DUMMYFUNCTION("INDEX(SPLIT(A2525, ""/""), 2)"),"نشریات مستقل")</f>
        <v>نشریات مستقل</v>
      </c>
      <c r="U2525" s="1" t="str">
        <f>IFERROR(__xludf.DUMMYFUNCTION("INDEX(SPLIT(A2525, ""/""), 3)"),"قانون")</f>
        <v>قانون</v>
      </c>
      <c r="V2525" s="1" t="str">
        <f>IFERROR(__xludf.DUMMYFUNCTION("INDEX(SPLIT(A2525, ""/""), 4)"),"#REF!")</f>
        <v>#REF!</v>
      </c>
    </row>
    <row r="2526">
      <c r="A2526" s="1" t="s">
        <v>7546</v>
      </c>
      <c r="B2526" s="1" t="s">
        <v>7652</v>
      </c>
      <c r="C2526" s="1" t="s">
        <v>21</v>
      </c>
      <c r="D2526" s="4" t="s">
        <v>7653</v>
      </c>
      <c r="E2526" s="1" t="s">
        <v>7621</v>
      </c>
      <c r="F2526" s="1" t="s">
        <v>7645</v>
      </c>
      <c r="G2526" s="1" t="s">
        <v>752</v>
      </c>
      <c r="H2526" s="1" t="s">
        <v>1571</v>
      </c>
      <c r="I2526" s="1" t="str">
        <f t="shared" si="1"/>
        <v>20</v>
      </c>
      <c r="J2526" s="5"/>
      <c r="K2526" s="1" t="str">
        <f t="shared" si="2"/>
        <v>8</v>
      </c>
      <c r="L2526" s="5"/>
      <c r="M2526" s="2" t="str">
        <f t="shared" si="3"/>
        <v>1396</v>
      </c>
      <c r="N2526" s="5"/>
      <c r="O2526" s="1">
        <v>40.0</v>
      </c>
      <c r="P2526" s="5"/>
      <c r="Q2526" s="5"/>
      <c r="R2526" s="6" t="s">
        <v>1571</v>
      </c>
      <c r="S2526" s="5"/>
      <c r="T2526" s="1" t="str">
        <f>IFERROR(__xludf.DUMMYFUNCTION("INDEX(SPLIT(A2526, ""/""), 2)"),"نشریات مستقل")</f>
        <v>نشریات مستقل</v>
      </c>
      <c r="U2526" s="1" t="str">
        <f>IFERROR(__xludf.DUMMYFUNCTION("INDEX(SPLIT(A2526, ""/""), 3)"),"قانون")</f>
        <v>قانون</v>
      </c>
      <c r="V2526" s="1" t="str">
        <f>IFERROR(__xludf.DUMMYFUNCTION("INDEX(SPLIT(A2526, ""/""), 4)"),"#REF!")</f>
        <v>#REF!</v>
      </c>
    </row>
    <row r="2527">
      <c r="A2527" s="1" t="s">
        <v>7546</v>
      </c>
      <c r="B2527" s="1" t="s">
        <v>7654</v>
      </c>
      <c r="C2527" s="1" t="s">
        <v>21</v>
      </c>
      <c r="D2527" s="4" t="s">
        <v>7655</v>
      </c>
      <c r="E2527" s="1" t="s">
        <v>7621</v>
      </c>
      <c r="F2527" s="1" t="s">
        <v>7620</v>
      </c>
      <c r="G2527" s="1" t="s">
        <v>752</v>
      </c>
      <c r="H2527" s="1" t="s">
        <v>181</v>
      </c>
      <c r="I2527" s="1" t="str">
        <f t="shared" si="1"/>
        <v>x</v>
      </c>
      <c r="J2527" s="5"/>
      <c r="K2527" s="1" t="str">
        <f t="shared" si="2"/>
        <v>12</v>
      </c>
      <c r="L2527" s="5"/>
      <c r="M2527" s="2" t="str">
        <f t="shared" si="3"/>
        <v>1397</v>
      </c>
      <c r="N2527" s="5"/>
      <c r="O2527" s="1">
        <v>41.0</v>
      </c>
      <c r="P2527" s="5"/>
      <c r="Q2527" s="5"/>
      <c r="R2527" s="6" t="s">
        <v>182</v>
      </c>
      <c r="S2527" s="5"/>
      <c r="T2527" s="1" t="str">
        <f>IFERROR(__xludf.DUMMYFUNCTION("INDEX(SPLIT(A2527, ""/""), 2)"),"نشریات مستقل")</f>
        <v>نشریات مستقل</v>
      </c>
      <c r="U2527" s="1" t="str">
        <f>IFERROR(__xludf.DUMMYFUNCTION("INDEX(SPLIT(A2527, ""/""), 3)"),"قانون")</f>
        <v>قانون</v>
      </c>
      <c r="V2527" s="1" t="str">
        <f>IFERROR(__xludf.DUMMYFUNCTION("INDEX(SPLIT(A2527, ""/""), 4)"),"#REF!")</f>
        <v>#REF!</v>
      </c>
    </row>
    <row r="2528">
      <c r="A2528" s="1" t="s">
        <v>7546</v>
      </c>
      <c r="B2528" s="1" t="s">
        <v>7656</v>
      </c>
      <c r="C2528" s="1" t="s">
        <v>21</v>
      </c>
      <c r="D2528" s="4" t="s">
        <v>7657</v>
      </c>
      <c r="E2528" s="1" t="s">
        <v>7658</v>
      </c>
      <c r="F2528" s="1" t="s">
        <v>1404</v>
      </c>
      <c r="G2528" s="1" t="s">
        <v>7659</v>
      </c>
      <c r="H2528" s="7" t="s">
        <v>7660</v>
      </c>
      <c r="I2528" s="1" t="str">
        <f t="shared" si="1"/>
        <v>11</v>
      </c>
      <c r="J2528" s="5"/>
      <c r="K2528" s="1" t="str">
        <f t="shared" si="2"/>
        <v>2</v>
      </c>
      <c r="L2528" s="5"/>
      <c r="M2528" s="2" t="str">
        <f t="shared" si="3"/>
        <v>1399</v>
      </c>
      <c r="N2528" s="5"/>
      <c r="O2528" s="1">
        <v>42.0</v>
      </c>
      <c r="P2528" s="5"/>
      <c r="Q2528" s="5"/>
      <c r="R2528" s="8" t="s">
        <v>7660</v>
      </c>
      <c r="S2528" s="5"/>
      <c r="T2528" s="1" t="str">
        <f>IFERROR(__xludf.DUMMYFUNCTION("INDEX(SPLIT(A2528, ""/""), 2)"),"نشریات مستقل")</f>
        <v>نشریات مستقل</v>
      </c>
      <c r="U2528" s="1" t="str">
        <f>IFERROR(__xludf.DUMMYFUNCTION("INDEX(SPLIT(A2528, ""/""), 3)"),"قانون")</f>
        <v>قانون</v>
      </c>
      <c r="V2528" s="1" t="str">
        <f>IFERROR(__xludf.DUMMYFUNCTION("INDEX(SPLIT(A2528, ""/""), 4)"),"#REF!")</f>
        <v>#REF!</v>
      </c>
    </row>
    <row r="2529">
      <c r="A2529" s="9" t="s">
        <v>7661</v>
      </c>
      <c r="B2529" s="1" t="s">
        <v>7662</v>
      </c>
      <c r="C2529" s="1" t="s">
        <v>21</v>
      </c>
      <c r="D2529" s="4" t="s">
        <v>7663</v>
      </c>
      <c r="E2529" s="1" t="s">
        <v>7664</v>
      </c>
      <c r="F2529" s="1" t="s">
        <v>7665</v>
      </c>
      <c r="G2529" s="1" t="s">
        <v>7665</v>
      </c>
      <c r="H2529" s="1" t="s">
        <v>217</v>
      </c>
      <c r="I2529" s="1" t="str">
        <f t="shared" si="1"/>
        <v>x</v>
      </c>
      <c r="J2529" s="5"/>
      <c r="K2529" s="1" t="str">
        <f t="shared" si="2"/>
        <v>12</v>
      </c>
      <c r="L2529" s="5"/>
      <c r="M2529" s="2" t="str">
        <f t="shared" si="3"/>
        <v>1398</v>
      </c>
      <c r="N2529" s="5"/>
      <c r="O2529" s="2">
        <v>1.0</v>
      </c>
      <c r="P2529" s="5"/>
      <c r="Q2529" s="5"/>
      <c r="R2529" s="6" t="s">
        <v>218</v>
      </c>
      <c r="S2529" s="5"/>
      <c r="T2529" s="1" t="str">
        <f>IFERROR(__xludf.DUMMYFUNCTION("INDEX(SPLIT(A2529, ""/""), 2)"),"نشریات مستقل")</f>
        <v>نشریات مستقل</v>
      </c>
      <c r="U2529" s="1" t="str">
        <f>IFERROR(__xludf.DUMMYFUNCTION("INDEX(SPLIT(A2529, ""/""), 3)"),"لیلا")</f>
        <v>لیلا</v>
      </c>
      <c r="V2529" s="1" t="str">
        <f>IFERROR(__xludf.DUMMYFUNCTION("INDEX(SPLIT(A2529, ""/""), 4)"),"#REF!")</f>
        <v>#REF!</v>
      </c>
    </row>
    <row r="2530">
      <c r="A2530" s="1" t="s">
        <v>7666</v>
      </c>
      <c r="B2530" s="1" t="s">
        <v>7667</v>
      </c>
      <c r="C2530" s="1" t="s">
        <v>21</v>
      </c>
      <c r="D2530" s="4" t="s">
        <v>7668</v>
      </c>
      <c r="E2530" s="1" t="s">
        <v>7669</v>
      </c>
      <c r="F2530" s="1" t="s">
        <v>7301</v>
      </c>
      <c r="G2530" s="1" t="s">
        <v>2879</v>
      </c>
      <c r="H2530" s="1" t="s">
        <v>408</v>
      </c>
      <c r="I2530" s="1" t="str">
        <f t="shared" si="1"/>
        <v>x</v>
      </c>
      <c r="J2530" s="5"/>
      <c r="K2530" s="1" t="str">
        <f t="shared" si="2"/>
        <v>7</v>
      </c>
      <c r="L2530" s="5"/>
      <c r="M2530" s="2" t="str">
        <f t="shared" si="3"/>
        <v>1400</v>
      </c>
      <c r="N2530" s="5"/>
      <c r="O2530" s="2">
        <v>1.0</v>
      </c>
      <c r="P2530" s="5"/>
      <c r="Q2530" s="5"/>
      <c r="R2530" s="6" t="s">
        <v>409</v>
      </c>
      <c r="S2530" s="5"/>
      <c r="T2530" s="1" t="str">
        <f>IFERROR(__xludf.DUMMYFUNCTION("INDEX(SPLIT(A2530, ""/""), 2)"),"نشریات مستقل")</f>
        <v>نشریات مستقل</v>
      </c>
      <c r="U2530" s="1" t="str">
        <f>IFERROR(__xludf.DUMMYFUNCTION("INDEX(SPLIT(A2530, ""/""), 3)"),"موضع")</f>
        <v>موضع</v>
      </c>
      <c r="V2530" s="1" t="str">
        <f>IFERROR(__xludf.DUMMYFUNCTION("INDEX(SPLIT(A2530, ""/""), 4)"),"#REF!")</f>
        <v>#REF!</v>
      </c>
    </row>
    <row r="2531">
      <c r="A2531" s="1" t="s">
        <v>7666</v>
      </c>
      <c r="B2531" s="1" t="s">
        <v>7670</v>
      </c>
      <c r="C2531" s="1" t="s">
        <v>21</v>
      </c>
      <c r="D2531" s="4" t="s">
        <v>7671</v>
      </c>
      <c r="E2531" s="1" t="s">
        <v>7669</v>
      </c>
      <c r="F2531" s="1" t="s">
        <v>7301</v>
      </c>
      <c r="G2531" s="1" t="s">
        <v>2879</v>
      </c>
      <c r="H2531" s="1" t="s">
        <v>414</v>
      </c>
      <c r="I2531" s="1" t="str">
        <f t="shared" si="1"/>
        <v>x</v>
      </c>
      <c r="J2531" s="5"/>
      <c r="K2531" s="1" t="str">
        <f t="shared" si="2"/>
        <v>9</v>
      </c>
      <c r="L2531" s="5"/>
      <c r="M2531" s="2" t="str">
        <f t="shared" si="3"/>
        <v>1400</v>
      </c>
      <c r="N2531" s="5"/>
      <c r="O2531" s="2" t="s">
        <v>7672</v>
      </c>
      <c r="P2531" s="5"/>
      <c r="Q2531" s="5"/>
      <c r="R2531" s="6" t="s">
        <v>415</v>
      </c>
      <c r="S2531" s="5"/>
      <c r="T2531" s="1" t="str">
        <f>IFERROR(__xludf.DUMMYFUNCTION("INDEX(SPLIT(A2531, ""/""), 2)"),"نشریات مستقل")</f>
        <v>نشریات مستقل</v>
      </c>
      <c r="U2531" s="1" t="str">
        <f>IFERROR(__xludf.DUMMYFUNCTION("INDEX(SPLIT(A2531, ""/""), 3)"),"موضع")</f>
        <v>موضع</v>
      </c>
      <c r="V2531" s="1" t="str">
        <f>IFERROR(__xludf.DUMMYFUNCTION("INDEX(SPLIT(A2531, ""/""), 4)"),"#REF!")</f>
        <v>#REF!</v>
      </c>
    </row>
    <row r="2532">
      <c r="A2532" s="1" t="s">
        <v>7666</v>
      </c>
      <c r="B2532" s="1" t="s">
        <v>7673</v>
      </c>
      <c r="C2532" s="1" t="s">
        <v>21</v>
      </c>
      <c r="D2532" s="4" t="s">
        <v>7674</v>
      </c>
      <c r="E2532" s="1" t="s">
        <v>7669</v>
      </c>
      <c r="F2532" s="1" t="s">
        <v>7301</v>
      </c>
      <c r="G2532" s="1" t="s">
        <v>2879</v>
      </c>
      <c r="H2532" s="1" t="s">
        <v>712</v>
      </c>
      <c r="I2532" s="1" t="str">
        <f t="shared" si="1"/>
        <v>x</v>
      </c>
      <c r="J2532" s="5"/>
      <c r="K2532" s="1" t="str">
        <f t="shared" si="2"/>
        <v>10</v>
      </c>
      <c r="L2532" s="5"/>
      <c r="M2532" s="2" t="str">
        <f t="shared" si="3"/>
        <v>1400</v>
      </c>
      <c r="N2532" s="5"/>
      <c r="O2532" s="2" t="s">
        <v>7675</v>
      </c>
      <c r="P2532" s="5"/>
      <c r="Q2532" s="5"/>
      <c r="R2532" s="6" t="s">
        <v>713</v>
      </c>
      <c r="S2532" s="5"/>
      <c r="T2532" s="1" t="str">
        <f>IFERROR(__xludf.DUMMYFUNCTION("INDEX(SPLIT(A2532, ""/""), 2)"),"نشریات مستقل")</f>
        <v>نشریات مستقل</v>
      </c>
      <c r="U2532" s="1" t="str">
        <f>IFERROR(__xludf.DUMMYFUNCTION("INDEX(SPLIT(A2532, ""/""), 3)"),"موضع")</f>
        <v>موضع</v>
      </c>
      <c r="V2532" s="1" t="str">
        <f>IFERROR(__xludf.DUMMYFUNCTION("INDEX(SPLIT(A2532, ""/""), 4)"),"#REF!")</f>
        <v>#REF!</v>
      </c>
    </row>
    <row r="2533">
      <c r="A2533" s="1" t="s">
        <v>7666</v>
      </c>
      <c r="B2533" s="1" t="s">
        <v>7676</v>
      </c>
      <c r="C2533" s="1" t="s">
        <v>21</v>
      </c>
      <c r="D2533" s="4" t="s">
        <v>7677</v>
      </c>
      <c r="E2533" s="1" t="s">
        <v>7301</v>
      </c>
      <c r="F2533" s="1" t="s">
        <v>7301</v>
      </c>
      <c r="G2533" s="1" t="s">
        <v>2879</v>
      </c>
      <c r="H2533" s="7" t="s">
        <v>7678</v>
      </c>
      <c r="I2533" s="1" t="str">
        <f t="shared" si="1"/>
        <v>1</v>
      </c>
      <c r="J2533" s="5"/>
      <c r="K2533" s="1" t="str">
        <f t="shared" si="2"/>
        <v>5</v>
      </c>
      <c r="L2533" s="5"/>
      <c r="M2533" s="2" t="str">
        <f t="shared" si="3"/>
        <v>1401</v>
      </c>
      <c r="N2533" s="5"/>
      <c r="O2533" s="2" t="s">
        <v>7679</v>
      </c>
      <c r="P2533" s="5"/>
      <c r="Q2533" s="5"/>
      <c r="R2533" s="8" t="s">
        <v>7678</v>
      </c>
      <c r="S2533" s="5"/>
      <c r="T2533" s="1" t="str">
        <f>IFERROR(__xludf.DUMMYFUNCTION("INDEX(SPLIT(A2533, ""/""), 2)"),"نشریات مستقل")</f>
        <v>نشریات مستقل</v>
      </c>
      <c r="U2533" s="1" t="str">
        <f>IFERROR(__xludf.DUMMYFUNCTION("INDEX(SPLIT(A2533, ""/""), 3)"),"موضع")</f>
        <v>موضع</v>
      </c>
      <c r="V2533" s="1" t="str">
        <f>IFERROR(__xludf.DUMMYFUNCTION("INDEX(SPLIT(A2533, ""/""), 4)"),"#REF!")</f>
        <v>#REF!</v>
      </c>
    </row>
    <row r="2534">
      <c r="A2534" s="1" t="s">
        <v>7666</v>
      </c>
      <c r="B2534" s="1" t="s">
        <v>7680</v>
      </c>
      <c r="C2534" s="1" t="s">
        <v>21</v>
      </c>
      <c r="D2534" s="4" t="s">
        <v>7681</v>
      </c>
      <c r="E2534" s="1" t="s">
        <v>7301</v>
      </c>
      <c r="F2534" s="1" t="s">
        <v>7301</v>
      </c>
      <c r="G2534" s="1" t="s">
        <v>2879</v>
      </c>
      <c r="H2534" s="7" t="s">
        <v>7682</v>
      </c>
      <c r="I2534" s="1" t="str">
        <f t="shared" si="1"/>
        <v>9</v>
      </c>
      <c r="J2534" s="5"/>
      <c r="K2534" s="1" t="str">
        <f t="shared" si="2"/>
        <v>5</v>
      </c>
      <c r="L2534" s="5"/>
      <c r="M2534" s="2" t="str">
        <f t="shared" si="3"/>
        <v>1401</v>
      </c>
      <c r="N2534" s="5"/>
      <c r="O2534" s="2" t="s">
        <v>7683</v>
      </c>
      <c r="P2534" s="5"/>
      <c r="Q2534" s="5"/>
      <c r="R2534" s="8" t="s">
        <v>7682</v>
      </c>
      <c r="S2534" s="5"/>
      <c r="T2534" s="1" t="str">
        <f>IFERROR(__xludf.DUMMYFUNCTION("INDEX(SPLIT(A2534, ""/""), 2)"),"نشریات مستقل")</f>
        <v>نشریات مستقل</v>
      </c>
      <c r="U2534" s="1" t="str">
        <f>IFERROR(__xludf.DUMMYFUNCTION("INDEX(SPLIT(A2534, ""/""), 3)"),"موضع")</f>
        <v>موضع</v>
      </c>
      <c r="V2534" s="1" t="str">
        <f>IFERROR(__xludf.DUMMYFUNCTION("INDEX(SPLIT(A2534, ""/""), 4)"),"#REF!")</f>
        <v>#REF!</v>
      </c>
    </row>
    <row r="2535">
      <c r="A2535" s="1" t="s">
        <v>7666</v>
      </c>
      <c r="B2535" s="1" t="s">
        <v>7684</v>
      </c>
      <c r="C2535" s="1" t="s">
        <v>21</v>
      </c>
      <c r="D2535" s="4" t="s">
        <v>7685</v>
      </c>
      <c r="E2535" s="1" t="s">
        <v>7301</v>
      </c>
      <c r="F2535" s="1" t="s">
        <v>7301</v>
      </c>
      <c r="G2535" s="1" t="s">
        <v>2879</v>
      </c>
      <c r="H2535" s="7" t="s">
        <v>7686</v>
      </c>
      <c r="I2535" s="1" t="str">
        <f t="shared" si="1"/>
        <v>10</v>
      </c>
      <c r="J2535" s="5"/>
      <c r="K2535" s="1" t="str">
        <f t="shared" si="2"/>
        <v>5</v>
      </c>
      <c r="L2535" s="5"/>
      <c r="M2535" s="2" t="str">
        <f t="shared" si="3"/>
        <v>1401</v>
      </c>
      <c r="N2535" s="5"/>
      <c r="O2535" s="2" t="s">
        <v>7687</v>
      </c>
      <c r="P2535" s="5"/>
      <c r="Q2535" s="5"/>
      <c r="R2535" s="8" t="s">
        <v>7686</v>
      </c>
      <c r="S2535" s="5"/>
      <c r="T2535" s="1" t="str">
        <f>IFERROR(__xludf.DUMMYFUNCTION("INDEX(SPLIT(A2535, ""/""), 2)"),"نشریات مستقل")</f>
        <v>نشریات مستقل</v>
      </c>
      <c r="U2535" s="1" t="str">
        <f>IFERROR(__xludf.DUMMYFUNCTION("INDEX(SPLIT(A2535, ""/""), 3)"),"موضع")</f>
        <v>موضع</v>
      </c>
      <c r="V2535" s="1" t="str">
        <f>IFERROR(__xludf.DUMMYFUNCTION("INDEX(SPLIT(A2535, ""/""), 4)"),"#REF!")</f>
        <v>#REF!</v>
      </c>
    </row>
    <row r="2536">
      <c r="A2536" s="1" t="s">
        <v>7666</v>
      </c>
      <c r="B2536" s="1" t="s">
        <v>7688</v>
      </c>
      <c r="C2536" s="1" t="s">
        <v>21</v>
      </c>
      <c r="D2536" s="4" t="s">
        <v>7689</v>
      </c>
      <c r="E2536" s="1" t="s">
        <v>2879</v>
      </c>
      <c r="F2536" s="1" t="s">
        <v>2879</v>
      </c>
      <c r="G2536" s="1" t="s">
        <v>2879</v>
      </c>
      <c r="H2536" s="1" t="s">
        <v>151</v>
      </c>
      <c r="I2536" s="1" t="str">
        <f t="shared" si="1"/>
        <v>x</v>
      </c>
      <c r="J2536" s="5"/>
      <c r="K2536" s="1" t="str">
        <f t="shared" si="2"/>
        <v>8</v>
      </c>
      <c r="L2536" s="5"/>
      <c r="M2536" s="2" t="str">
        <f t="shared" si="3"/>
        <v>1401</v>
      </c>
      <c r="N2536" s="5"/>
      <c r="O2536" s="2">
        <v>2.0</v>
      </c>
      <c r="P2536" s="5"/>
      <c r="Q2536" s="5"/>
      <c r="R2536" s="6" t="s">
        <v>152</v>
      </c>
      <c r="S2536" s="5"/>
      <c r="T2536" s="1" t="str">
        <f>IFERROR(__xludf.DUMMYFUNCTION("INDEX(SPLIT(A2536, ""/""), 2)"),"نشریات مستقل")</f>
        <v>نشریات مستقل</v>
      </c>
      <c r="U2536" s="1" t="str">
        <f>IFERROR(__xludf.DUMMYFUNCTION("INDEX(SPLIT(A2536, ""/""), 3)"),"موضع")</f>
        <v>موضع</v>
      </c>
      <c r="V2536" s="1" t="str">
        <f>IFERROR(__xludf.DUMMYFUNCTION("INDEX(SPLIT(A2536, ""/""), 4)"),"#REF!")</f>
        <v>#REF!</v>
      </c>
    </row>
    <row r="2537">
      <c r="A2537" s="1" t="s">
        <v>7666</v>
      </c>
      <c r="B2537" s="1" t="s">
        <v>7690</v>
      </c>
      <c r="C2537" s="1" t="s">
        <v>21</v>
      </c>
      <c r="D2537" s="4" t="s">
        <v>7691</v>
      </c>
      <c r="E2537" s="1" t="s">
        <v>2879</v>
      </c>
      <c r="F2537" s="1" t="s">
        <v>2879</v>
      </c>
      <c r="G2537" s="1" t="s">
        <v>2879</v>
      </c>
      <c r="H2537" s="1" t="s">
        <v>151</v>
      </c>
      <c r="I2537" s="1" t="str">
        <f t="shared" si="1"/>
        <v>x</v>
      </c>
      <c r="J2537" s="5"/>
      <c r="K2537" s="1" t="str">
        <f t="shared" si="2"/>
        <v>8</v>
      </c>
      <c r="L2537" s="5"/>
      <c r="M2537" s="2" t="str">
        <f t="shared" si="3"/>
        <v>1401</v>
      </c>
      <c r="N2537" s="5"/>
      <c r="O2537" s="2">
        <v>2.0</v>
      </c>
      <c r="P2537" s="5"/>
      <c r="Q2537" s="5"/>
      <c r="R2537" s="6" t="s">
        <v>152</v>
      </c>
      <c r="S2537" s="5"/>
      <c r="T2537" s="1" t="str">
        <f>IFERROR(__xludf.DUMMYFUNCTION("INDEX(SPLIT(A2537, ""/""), 2)"),"نشریات مستقل")</f>
        <v>نشریات مستقل</v>
      </c>
      <c r="U2537" s="1" t="str">
        <f>IFERROR(__xludf.DUMMYFUNCTION("INDEX(SPLIT(A2537, ""/""), 3)"),"موضع")</f>
        <v>موضع</v>
      </c>
      <c r="V2537" s="1" t="str">
        <f>IFERROR(__xludf.DUMMYFUNCTION("INDEX(SPLIT(A2537, ""/""), 4)"),"#REF!")</f>
        <v>#REF!</v>
      </c>
    </row>
    <row r="2538">
      <c r="A2538" s="1" t="s">
        <v>7666</v>
      </c>
      <c r="B2538" s="1" t="s">
        <v>7692</v>
      </c>
      <c r="C2538" s="1" t="s">
        <v>21</v>
      </c>
      <c r="D2538" s="4" t="s">
        <v>7693</v>
      </c>
      <c r="E2538" s="1" t="s">
        <v>2879</v>
      </c>
      <c r="F2538" s="1" t="s">
        <v>2879</v>
      </c>
      <c r="G2538" s="1" t="s">
        <v>2879</v>
      </c>
      <c r="H2538" s="1" t="s">
        <v>155</v>
      </c>
      <c r="I2538" s="1" t="str">
        <f t="shared" si="1"/>
        <v>x</v>
      </c>
      <c r="J2538" s="5"/>
      <c r="K2538" s="1" t="str">
        <f t="shared" si="2"/>
        <v>12</v>
      </c>
      <c r="L2538" s="5"/>
      <c r="M2538" s="2" t="str">
        <f t="shared" si="3"/>
        <v>1401</v>
      </c>
      <c r="N2538" s="5"/>
      <c r="O2538" s="2" t="s">
        <v>7694</v>
      </c>
      <c r="P2538" s="5"/>
      <c r="Q2538" s="5"/>
      <c r="R2538" s="6" t="s">
        <v>156</v>
      </c>
      <c r="S2538" s="5"/>
      <c r="T2538" s="1" t="str">
        <f>IFERROR(__xludf.DUMMYFUNCTION("INDEX(SPLIT(A2538, ""/""), 2)"),"نشریات مستقل")</f>
        <v>نشریات مستقل</v>
      </c>
      <c r="U2538" s="1" t="str">
        <f>IFERROR(__xludf.DUMMYFUNCTION("INDEX(SPLIT(A2538, ""/""), 3)"),"موضع")</f>
        <v>موضع</v>
      </c>
      <c r="V2538" s="1" t="str">
        <f>IFERROR(__xludf.DUMMYFUNCTION("INDEX(SPLIT(A2538, ""/""), 4)"),"#REF!")</f>
        <v>#REF!</v>
      </c>
    </row>
    <row r="2539">
      <c r="A2539" s="1" t="s">
        <v>7666</v>
      </c>
      <c r="B2539" s="1" t="s">
        <v>7695</v>
      </c>
      <c r="C2539" s="1" t="s">
        <v>21</v>
      </c>
      <c r="D2539" s="4" t="s">
        <v>7696</v>
      </c>
      <c r="E2539" s="1" t="s">
        <v>2879</v>
      </c>
      <c r="F2539" s="1" t="s">
        <v>2879</v>
      </c>
      <c r="G2539" s="1" t="s">
        <v>2879</v>
      </c>
      <c r="H2539" s="1" t="s">
        <v>155</v>
      </c>
      <c r="I2539" s="1" t="str">
        <f t="shared" si="1"/>
        <v>x</v>
      </c>
      <c r="J2539" s="5"/>
      <c r="K2539" s="1" t="str">
        <f t="shared" si="2"/>
        <v>12</v>
      </c>
      <c r="L2539" s="5"/>
      <c r="M2539" s="2" t="str">
        <f t="shared" si="3"/>
        <v>1401</v>
      </c>
      <c r="N2539" s="5"/>
      <c r="O2539" s="2">
        <v>3.0</v>
      </c>
      <c r="P2539" s="5"/>
      <c r="Q2539" s="5"/>
      <c r="R2539" s="6" t="s">
        <v>156</v>
      </c>
      <c r="S2539" s="5"/>
      <c r="T2539" s="1" t="str">
        <f>IFERROR(__xludf.DUMMYFUNCTION("INDEX(SPLIT(A2539, ""/""), 2)"),"نشریات مستقل")</f>
        <v>نشریات مستقل</v>
      </c>
      <c r="U2539" s="1" t="str">
        <f>IFERROR(__xludf.DUMMYFUNCTION("INDEX(SPLIT(A2539, ""/""), 3)"),"موضع")</f>
        <v>موضع</v>
      </c>
      <c r="V2539" s="1" t="str">
        <f>IFERROR(__xludf.DUMMYFUNCTION("INDEX(SPLIT(A2539, ""/""), 4)"),"#REF!")</f>
        <v>#REF!</v>
      </c>
    </row>
    <row r="2540">
      <c r="A2540" s="1" t="s">
        <v>7666</v>
      </c>
      <c r="B2540" s="1" t="s">
        <v>7697</v>
      </c>
      <c r="C2540" s="1" t="s">
        <v>21</v>
      </c>
      <c r="D2540" s="4" t="s">
        <v>7698</v>
      </c>
      <c r="E2540" s="1" t="s">
        <v>2879</v>
      </c>
      <c r="F2540" s="1" t="s">
        <v>2879</v>
      </c>
      <c r="G2540" s="1" t="s">
        <v>2879</v>
      </c>
      <c r="H2540" s="1" t="s">
        <v>155</v>
      </c>
      <c r="I2540" s="1" t="str">
        <f t="shared" si="1"/>
        <v>x</v>
      </c>
      <c r="J2540" s="5"/>
      <c r="K2540" s="1" t="str">
        <f t="shared" si="2"/>
        <v>12</v>
      </c>
      <c r="L2540" s="5"/>
      <c r="M2540" s="2" t="str">
        <f t="shared" si="3"/>
        <v>1401</v>
      </c>
      <c r="N2540" s="5"/>
      <c r="O2540" s="2">
        <v>3.0</v>
      </c>
      <c r="P2540" s="5"/>
      <c r="Q2540" s="5"/>
      <c r="R2540" s="6" t="s">
        <v>156</v>
      </c>
      <c r="S2540" s="5"/>
      <c r="T2540" s="1" t="str">
        <f>IFERROR(__xludf.DUMMYFUNCTION("INDEX(SPLIT(A2540, ""/""), 2)"),"نشریات مستقل")</f>
        <v>نشریات مستقل</v>
      </c>
      <c r="U2540" s="1" t="str">
        <f>IFERROR(__xludf.DUMMYFUNCTION("INDEX(SPLIT(A2540, ""/""), 3)"),"موضع")</f>
        <v>موضع</v>
      </c>
      <c r="V2540" s="1" t="str">
        <f>IFERROR(__xludf.DUMMYFUNCTION("INDEX(SPLIT(A2540, ""/""), 4)"),"#REF!")</f>
        <v>#REF!</v>
      </c>
    </row>
    <row r="2541">
      <c r="A2541" s="9" t="s">
        <v>7699</v>
      </c>
      <c r="B2541" s="1" t="s">
        <v>7700</v>
      </c>
      <c r="C2541" s="1" t="s">
        <v>21</v>
      </c>
      <c r="D2541" s="4" t="s">
        <v>7701</v>
      </c>
      <c r="E2541" s="1" t="s">
        <v>71</v>
      </c>
      <c r="F2541" s="1" t="s">
        <v>71</v>
      </c>
      <c r="G2541" s="1" t="s">
        <v>71</v>
      </c>
      <c r="H2541" s="1" t="s">
        <v>2956</v>
      </c>
      <c r="I2541" s="1" t="str">
        <f t="shared" si="1"/>
        <v>x</v>
      </c>
      <c r="J2541" s="5"/>
      <c r="K2541" s="1" t="str">
        <f t="shared" si="2"/>
        <v>7</v>
      </c>
      <c r="L2541" s="5"/>
      <c r="M2541" s="2" t="str">
        <f t="shared" si="3"/>
        <v>1386</v>
      </c>
      <c r="N2541" s="5"/>
      <c r="O2541" s="2" t="s">
        <v>7702</v>
      </c>
      <c r="P2541" s="5"/>
      <c r="Q2541" s="5"/>
      <c r="R2541" s="6" t="s">
        <v>2957</v>
      </c>
      <c r="S2541" s="1" t="s">
        <v>7703</v>
      </c>
      <c r="T2541" s="1" t="str">
        <f>IFERROR(__xludf.DUMMYFUNCTION("INDEX(SPLIT(A2541, ""/""), 2)"),"نشریات خارج دانشگاهی")</f>
        <v>نشریات خارج دانشگاهی</v>
      </c>
      <c r="U2541" s="1" t="str">
        <f>IFERROR(__xludf.DUMMYFUNCTION("INDEX(SPLIT(A2541, ""/""), 3)"),"#REF!")</f>
        <v>#REF!</v>
      </c>
      <c r="V2541" s="1" t="str">
        <f>IFERROR(__xludf.DUMMYFUNCTION("INDEX(SPLIT(A2541, ""/""), 4)"),"#REF!")</f>
        <v>#REF!</v>
      </c>
    </row>
    <row r="2542">
      <c r="A2542" s="1" t="s">
        <v>7704</v>
      </c>
      <c r="B2542" s="1" t="s">
        <v>7705</v>
      </c>
      <c r="C2542" s="1" t="s">
        <v>21</v>
      </c>
      <c r="D2542" s="4" t="s">
        <v>7706</v>
      </c>
      <c r="E2542" s="1" t="s">
        <v>71</v>
      </c>
      <c r="F2542" s="1" t="s">
        <v>71</v>
      </c>
      <c r="G2542" s="1" t="s">
        <v>71</v>
      </c>
      <c r="H2542" s="1" t="s">
        <v>7707</v>
      </c>
      <c r="I2542" s="1" t="str">
        <f t="shared" si="1"/>
        <v>x</v>
      </c>
      <c r="J2542" s="5"/>
      <c r="K2542" s="1" t="str">
        <f t="shared" si="2"/>
        <v>2,3</v>
      </c>
      <c r="L2542" s="5"/>
      <c r="M2542" s="2" t="str">
        <f t="shared" si="3"/>
        <v>1378</v>
      </c>
      <c r="N2542" s="1">
        <v>1.0</v>
      </c>
      <c r="O2542" s="2">
        <v>21.0</v>
      </c>
      <c r="P2542" s="5"/>
      <c r="Q2542" s="5"/>
      <c r="R2542" s="8" t="s">
        <v>3531</v>
      </c>
      <c r="S2542" s="5"/>
      <c r="T2542" s="1" t="str">
        <f>IFERROR(__xludf.DUMMYFUNCTION("INDEX(SPLIT(A2542, ""/""), 2)"),"نشریات مستقل")</f>
        <v>نشریات مستقل</v>
      </c>
      <c r="U2542" s="1" t="str">
        <f>IFERROR(__xludf.DUMMYFUNCTION("INDEX(SPLIT(A2542, ""/""), 3)"),"نقطه سر خط")</f>
        <v>نقطه سر خط</v>
      </c>
      <c r="V2542" s="1" t="str">
        <f>IFERROR(__xludf.DUMMYFUNCTION("INDEX(SPLIT(A2542, ""/""), 4)"),"#REF!")</f>
        <v>#REF!</v>
      </c>
    </row>
    <row r="2543">
      <c r="A2543" s="1" t="s">
        <v>7704</v>
      </c>
      <c r="B2543" s="1" t="s">
        <v>7708</v>
      </c>
      <c r="C2543" s="1" t="s">
        <v>21</v>
      </c>
      <c r="D2543" s="4" t="s">
        <v>7709</v>
      </c>
      <c r="E2543" s="1" t="s">
        <v>71</v>
      </c>
      <c r="F2543" s="1" t="s">
        <v>7710</v>
      </c>
      <c r="G2543" s="1" t="s">
        <v>71</v>
      </c>
      <c r="H2543" s="1" t="s">
        <v>291</v>
      </c>
      <c r="I2543" s="1" t="str">
        <f t="shared" si="1"/>
        <v>x</v>
      </c>
      <c r="J2543" s="5"/>
      <c r="K2543" s="1" t="str">
        <f t="shared" si="2"/>
        <v>x</v>
      </c>
      <c r="L2543" s="5"/>
      <c r="M2543" s="2" t="str">
        <f t="shared" si="3"/>
        <v>x</v>
      </c>
      <c r="N2543" s="1">
        <v>2.0</v>
      </c>
      <c r="O2543" s="2" t="s">
        <v>7711</v>
      </c>
      <c r="P2543" s="1" t="s">
        <v>3597</v>
      </c>
      <c r="Q2543" s="1" t="s">
        <v>843</v>
      </c>
      <c r="R2543" s="6" t="s">
        <v>7712</v>
      </c>
      <c r="S2543" s="5"/>
      <c r="T2543" s="1" t="str">
        <f>IFERROR(__xludf.DUMMYFUNCTION("INDEX(SPLIT(A2543, ""/""), 2)"),"نشریات مستقل")</f>
        <v>نشریات مستقل</v>
      </c>
      <c r="U2543" s="1" t="str">
        <f>IFERROR(__xludf.DUMMYFUNCTION("INDEX(SPLIT(A2543, ""/""), 3)"),"نقطه سر خط")</f>
        <v>نقطه سر خط</v>
      </c>
      <c r="V2543" s="1" t="str">
        <f>IFERROR(__xludf.DUMMYFUNCTION("INDEX(SPLIT(A2543, ""/""), 4)"),"#REF!")</f>
        <v>#REF!</v>
      </c>
    </row>
    <row r="2544">
      <c r="A2544" s="1" t="s">
        <v>7704</v>
      </c>
      <c r="B2544" s="1" t="s">
        <v>7713</v>
      </c>
      <c r="C2544" s="1" t="s">
        <v>21</v>
      </c>
      <c r="D2544" s="4" t="s">
        <v>7714</v>
      </c>
      <c r="E2544" s="1" t="s">
        <v>7715</v>
      </c>
      <c r="F2544" s="1" t="s">
        <v>7715</v>
      </c>
      <c r="G2544" s="1" t="s">
        <v>7716</v>
      </c>
      <c r="H2544" s="1" t="s">
        <v>7717</v>
      </c>
      <c r="I2544" s="1" t="str">
        <f t="shared" si="1"/>
        <v>x</v>
      </c>
      <c r="J2544" s="5"/>
      <c r="K2544" s="1" t="str">
        <f t="shared" si="2"/>
        <v>12</v>
      </c>
      <c r="L2544" s="5"/>
      <c r="M2544" s="2" t="str">
        <f t="shared" si="3"/>
        <v>1390</v>
      </c>
      <c r="N2544" s="1">
        <v>3.0</v>
      </c>
      <c r="O2544" s="2">
        <v>24.0</v>
      </c>
      <c r="P2544" s="5"/>
      <c r="Q2544" s="5"/>
      <c r="R2544" s="6" t="s">
        <v>7367</v>
      </c>
      <c r="S2544" s="5"/>
      <c r="T2544" s="1" t="str">
        <f>IFERROR(__xludf.DUMMYFUNCTION("INDEX(SPLIT(A2544, ""/""), 2)"),"نشریات مستقل")</f>
        <v>نشریات مستقل</v>
      </c>
      <c r="U2544" s="1" t="str">
        <f>IFERROR(__xludf.DUMMYFUNCTION("INDEX(SPLIT(A2544, ""/""), 3)"),"نقطه سر خط")</f>
        <v>نقطه سر خط</v>
      </c>
      <c r="V2544" s="1" t="str">
        <f>IFERROR(__xludf.DUMMYFUNCTION("INDEX(SPLIT(A2544, ""/""), 4)"),"#REF!")</f>
        <v>#REF!</v>
      </c>
    </row>
    <row r="2545">
      <c r="A2545" s="1" t="s">
        <v>7704</v>
      </c>
      <c r="B2545" s="1" t="s">
        <v>7718</v>
      </c>
      <c r="C2545" s="1" t="s">
        <v>21</v>
      </c>
      <c r="D2545" s="4" t="s">
        <v>7719</v>
      </c>
      <c r="E2545" s="1" t="s">
        <v>71</v>
      </c>
      <c r="F2545" s="1" t="s">
        <v>7720</v>
      </c>
      <c r="G2545" s="1" t="s">
        <v>71</v>
      </c>
      <c r="H2545" s="1" t="s">
        <v>6957</v>
      </c>
      <c r="I2545" s="1" t="str">
        <f t="shared" si="1"/>
        <v>x</v>
      </c>
      <c r="J2545" s="5"/>
      <c r="K2545" s="1" t="str">
        <f t="shared" si="2"/>
        <v>2</v>
      </c>
      <c r="L2545" s="5"/>
      <c r="M2545" s="2" t="str">
        <f t="shared" si="3"/>
        <v>1392</v>
      </c>
      <c r="N2545" s="1">
        <v>3.0</v>
      </c>
      <c r="O2545" s="2">
        <v>25.0</v>
      </c>
      <c r="P2545" s="5"/>
      <c r="Q2545" s="5"/>
      <c r="R2545" s="6" t="s">
        <v>6958</v>
      </c>
      <c r="S2545" s="5"/>
      <c r="T2545" s="1" t="str">
        <f>IFERROR(__xludf.DUMMYFUNCTION("INDEX(SPLIT(A2545, ""/""), 2)"),"نشریات مستقل")</f>
        <v>نشریات مستقل</v>
      </c>
      <c r="U2545" s="1" t="str">
        <f>IFERROR(__xludf.DUMMYFUNCTION("INDEX(SPLIT(A2545, ""/""), 3)"),"نقطه سر خط")</f>
        <v>نقطه سر خط</v>
      </c>
      <c r="V2545" s="1" t="str">
        <f>IFERROR(__xludf.DUMMYFUNCTION("INDEX(SPLIT(A2545, ""/""), 4)"),"#REF!")</f>
        <v>#REF!</v>
      </c>
    </row>
    <row r="2546">
      <c r="A2546" s="1" t="s">
        <v>7721</v>
      </c>
      <c r="B2546" s="1" t="s">
        <v>7722</v>
      </c>
      <c r="C2546" s="1" t="s">
        <v>21</v>
      </c>
      <c r="D2546" s="4" t="s">
        <v>7723</v>
      </c>
      <c r="E2546" s="1" t="s">
        <v>1448</v>
      </c>
      <c r="F2546" s="1" t="s">
        <v>7724</v>
      </c>
      <c r="G2546" s="1" t="s">
        <v>71</v>
      </c>
      <c r="H2546" s="1" t="s">
        <v>7725</v>
      </c>
      <c r="I2546" s="1" t="str">
        <f t="shared" si="1"/>
        <v>20</v>
      </c>
      <c r="J2546" s="5"/>
      <c r="K2546" s="1" t="str">
        <f t="shared" si="2"/>
        <v>1</v>
      </c>
      <c r="L2546" s="5"/>
      <c r="M2546" s="2" t="str">
        <f t="shared" si="3"/>
        <v>1380</v>
      </c>
      <c r="N2546" s="5"/>
      <c r="O2546" s="2">
        <v>1.0</v>
      </c>
      <c r="P2546" s="5"/>
      <c r="Q2546" s="5"/>
      <c r="R2546" s="6" t="s">
        <v>7725</v>
      </c>
      <c r="S2546" s="5"/>
      <c r="T2546" s="1" t="str">
        <f>IFERROR(__xludf.DUMMYFUNCTION("INDEX(SPLIT(A2546, ""/""), 2)"),"نشریات مستقل")</f>
        <v>نشریات مستقل</v>
      </c>
      <c r="U2546" s="1" t="str">
        <f>IFERROR(__xludf.DUMMYFUNCTION("INDEX(SPLIT(A2546, ""/""), 3)"),"نگاه دانشجو")</f>
        <v>نگاه دانشجو</v>
      </c>
      <c r="V2546" s="1" t="str">
        <f>IFERROR(__xludf.DUMMYFUNCTION("INDEX(SPLIT(A2546, ""/""), 4)"),"#REF!")</f>
        <v>#REF!</v>
      </c>
    </row>
    <row r="2547">
      <c r="A2547" s="1" t="s">
        <v>7721</v>
      </c>
      <c r="B2547" s="1" t="s">
        <v>7726</v>
      </c>
      <c r="C2547" s="1" t="s">
        <v>21</v>
      </c>
      <c r="D2547" s="4" t="s">
        <v>7727</v>
      </c>
      <c r="E2547" s="1" t="s">
        <v>1448</v>
      </c>
      <c r="F2547" s="1" t="s">
        <v>7724</v>
      </c>
      <c r="G2547" s="1" t="s">
        <v>71</v>
      </c>
      <c r="H2547" s="7" t="s">
        <v>7728</v>
      </c>
      <c r="I2547" s="1" t="str">
        <f t="shared" si="1"/>
        <v>3</v>
      </c>
      <c r="J2547" s="5"/>
      <c r="K2547" s="1" t="str">
        <f t="shared" si="2"/>
        <v>2</v>
      </c>
      <c r="L2547" s="5"/>
      <c r="M2547" s="2" t="str">
        <f t="shared" si="3"/>
        <v>1380</v>
      </c>
      <c r="N2547" s="5"/>
      <c r="O2547" s="2">
        <v>2.0</v>
      </c>
      <c r="P2547" s="5"/>
      <c r="Q2547" s="5"/>
      <c r="R2547" s="8" t="s">
        <v>7728</v>
      </c>
      <c r="S2547" s="5"/>
      <c r="T2547" s="1" t="str">
        <f>IFERROR(__xludf.DUMMYFUNCTION("INDEX(SPLIT(A2547, ""/""), 2)"),"نشریات مستقل")</f>
        <v>نشریات مستقل</v>
      </c>
      <c r="U2547" s="1" t="str">
        <f>IFERROR(__xludf.DUMMYFUNCTION("INDEX(SPLIT(A2547, ""/""), 3)"),"نگاه دانشجو")</f>
        <v>نگاه دانشجو</v>
      </c>
      <c r="V2547" s="1" t="str">
        <f>IFERROR(__xludf.DUMMYFUNCTION("INDEX(SPLIT(A2547, ""/""), 4)"),"#REF!")</f>
        <v>#REF!</v>
      </c>
    </row>
    <row r="2548">
      <c r="A2548" s="1" t="s">
        <v>7729</v>
      </c>
      <c r="B2548" s="1" t="s">
        <v>7730</v>
      </c>
      <c r="C2548" s="1" t="s">
        <v>21</v>
      </c>
      <c r="D2548" s="4" t="s">
        <v>7731</v>
      </c>
      <c r="E2548" s="1" t="s">
        <v>1448</v>
      </c>
      <c r="F2548" s="1" t="s">
        <v>7724</v>
      </c>
      <c r="G2548" s="1" t="s">
        <v>71</v>
      </c>
      <c r="H2548" s="1" t="s">
        <v>7732</v>
      </c>
      <c r="I2548" s="1" t="str">
        <f t="shared" si="1"/>
        <v>17</v>
      </c>
      <c r="J2548" s="5"/>
      <c r="K2548" s="1" t="str">
        <f t="shared" si="2"/>
        <v>2</v>
      </c>
      <c r="L2548" s="5"/>
      <c r="M2548" s="2" t="str">
        <f t="shared" si="3"/>
        <v>1380</v>
      </c>
      <c r="N2548" s="5"/>
      <c r="O2548" s="2">
        <v>3.0</v>
      </c>
      <c r="P2548" s="5"/>
      <c r="Q2548" s="5"/>
      <c r="R2548" s="6" t="s">
        <v>7732</v>
      </c>
      <c r="S2548" s="5"/>
      <c r="T2548" s="1" t="str">
        <f>IFERROR(__xludf.DUMMYFUNCTION("INDEX(SPLIT(A2548, ""/""), 2)"),"انجمن‌های علمی و نشریات وابسته به دانشکده‌ها")</f>
        <v>انجمن‌های علمی و نشریات وابسته به دانشکده‌ها</v>
      </c>
      <c r="U2548" s="1" t="str">
        <f>IFERROR(__xludf.DUMMYFUNCTION("INDEX(SPLIT(A2548, ""/""), 3)"),"نشریات مستقل")</f>
        <v>نشریات مستقل</v>
      </c>
      <c r="V2548" s="1" t="str">
        <f>IFERROR(__xludf.DUMMYFUNCTION("INDEX(SPLIT(A2548, ""/""), 4)"),"نگاه دانشجو")</f>
        <v>نگاه دانشجو</v>
      </c>
    </row>
    <row r="2549">
      <c r="A2549" s="1" t="s">
        <v>7721</v>
      </c>
      <c r="B2549" s="1" t="s">
        <v>7733</v>
      </c>
      <c r="C2549" s="1" t="s">
        <v>21</v>
      </c>
      <c r="D2549" s="4" t="s">
        <v>7734</v>
      </c>
      <c r="E2549" s="1" t="s">
        <v>1448</v>
      </c>
      <c r="F2549" s="1" t="s">
        <v>7724</v>
      </c>
      <c r="G2549" s="1" t="s">
        <v>71</v>
      </c>
      <c r="H2549" s="7" t="s">
        <v>7735</v>
      </c>
      <c r="I2549" s="1" t="str">
        <f t="shared" si="1"/>
        <v>7</v>
      </c>
      <c r="J2549" s="5"/>
      <c r="K2549" s="1" t="str">
        <f t="shared" si="2"/>
        <v>3</v>
      </c>
      <c r="L2549" s="5"/>
      <c r="M2549" s="2" t="str">
        <f t="shared" si="3"/>
        <v>1380</v>
      </c>
      <c r="N2549" s="5"/>
      <c r="O2549" s="2">
        <v>4.0</v>
      </c>
      <c r="P2549" s="5"/>
      <c r="Q2549" s="5"/>
      <c r="R2549" s="8" t="s">
        <v>7735</v>
      </c>
      <c r="S2549" s="5"/>
      <c r="T2549" s="1" t="str">
        <f>IFERROR(__xludf.DUMMYFUNCTION("INDEX(SPLIT(A2549, ""/""), 2)"),"نشریات مستقل")</f>
        <v>نشریات مستقل</v>
      </c>
      <c r="U2549" s="1" t="str">
        <f>IFERROR(__xludf.DUMMYFUNCTION("INDEX(SPLIT(A2549, ""/""), 3)"),"نگاه دانشجو")</f>
        <v>نگاه دانشجو</v>
      </c>
      <c r="V2549" s="1" t="str">
        <f>IFERROR(__xludf.DUMMYFUNCTION("INDEX(SPLIT(A2549, ""/""), 4)"),"#REF!")</f>
        <v>#REF!</v>
      </c>
    </row>
    <row r="2550">
      <c r="A2550" s="1" t="s">
        <v>7721</v>
      </c>
      <c r="B2550" s="1" t="s">
        <v>7736</v>
      </c>
      <c r="C2550" s="1" t="s">
        <v>21</v>
      </c>
      <c r="D2550" s="4" t="s">
        <v>7737</v>
      </c>
      <c r="E2550" s="1" t="s">
        <v>1448</v>
      </c>
      <c r="F2550" s="1" t="s">
        <v>7724</v>
      </c>
      <c r="G2550" s="1" t="s">
        <v>71</v>
      </c>
      <c r="H2550" s="7" t="s">
        <v>7738</v>
      </c>
      <c r="I2550" s="1" t="str">
        <f t="shared" si="1"/>
        <v>2</v>
      </c>
      <c r="J2550" s="5"/>
      <c r="K2550" s="1" t="str">
        <f t="shared" si="2"/>
        <v>7</v>
      </c>
      <c r="L2550" s="5"/>
      <c r="M2550" s="2" t="str">
        <f t="shared" si="3"/>
        <v>1380</v>
      </c>
      <c r="N2550" s="5"/>
      <c r="O2550" s="2">
        <v>5.0</v>
      </c>
      <c r="P2550" s="5"/>
      <c r="Q2550" s="5"/>
      <c r="R2550" s="8" t="s">
        <v>7738</v>
      </c>
      <c r="S2550" s="5"/>
      <c r="T2550" s="1" t="str">
        <f>IFERROR(__xludf.DUMMYFUNCTION("INDEX(SPLIT(A2550, ""/""), 2)"),"نشریات مستقل")</f>
        <v>نشریات مستقل</v>
      </c>
      <c r="U2550" s="1" t="str">
        <f>IFERROR(__xludf.DUMMYFUNCTION("INDEX(SPLIT(A2550, ""/""), 3)"),"نگاه دانشجو")</f>
        <v>نگاه دانشجو</v>
      </c>
      <c r="V2550" s="1" t="str">
        <f>IFERROR(__xludf.DUMMYFUNCTION("INDEX(SPLIT(A2550, ""/""), 4)"),"#REF!")</f>
        <v>#REF!</v>
      </c>
    </row>
    <row r="2551">
      <c r="A2551" s="1" t="s">
        <v>7721</v>
      </c>
      <c r="B2551" s="1" t="s">
        <v>7739</v>
      </c>
      <c r="C2551" s="1" t="s">
        <v>21</v>
      </c>
      <c r="D2551" s="4" t="s">
        <v>7740</v>
      </c>
      <c r="E2551" s="1" t="s">
        <v>1448</v>
      </c>
      <c r="F2551" s="1" t="s">
        <v>7724</v>
      </c>
      <c r="G2551" s="1" t="s">
        <v>71</v>
      </c>
      <c r="H2551" s="7" t="s">
        <v>7741</v>
      </c>
      <c r="I2551" s="1" t="str">
        <f t="shared" si="1"/>
        <v>7</v>
      </c>
      <c r="J2551" s="5"/>
      <c r="K2551" s="1" t="str">
        <f t="shared" si="2"/>
        <v>8</v>
      </c>
      <c r="L2551" s="5"/>
      <c r="M2551" s="2" t="str">
        <f t="shared" si="3"/>
        <v>1380</v>
      </c>
      <c r="N2551" s="5"/>
      <c r="O2551" s="2">
        <v>6.0</v>
      </c>
      <c r="P2551" s="5"/>
      <c r="Q2551" s="5"/>
      <c r="R2551" s="8" t="s">
        <v>7741</v>
      </c>
      <c r="S2551" s="5"/>
      <c r="T2551" s="1" t="str">
        <f>IFERROR(__xludf.DUMMYFUNCTION("INDEX(SPLIT(A2551, ""/""), 2)"),"نشریات مستقل")</f>
        <v>نشریات مستقل</v>
      </c>
      <c r="U2551" s="1" t="str">
        <f>IFERROR(__xludf.DUMMYFUNCTION("INDEX(SPLIT(A2551, ""/""), 3)"),"نگاه دانشجو")</f>
        <v>نگاه دانشجو</v>
      </c>
      <c r="V2551" s="1" t="str">
        <f>IFERROR(__xludf.DUMMYFUNCTION("INDEX(SPLIT(A2551, ""/""), 4)"),"#REF!")</f>
        <v>#REF!</v>
      </c>
    </row>
    <row r="2552">
      <c r="A2552" s="1" t="s">
        <v>7742</v>
      </c>
      <c r="B2552" s="1" t="s">
        <v>7743</v>
      </c>
      <c r="C2552" s="1" t="s">
        <v>21</v>
      </c>
      <c r="D2552" s="4" t="s">
        <v>7744</v>
      </c>
      <c r="E2552" s="1" t="s">
        <v>7745</v>
      </c>
      <c r="F2552" s="1" t="s">
        <v>7745</v>
      </c>
      <c r="G2552" s="1" t="s">
        <v>7745</v>
      </c>
      <c r="H2552" s="1" t="s">
        <v>7746</v>
      </c>
      <c r="I2552" s="1" t="str">
        <f t="shared" si="1"/>
        <v>x</v>
      </c>
      <c r="J2552" s="5"/>
      <c r="K2552" s="1" t="str">
        <f t="shared" si="2"/>
        <v>11</v>
      </c>
      <c r="L2552" s="5"/>
      <c r="M2552" s="2" t="str">
        <f t="shared" si="3"/>
        <v>1387</v>
      </c>
      <c r="N2552" s="5"/>
      <c r="O2552" s="1">
        <v>1.0</v>
      </c>
      <c r="P2552" s="5"/>
      <c r="Q2552" s="5"/>
      <c r="R2552" s="6" t="s">
        <v>7747</v>
      </c>
      <c r="S2552" s="5"/>
      <c r="T2552" s="1" t="str">
        <f>IFERROR(__xludf.DUMMYFUNCTION("INDEX(SPLIT(A2552, ""/""), 2)"),"نشریات مستقل")</f>
        <v>نشریات مستقل</v>
      </c>
      <c r="U2552" s="1" t="str">
        <f>IFERROR(__xludf.DUMMYFUNCTION("INDEX(SPLIT(A2552, ""/""), 3)"),"نیش شتر")</f>
        <v>نیش شتر</v>
      </c>
      <c r="V2552" s="1" t="str">
        <f>IFERROR(__xludf.DUMMYFUNCTION("INDEX(SPLIT(A2552, ""/""), 4)"),"#REF!")</f>
        <v>#REF!</v>
      </c>
    </row>
    <row r="2553">
      <c r="A2553" s="1" t="s">
        <v>7742</v>
      </c>
      <c r="B2553" s="1" t="s">
        <v>7748</v>
      </c>
      <c r="C2553" s="1" t="s">
        <v>21</v>
      </c>
      <c r="D2553" s="4" t="s">
        <v>7749</v>
      </c>
      <c r="E2553" s="1" t="s">
        <v>7745</v>
      </c>
      <c r="F2553" s="1" t="s">
        <v>7745</v>
      </c>
      <c r="G2553" s="1" t="s">
        <v>7745</v>
      </c>
      <c r="H2553" s="1" t="s">
        <v>1627</v>
      </c>
      <c r="I2553" s="1" t="str">
        <f t="shared" si="1"/>
        <v>x</v>
      </c>
      <c r="J2553" s="5"/>
      <c r="K2553" s="1" t="str">
        <f t="shared" si="2"/>
        <v>2</v>
      </c>
      <c r="L2553" s="5"/>
      <c r="M2553" s="2" t="str">
        <f t="shared" si="3"/>
        <v>1388</v>
      </c>
      <c r="N2553" s="5"/>
      <c r="O2553" s="1">
        <v>2.0</v>
      </c>
      <c r="P2553" s="5"/>
      <c r="Q2553" s="5"/>
      <c r="R2553" s="6" t="s">
        <v>1628</v>
      </c>
      <c r="S2553" s="5"/>
      <c r="T2553" s="1" t="str">
        <f>IFERROR(__xludf.DUMMYFUNCTION("INDEX(SPLIT(A2553, ""/""), 2)"),"نشریات مستقل")</f>
        <v>نشریات مستقل</v>
      </c>
      <c r="U2553" s="1" t="str">
        <f>IFERROR(__xludf.DUMMYFUNCTION("INDEX(SPLIT(A2553, ""/""), 3)"),"نیش شتر")</f>
        <v>نیش شتر</v>
      </c>
      <c r="V2553" s="1" t="str">
        <f>IFERROR(__xludf.DUMMYFUNCTION("INDEX(SPLIT(A2553, ""/""), 4)"),"#REF!")</f>
        <v>#REF!</v>
      </c>
    </row>
    <row r="2554">
      <c r="A2554" s="1" t="s">
        <v>7742</v>
      </c>
      <c r="B2554" s="1" t="s">
        <v>7750</v>
      </c>
      <c r="C2554" s="1" t="s">
        <v>21</v>
      </c>
      <c r="D2554" s="4" t="s">
        <v>7751</v>
      </c>
      <c r="E2554" s="1" t="s">
        <v>7745</v>
      </c>
      <c r="F2554" s="1" t="s">
        <v>7745</v>
      </c>
      <c r="G2554" s="1" t="s">
        <v>7745</v>
      </c>
      <c r="H2554" s="1" t="s">
        <v>1620</v>
      </c>
      <c r="I2554" s="1" t="str">
        <f t="shared" si="1"/>
        <v>x</v>
      </c>
      <c r="J2554" s="5"/>
      <c r="K2554" s="1" t="str">
        <f t="shared" si="2"/>
        <v>8</v>
      </c>
      <c r="L2554" s="5"/>
      <c r="M2554" s="2" t="str">
        <f t="shared" si="3"/>
        <v>1388</v>
      </c>
      <c r="N2554" s="5"/>
      <c r="O2554" s="1">
        <v>3.0</v>
      </c>
      <c r="P2554" s="5"/>
      <c r="Q2554" s="5"/>
      <c r="R2554" s="6" t="s">
        <v>1621</v>
      </c>
      <c r="S2554" s="5"/>
      <c r="T2554" s="1" t="str">
        <f>IFERROR(__xludf.DUMMYFUNCTION("INDEX(SPLIT(A2554, ""/""), 2)"),"نشریات مستقل")</f>
        <v>نشریات مستقل</v>
      </c>
      <c r="U2554" s="1" t="str">
        <f>IFERROR(__xludf.DUMMYFUNCTION("INDEX(SPLIT(A2554, ""/""), 3)"),"نیش شتر")</f>
        <v>نیش شتر</v>
      </c>
      <c r="V2554" s="1" t="str">
        <f>IFERROR(__xludf.DUMMYFUNCTION("INDEX(SPLIT(A2554, ""/""), 4)"),"#REF!")</f>
        <v>#REF!</v>
      </c>
    </row>
    <row r="2555">
      <c r="A2555" s="1" t="s">
        <v>7742</v>
      </c>
      <c r="B2555" s="1" t="s">
        <v>7752</v>
      </c>
      <c r="C2555" s="1" t="s">
        <v>21</v>
      </c>
      <c r="D2555" s="4" t="s">
        <v>7753</v>
      </c>
      <c r="E2555" s="1" t="s">
        <v>7745</v>
      </c>
      <c r="F2555" s="1" t="s">
        <v>7745</v>
      </c>
      <c r="G2555" s="1" t="s">
        <v>7745</v>
      </c>
      <c r="H2555" s="1" t="s">
        <v>4015</v>
      </c>
      <c r="I2555" s="1" t="str">
        <f t="shared" si="1"/>
        <v>x</v>
      </c>
      <c r="J2555" s="5"/>
      <c r="K2555" s="1" t="str">
        <f t="shared" si="2"/>
        <v>9</v>
      </c>
      <c r="L2555" s="5"/>
      <c r="M2555" s="2" t="str">
        <f t="shared" si="3"/>
        <v>1388</v>
      </c>
      <c r="N2555" s="5"/>
      <c r="O2555" s="1">
        <v>4.0</v>
      </c>
      <c r="P2555" s="5"/>
      <c r="Q2555" s="5"/>
      <c r="R2555" s="6" t="s">
        <v>4016</v>
      </c>
      <c r="S2555" s="5"/>
      <c r="T2555" s="1" t="str">
        <f>IFERROR(__xludf.DUMMYFUNCTION("INDEX(SPLIT(A2555, ""/""), 2)"),"نشریات مستقل")</f>
        <v>نشریات مستقل</v>
      </c>
      <c r="U2555" s="1" t="str">
        <f>IFERROR(__xludf.DUMMYFUNCTION("INDEX(SPLIT(A2555, ""/""), 3)"),"نیش شتر")</f>
        <v>نیش شتر</v>
      </c>
      <c r="V2555" s="1" t="str">
        <f>IFERROR(__xludf.DUMMYFUNCTION("INDEX(SPLIT(A2555, ""/""), 4)"),"#REF!")</f>
        <v>#REF!</v>
      </c>
    </row>
    <row r="2556">
      <c r="A2556" s="1" t="s">
        <v>7742</v>
      </c>
      <c r="B2556" s="1" t="s">
        <v>7754</v>
      </c>
      <c r="C2556" s="1" t="s">
        <v>21</v>
      </c>
      <c r="D2556" s="4" t="s">
        <v>7755</v>
      </c>
      <c r="E2556" s="1" t="s">
        <v>7745</v>
      </c>
      <c r="F2556" s="1" t="s">
        <v>7745</v>
      </c>
      <c r="G2556" s="1" t="s">
        <v>7745</v>
      </c>
      <c r="H2556" s="1" t="s">
        <v>3953</v>
      </c>
      <c r="I2556" s="1" t="str">
        <f t="shared" si="1"/>
        <v>x</v>
      </c>
      <c r="J2556" s="5"/>
      <c r="K2556" s="1" t="str">
        <f t="shared" si="2"/>
        <v>10</v>
      </c>
      <c r="L2556" s="5"/>
      <c r="M2556" s="2" t="str">
        <f t="shared" si="3"/>
        <v>1388</v>
      </c>
      <c r="N2556" s="5"/>
      <c r="O2556" s="1">
        <v>5.0</v>
      </c>
      <c r="P2556" s="5"/>
      <c r="Q2556" s="5"/>
      <c r="R2556" s="6" t="s">
        <v>7510</v>
      </c>
      <c r="S2556" s="5"/>
      <c r="T2556" s="1" t="str">
        <f>IFERROR(__xludf.DUMMYFUNCTION("INDEX(SPLIT(A2556, ""/""), 2)"),"نشریات مستقل")</f>
        <v>نشریات مستقل</v>
      </c>
      <c r="U2556" s="1" t="str">
        <f>IFERROR(__xludf.DUMMYFUNCTION("INDEX(SPLIT(A2556, ""/""), 3)"),"نیش شتر")</f>
        <v>نیش شتر</v>
      </c>
      <c r="V2556" s="1" t="str">
        <f>IFERROR(__xludf.DUMMYFUNCTION("INDEX(SPLIT(A2556, ""/""), 4)"),"#REF!")</f>
        <v>#REF!</v>
      </c>
    </row>
    <row r="2557">
      <c r="A2557" s="1" t="s">
        <v>7742</v>
      </c>
      <c r="B2557" s="1" t="s">
        <v>7756</v>
      </c>
      <c r="C2557" s="1" t="s">
        <v>21</v>
      </c>
      <c r="D2557" s="4" t="s">
        <v>7757</v>
      </c>
      <c r="E2557" s="1" t="s">
        <v>7745</v>
      </c>
      <c r="F2557" s="1" t="s">
        <v>7745</v>
      </c>
      <c r="G2557" s="1" t="s">
        <v>7745</v>
      </c>
      <c r="H2557" s="1" t="s">
        <v>7758</v>
      </c>
      <c r="I2557" s="1" t="str">
        <f t="shared" si="1"/>
        <v>x</v>
      </c>
      <c r="J2557" s="5"/>
      <c r="K2557" s="1" t="str">
        <f t="shared" si="2"/>
        <v>11</v>
      </c>
      <c r="L2557" s="5"/>
      <c r="M2557" s="2" t="str">
        <f t="shared" si="3"/>
        <v>1388</v>
      </c>
      <c r="N2557" s="5"/>
      <c r="O2557" s="1">
        <v>6.0</v>
      </c>
      <c r="P2557" s="5"/>
      <c r="Q2557" s="5"/>
      <c r="R2557" s="6" t="s">
        <v>7759</v>
      </c>
      <c r="S2557" s="5"/>
      <c r="T2557" s="1" t="str">
        <f>IFERROR(__xludf.DUMMYFUNCTION("INDEX(SPLIT(A2557, ""/""), 2)"),"نشریات مستقل")</f>
        <v>نشریات مستقل</v>
      </c>
      <c r="U2557" s="1" t="str">
        <f>IFERROR(__xludf.DUMMYFUNCTION("INDEX(SPLIT(A2557, ""/""), 3)"),"نیش شتر")</f>
        <v>نیش شتر</v>
      </c>
      <c r="V2557" s="1" t="str">
        <f>IFERROR(__xludf.DUMMYFUNCTION("INDEX(SPLIT(A2557, ""/""), 4)"),"#REF!")</f>
        <v>#REF!</v>
      </c>
    </row>
    <row r="2558">
      <c r="A2558" s="1" t="s">
        <v>7742</v>
      </c>
      <c r="B2558" s="1" t="s">
        <v>7760</v>
      </c>
      <c r="C2558" s="1" t="s">
        <v>21</v>
      </c>
      <c r="D2558" s="4" t="s">
        <v>7761</v>
      </c>
      <c r="E2558" s="1" t="s">
        <v>7745</v>
      </c>
      <c r="F2558" s="1" t="s">
        <v>7745</v>
      </c>
      <c r="G2558" s="1" t="s">
        <v>7745</v>
      </c>
      <c r="H2558" s="1" t="s">
        <v>6870</v>
      </c>
      <c r="I2558" s="1" t="str">
        <f t="shared" si="1"/>
        <v>x</v>
      </c>
      <c r="J2558" s="5"/>
      <c r="K2558" s="1" t="str">
        <f t="shared" si="2"/>
        <v>12</v>
      </c>
      <c r="L2558" s="5"/>
      <c r="M2558" s="2" t="str">
        <f t="shared" si="3"/>
        <v>1388</v>
      </c>
      <c r="N2558" s="5"/>
      <c r="O2558" s="1">
        <v>7.0</v>
      </c>
      <c r="P2558" s="5"/>
      <c r="Q2558" s="5"/>
      <c r="R2558" s="6" t="s">
        <v>5420</v>
      </c>
      <c r="S2558" s="5"/>
      <c r="T2558" s="1" t="str">
        <f>IFERROR(__xludf.DUMMYFUNCTION("INDEX(SPLIT(A2558, ""/""), 2)"),"نشریات مستقل")</f>
        <v>نشریات مستقل</v>
      </c>
      <c r="U2558" s="1" t="str">
        <f>IFERROR(__xludf.DUMMYFUNCTION("INDEX(SPLIT(A2558, ""/""), 3)"),"نیش شتر")</f>
        <v>نیش شتر</v>
      </c>
      <c r="V2558" s="1" t="str">
        <f>IFERROR(__xludf.DUMMYFUNCTION("INDEX(SPLIT(A2558, ""/""), 4)"),"#REF!")</f>
        <v>#REF!</v>
      </c>
    </row>
    <row r="2559">
      <c r="A2559" s="1" t="s">
        <v>7742</v>
      </c>
      <c r="B2559" s="1" t="s">
        <v>7762</v>
      </c>
      <c r="C2559" s="1" t="s">
        <v>21</v>
      </c>
      <c r="D2559" s="4" t="s">
        <v>7763</v>
      </c>
      <c r="E2559" s="1" t="s">
        <v>7745</v>
      </c>
      <c r="F2559" s="1" t="s">
        <v>7745</v>
      </c>
      <c r="G2559" s="1" t="s">
        <v>7745</v>
      </c>
      <c r="H2559" s="1" t="s">
        <v>2983</v>
      </c>
      <c r="I2559" s="1" t="str">
        <f t="shared" si="1"/>
        <v>x</v>
      </c>
      <c r="J2559" s="5"/>
      <c r="K2559" s="1" t="str">
        <f t="shared" si="2"/>
        <v>1</v>
      </c>
      <c r="L2559" s="5"/>
      <c r="M2559" s="2" t="str">
        <f t="shared" si="3"/>
        <v>1389</v>
      </c>
      <c r="N2559" s="5"/>
      <c r="O2559" s="1">
        <v>8.0</v>
      </c>
      <c r="P2559" s="5"/>
      <c r="Q2559" s="5"/>
      <c r="R2559" s="6" t="s">
        <v>2984</v>
      </c>
      <c r="S2559" s="5"/>
      <c r="T2559" s="1" t="str">
        <f>IFERROR(__xludf.DUMMYFUNCTION("INDEX(SPLIT(A2559, ""/""), 2)"),"نشریات مستقل")</f>
        <v>نشریات مستقل</v>
      </c>
      <c r="U2559" s="1" t="str">
        <f>IFERROR(__xludf.DUMMYFUNCTION("INDEX(SPLIT(A2559, ""/""), 3)"),"نیش شتر")</f>
        <v>نیش شتر</v>
      </c>
      <c r="V2559" s="1" t="str">
        <f>IFERROR(__xludf.DUMMYFUNCTION("INDEX(SPLIT(A2559, ""/""), 4)"),"#REF!")</f>
        <v>#REF!</v>
      </c>
    </row>
    <row r="2560">
      <c r="A2560" s="1" t="s">
        <v>7742</v>
      </c>
      <c r="B2560" s="1" t="s">
        <v>7764</v>
      </c>
      <c r="C2560" s="1" t="s">
        <v>21</v>
      </c>
      <c r="D2560" s="4" t="s">
        <v>7765</v>
      </c>
      <c r="E2560" s="1" t="s">
        <v>7745</v>
      </c>
      <c r="F2560" s="1" t="s">
        <v>7745</v>
      </c>
      <c r="G2560" s="1" t="s">
        <v>7745</v>
      </c>
      <c r="H2560" s="1" t="s">
        <v>4019</v>
      </c>
      <c r="I2560" s="1" t="str">
        <f t="shared" si="1"/>
        <v>x</v>
      </c>
      <c r="J2560" s="5"/>
      <c r="K2560" s="1" t="str">
        <f t="shared" si="2"/>
        <v>2</v>
      </c>
      <c r="L2560" s="5"/>
      <c r="M2560" s="2" t="str">
        <f t="shared" si="3"/>
        <v>1389</v>
      </c>
      <c r="N2560" s="5"/>
      <c r="O2560" s="1">
        <v>9.0</v>
      </c>
      <c r="P2560" s="5"/>
      <c r="Q2560" s="5"/>
      <c r="R2560" s="6" t="s">
        <v>4020</v>
      </c>
      <c r="S2560" s="5"/>
      <c r="T2560" s="1" t="str">
        <f>IFERROR(__xludf.DUMMYFUNCTION("INDEX(SPLIT(A2560, ""/""), 2)"),"نشریات مستقل")</f>
        <v>نشریات مستقل</v>
      </c>
      <c r="U2560" s="1" t="str">
        <f>IFERROR(__xludf.DUMMYFUNCTION("INDEX(SPLIT(A2560, ""/""), 3)"),"نیش شتر")</f>
        <v>نیش شتر</v>
      </c>
      <c r="V2560" s="1" t="str">
        <f>IFERROR(__xludf.DUMMYFUNCTION("INDEX(SPLIT(A2560, ""/""), 4)"),"#REF!")</f>
        <v>#REF!</v>
      </c>
    </row>
    <row r="2561">
      <c r="A2561" s="1" t="s">
        <v>7742</v>
      </c>
      <c r="B2561" s="1" t="s">
        <v>7766</v>
      </c>
      <c r="C2561" s="1" t="s">
        <v>21</v>
      </c>
      <c r="D2561" s="4" t="s">
        <v>7767</v>
      </c>
      <c r="E2561" s="1" t="s">
        <v>7745</v>
      </c>
      <c r="F2561" s="1" t="s">
        <v>7745</v>
      </c>
      <c r="G2561" s="1" t="s">
        <v>7745</v>
      </c>
      <c r="H2561" s="1" t="s">
        <v>97</v>
      </c>
      <c r="I2561" s="1" t="str">
        <f t="shared" si="1"/>
        <v>x</v>
      </c>
      <c r="J2561" s="5"/>
      <c r="K2561" s="1" t="str">
        <f t="shared" si="2"/>
        <v>3</v>
      </c>
      <c r="L2561" s="5"/>
      <c r="M2561" s="2" t="str">
        <f t="shared" si="3"/>
        <v>1389</v>
      </c>
      <c r="N2561" s="5"/>
      <c r="O2561" s="1">
        <v>10.0</v>
      </c>
      <c r="P2561" s="5"/>
      <c r="Q2561" s="5"/>
      <c r="R2561" s="6" t="s">
        <v>2988</v>
      </c>
      <c r="S2561" s="5"/>
      <c r="T2561" s="1" t="str">
        <f>IFERROR(__xludf.DUMMYFUNCTION("INDEX(SPLIT(A2561, ""/""), 2)"),"نشریات مستقل")</f>
        <v>نشریات مستقل</v>
      </c>
      <c r="U2561" s="1" t="str">
        <f>IFERROR(__xludf.DUMMYFUNCTION("INDEX(SPLIT(A2561, ""/""), 3)"),"نیش شتر")</f>
        <v>نیش شتر</v>
      </c>
      <c r="V2561" s="1" t="str">
        <f>IFERROR(__xludf.DUMMYFUNCTION("INDEX(SPLIT(A2561, ""/""), 4)"),"#REF!")</f>
        <v>#REF!</v>
      </c>
    </row>
    <row r="2562">
      <c r="A2562" s="1" t="s">
        <v>7742</v>
      </c>
      <c r="B2562" s="1" t="s">
        <v>7768</v>
      </c>
      <c r="C2562" s="1" t="s">
        <v>21</v>
      </c>
      <c r="D2562" s="4" t="s">
        <v>7769</v>
      </c>
      <c r="E2562" s="1" t="s">
        <v>7745</v>
      </c>
      <c r="F2562" s="1" t="s">
        <v>7745</v>
      </c>
      <c r="G2562" s="1" t="s">
        <v>7745</v>
      </c>
      <c r="H2562" s="1" t="s">
        <v>1640</v>
      </c>
      <c r="I2562" s="1" t="str">
        <f t="shared" si="1"/>
        <v>x</v>
      </c>
      <c r="J2562" s="5"/>
      <c r="K2562" s="1" t="str">
        <f t="shared" si="2"/>
        <v>7</v>
      </c>
      <c r="L2562" s="5"/>
      <c r="M2562" s="2" t="str">
        <f t="shared" si="3"/>
        <v>1389</v>
      </c>
      <c r="N2562" s="5"/>
      <c r="O2562" s="1">
        <v>11.0</v>
      </c>
      <c r="P2562" s="5"/>
      <c r="Q2562" s="5"/>
      <c r="R2562" s="6" t="s">
        <v>1641</v>
      </c>
      <c r="S2562" s="5"/>
      <c r="T2562" s="1" t="str">
        <f>IFERROR(__xludf.DUMMYFUNCTION("INDEX(SPLIT(A2562, ""/""), 2)"),"نشریات مستقل")</f>
        <v>نشریات مستقل</v>
      </c>
      <c r="U2562" s="1" t="str">
        <f>IFERROR(__xludf.DUMMYFUNCTION("INDEX(SPLIT(A2562, ""/""), 3)"),"نیش شتر")</f>
        <v>نیش شتر</v>
      </c>
      <c r="V2562" s="1" t="str">
        <f>IFERROR(__xludf.DUMMYFUNCTION("INDEX(SPLIT(A2562, ""/""), 4)"),"#REF!")</f>
        <v>#REF!</v>
      </c>
    </row>
    <row r="2563">
      <c r="A2563" s="1" t="s">
        <v>7742</v>
      </c>
      <c r="B2563" s="1" t="s">
        <v>7770</v>
      </c>
      <c r="C2563" s="1" t="s">
        <v>21</v>
      </c>
      <c r="D2563" s="4" t="s">
        <v>7771</v>
      </c>
      <c r="E2563" s="1" t="s">
        <v>7745</v>
      </c>
      <c r="F2563" s="1" t="s">
        <v>7745</v>
      </c>
      <c r="G2563" s="1" t="s">
        <v>7745</v>
      </c>
      <c r="H2563" s="1" t="s">
        <v>7772</v>
      </c>
      <c r="I2563" s="1" t="str">
        <f t="shared" si="1"/>
        <v>x</v>
      </c>
      <c r="J2563" s="5"/>
      <c r="K2563" s="1" t="str">
        <f t="shared" si="2"/>
        <v>10</v>
      </c>
      <c r="L2563" s="5"/>
      <c r="M2563" s="2" t="str">
        <f t="shared" si="3"/>
        <v>1389</v>
      </c>
      <c r="N2563" s="5"/>
      <c r="O2563" s="1">
        <v>12.0</v>
      </c>
      <c r="P2563" s="5"/>
      <c r="Q2563" s="5"/>
      <c r="R2563" s="6" t="s">
        <v>7773</v>
      </c>
      <c r="S2563" s="5"/>
      <c r="T2563" s="1" t="str">
        <f>IFERROR(__xludf.DUMMYFUNCTION("INDEX(SPLIT(A2563, ""/""), 2)"),"نشریات مستقل")</f>
        <v>نشریات مستقل</v>
      </c>
      <c r="U2563" s="1" t="str">
        <f>IFERROR(__xludf.DUMMYFUNCTION("INDEX(SPLIT(A2563, ""/""), 3)"),"نیش شتر")</f>
        <v>نیش شتر</v>
      </c>
      <c r="V2563" s="1" t="str">
        <f>IFERROR(__xludf.DUMMYFUNCTION("INDEX(SPLIT(A2563, ""/""), 4)"),"#REF!")</f>
        <v>#REF!</v>
      </c>
    </row>
    <row r="2564">
      <c r="A2564" s="1" t="s">
        <v>7742</v>
      </c>
      <c r="B2564" s="1" t="s">
        <v>7774</v>
      </c>
      <c r="C2564" s="1" t="s">
        <v>21</v>
      </c>
      <c r="D2564" s="4" t="s">
        <v>7775</v>
      </c>
      <c r="E2564" s="1" t="s">
        <v>7745</v>
      </c>
      <c r="F2564" s="1" t="s">
        <v>7745</v>
      </c>
      <c r="G2564" s="1" t="s">
        <v>7745</v>
      </c>
      <c r="H2564" s="1" t="s">
        <v>1658</v>
      </c>
      <c r="I2564" s="1" t="str">
        <f t="shared" si="1"/>
        <v>x</v>
      </c>
      <c r="J2564" s="5"/>
      <c r="K2564" s="1" t="str">
        <f t="shared" si="2"/>
        <v>11</v>
      </c>
      <c r="L2564" s="5"/>
      <c r="M2564" s="2" t="str">
        <f t="shared" si="3"/>
        <v>1389</v>
      </c>
      <c r="N2564" s="5"/>
      <c r="O2564" s="1">
        <v>13.0</v>
      </c>
      <c r="P2564" s="5"/>
      <c r="Q2564" s="5"/>
      <c r="R2564" s="6" t="s">
        <v>1659</v>
      </c>
      <c r="S2564" s="5"/>
      <c r="T2564" s="1" t="str">
        <f>IFERROR(__xludf.DUMMYFUNCTION("INDEX(SPLIT(A2564, ""/""), 2)"),"نشریات مستقل")</f>
        <v>نشریات مستقل</v>
      </c>
      <c r="U2564" s="1" t="str">
        <f>IFERROR(__xludf.DUMMYFUNCTION("INDEX(SPLIT(A2564, ""/""), 3)"),"نیش شتر")</f>
        <v>نیش شتر</v>
      </c>
      <c r="V2564" s="1" t="str">
        <f>IFERROR(__xludf.DUMMYFUNCTION("INDEX(SPLIT(A2564, ""/""), 4)"),"#REF!")</f>
        <v>#REF!</v>
      </c>
    </row>
    <row r="2565">
      <c r="A2565" s="1" t="s">
        <v>7742</v>
      </c>
      <c r="B2565" s="1" t="s">
        <v>7776</v>
      </c>
      <c r="C2565" s="1" t="s">
        <v>21</v>
      </c>
      <c r="D2565" s="4" t="s">
        <v>7777</v>
      </c>
      <c r="E2565" s="1" t="s">
        <v>7745</v>
      </c>
      <c r="F2565" s="1" t="s">
        <v>7745</v>
      </c>
      <c r="G2565" s="1" t="s">
        <v>7745</v>
      </c>
      <c r="H2565" s="1" t="s">
        <v>2684</v>
      </c>
      <c r="I2565" s="1" t="str">
        <f t="shared" si="1"/>
        <v>x</v>
      </c>
      <c r="J2565" s="5"/>
      <c r="K2565" s="1" t="str">
        <f t="shared" si="2"/>
        <v>x</v>
      </c>
      <c r="L2565" s="1">
        <v>1.0</v>
      </c>
      <c r="M2565" s="2" t="str">
        <f t="shared" si="3"/>
        <v>1390</v>
      </c>
      <c r="N2565" s="5"/>
      <c r="O2565" s="1">
        <v>14.0</v>
      </c>
      <c r="P2565" s="1"/>
      <c r="Q2565" s="1"/>
      <c r="R2565" s="8" t="s">
        <v>2685</v>
      </c>
      <c r="S2565" s="5"/>
      <c r="T2565" s="1" t="str">
        <f>IFERROR(__xludf.DUMMYFUNCTION("INDEX(SPLIT(A2565, ""/""), 2)"),"نشریات مستقل")</f>
        <v>نشریات مستقل</v>
      </c>
      <c r="U2565" s="1" t="str">
        <f>IFERROR(__xludf.DUMMYFUNCTION("INDEX(SPLIT(A2565, ""/""), 3)"),"نیش شتر")</f>
        <v>نیش شتر</v>
      </c>
      <c r="V2565" s="1" t="str">
        <f>IFERROR(__xludf.DUMMYFUNCTION("INDEX(SPLIT(A2565, ""/""), 4)"),"#REF!")</f>
        <v>#REF!</v>
      </c>
    </row>
    <row r="2566">
      <c r="A2566" s="1" t="s">
        <v>7778</v>
      </c>
      <c r="B2566" s="1" t="s">
        <v>7779</v>
      </c>
      <c r="C2566" s="1" t="s">
        <v>21</v>
      </c>
      <c r="D2566" s="4" t="s">
        <v>7780</v>
      </c>
      <c r="E2566" s="1" t="s">
        <v>7781</v>
      </c>
      <c r="F2566" s="1" t="s">
        <v>7781</v>
      </c>
      <c r="G2566" s="1" t="s">
        <v>7781</v>
      </c>
      <c r="H2566" s="1" t="s">
        <v>475</v>
      </c>
      <c r="I2566" s="1" t="str">
        <f t="shared" si="1"/>
        <v>x</v>
      </c>
      <c r="J2566" s="5"/>
      <c r="K2566" s="1" t="str">
        <f t="shared" si="2"/>
        <v>6</v>
      </c>
      <c r="L2566" s="5"/>
      <c r="M2566" s="2" t="str">
        <f t="shared" si="3"/>
        <v>1403</v>
      </c>
      <c r="N2566" s="1"/>
      <c r="O2566" s="1">
        <v>1.0</v>
      </c>
      <c r="P2566" s="5"/>
      <c r="Q2566" s="5"/>
      <c r="R2566" s="6" t="s">
        <v>476</v>
      </c>
      <c r="S2566" s="5"/>
      <c r="T2566" s="1" t="str">
        <f>IFERROR(__xludf.DUMMYFUNCTION("INDEX(SPLIT(A2566, ""/""), 2)"),"نشریات مستقل")</f>
        <v>نشریات مستقل</v>
      </c>
      <c r="U2566" s="1" t="str">
        <f>IFERROR(__xludf.DUMMYFUNCTION("INDEX(SPLIT(A2566, ""/""), 3)"),"هفت‌قلم‌نامه")</f>
        <v>هفت‌قلم‌نامه</v>
      </c>
      <c r="V2566" s="1" t="str">
        <f>IFERROR(__xludf.DUMMYFUNCTION("INDEX(SPLIT(A2566, ""/""), 4)"),"#REF!")</f>
        <v>#REF!</v>
      </c>
    </row>
    <row r="2567">
      <c r="A2567" s="1" t="s">
        <v>7778</v>
      </c>
      <c r="B2567" s="1" t="s">
        <v>7782</v>
      </c>
      <c r="C2567" s="1" t="s">
        <v>21</v>
      </c>
      <c r="D2567" s="4" t="s">
        <v>7783</v>
      </c>
      <c r="E2567" s="1" t="s">
        <v>7781</v>
      </c>
      <c r="F2567" s="1" t="s">
        <v>7781</v>
      </c>
      <c r="G2567" s="1" t="s">
        <v>7781</v>
      </c>
      <c r="H2567" s="1" t="s">
        <v>2091</v>
      </c>
      <c r="I2567" s="1" t="str">
        <f t="shared" si="1"/>
        <v>27</v>
      </c>
      <c r="J2567" s="5"/>
      <c r="K2567" s="1" t="str">
        <f t="shared" si="2"/>
        <v>12</v>
      </c>
      <c r="L2567" s="5"/>
      <c r="M2567" s="2" t="str">
        <f t="shared" si="3"/>
        <v>1398</v>
      </c>
      <c r="N2567" s="1"/>
      <c r="O2567" s="1">
        <v>2.0</v>
      </c>
      <c r="P2567" s="5"/>
      <c r="Q2567" s="5"/>
      <c r="R2567" s="6" t="s">
        <v>2091</v>
      </c>
      <c r="S2567" s="5"/>
      <c r="T2567" s="1" t="str">
        <f>IFERROR(__xludf.DUMMYFUNCTION("INDEX(SPLIT(A2567, ""/""), 2)"),"نشریات مستقل")</f>
        <v>نشریات مستقل</v>
      </c>
      <c r="U2567" s="1" t="str">
        <f>IFERROR(__xludf.DUMMYFUNCTION("INDEX(SPLIT(A2567, ""/""), 3)"),"هفت‌قلم‌نامه")</f>
        <v>هفت‌قلم‌نامه</v>
      </c>
      <c r="V2567" s="1" t="str">
        <f>IFERROR(__xludf.DUMMYFUNCTION("INDEX(SPLIT(A2567, ""/""), 4)"),"#REF!")</f>
        <v>#REF!</v>
      </c>
    </row>
    <row r="2568">
      <c r="A2568" s="1" t="s">
        <v>7778</v>
      </c>
      <c r="B2568" s="1" t="s">
        <v>7784</v>
      </c>
      <c r="C2568" s="1" t="s">
        <v>21</v>
      </c>
      <c r="D2568" s="4" t="s">
        <v>7785</v>
      </c>
      <c r="E2568" s="1" t="s">
        <v>7781</v>
      </c>
      <c r="F2568" s="1" t="s">
        <v>7781</v>
      </c>
      <c r="G2568" s="1" t="s">
        <v>7781</v>
      </c>
      <c r="H2568" s="1" t="s">
        <v>7786</v>
      </c>
      <c r="I2568" s="1" t="str">
        <f t="shared" si="1"/>
        <v>20</v>
      </c>
      <c r="J2568" s="5"/>
      <c r="K2568" s="1" t="str">
        <f t="shared" si="2"/>
        <v>7</v>
      </c>
      <c r="L2568" s="5"/>
      <c r="M2568" s="2" t="str">
        <f t="shared" si="3"/>
        <v>1399</v>
      </c>
      <c r="N2568" s="1"/>
      <c r="O2568" s="1">
        <v>3.0</v>
      </c>
      <c r="P2568" s="5"/>
      <c r="Q2568" s="5"/>
      <c r="R2568" s="6" t="s">
        <v>7786</v>
      </c>
      <c r="S2568" s="5"/>
      <c r="T2568" s="1" t="str">
        <f>IFERROR(__xludf.DUMMYFUNCTION("INDEX(SPLIT(A2568, ""/""), 2)"),"نشریات مستقل")</f>
        <v>نشریات مستقل</v>
      </c>
      <c r="U2568" s="1" t="str">
        <f>IFERROR(__xludf.DUMMYFUNCTION("INDEX(SPLIT(A2568, ""/""), 3)"),"هفت‌قلم‌نامه")</f>
        <v>هفت‌قلم‌نامه</v>
      </c>
      <c r="V2568" s="1" t="str">
        <f>IFERROR(__xludf.DUMMYFUNCTION("INDEX(SPLIT(A2568, ""/""), 4)"),"#REF!")</f>
        <v>#REF!</v>
      </c>
    </row>
    <row r="2569">
      <c r="A2569" s="1" t="s">
        <v>7787</v>
      </c>
      <c r="B2569" s="1" t="s">
        <v>7788</v>
      </c>
      <c r="C2569" s="1" t="s">
        <v>21</v>
      </c>
      <c r="D2569" s="4" t="s">
        <v>7789</v>
      </c>
      <c r="E2569" s="1" t="s">
        <v>7790</v>
      </c>
      <c r="F2569" s="1" t="s">
        <v>71</v>
      </c>
      <c r="G2569" s="1" t="s">
        <v>71</v>
      </c>
      <c r="H2569" s="1" t="s">
        <v>199</v>
      </c>
      <c r="I2569" s="1" t="str">
        <f t="shared" si="1"/>
        <v>x</v>
      </c>
      <c r="J2569" s="5"/>
      <c r="K2569" s="1" t="str">
        <f t="shared" si="2"/>
        <v>11</v>
      </c>
      <c r="L2569" s="5"/>
      <c r="M2569" s="2" t="str">
        <f t="shared" si="3"/>
        <v>1398</v>
      </c>
      <c r="N2569" s="5"/>
      <c r="O2569" s="1">
        <v>0.0</v>
      </c>
      <c r="P2569" s="5"/>
      <c r="Q2569" s="5"/>
      <c r="R2569" s="6" t="s">
        <v>200</v>
      </c>
      <c r="S2569" s="5"/>
      <c r="T2569" s="1" t="str">
        <f>IFERROR(__xludf.DUMMYFUNCTION("INDEX(SPLIT(A2569, ""/""), 2)"),"انجمن‌های علمی و نشریات وابسته به دانشکده‌ها")</f>
        <v>انجمن‌های علمی و نشریات وابسته به دانشکده‌ها</v>
      </c>
      <c r="U2569" s="1" t="str">
        <f>IFERROR(__xludf.DUMMYFUNCTION("INDEX(SPLIT(A2569, ""/""), 3)"),"انجمن‌های علمی غیردانشکده‌ای")</f>
        <v>انجمن‌های علمی غیردانشکده‌ای</v>
      </c>
      <c r="V2569" s="1" t="str">
        <f>IFERROR(__xludf.DUMMYFUNCTION("INDEX(SPLIT(A2569, ""/""), 4)"),"نیم‌خط")</f>
        <v>نیم‌خط</v>
      </c>
    </row>
    <row r="2570">
      <c r="A2570" s="1" t="s">
        <v>7787</v>
      </c>
      <c r="B2570" s="1" t="s">
        <v>7791</v>
      </c>
      <c r="C2570" s="1" t="s">
        <v>21</v>
      </c>
      <c r="D2570" s="4" t="s">
        <v>7792</v>
      </c>
      <c r="E2570" s="1" t="s">
        <v>7793</v>
      </c>
      <c r="F2570" s="1" t="s">
        <v>7794</v>
      </c>
      <c r="G2570" s="1" t="s">
        <v>7795</v>
      </c>
      <c r="H2570" s="1" t="s">
        <v>199</v>
      </c>
      <c r="I2570" s="1" t="str">
        <f t="shared" si="1"/>
        <v>x</v>
      </c>
      <c r="J2570" s="5"/>
      <c r="K2570" s="1" t="str">
        <f t="shared" si="2"/>
        <v>11</v>
      </c>
      <c r="L2570" s="5"/>
      <c r="M2570" s="2" t="str">
        <f t="shared" si="3"/>
        <v>1398</v>
      </c>
      <c r="N2570" s="5"/>
      <c r="O2570" s="1">
        <v>1.0</v>
      </c>
      <c r="P2570" s="5"/>
      <c r="Q2570" s="5"/>
      <c r="R2570" s="6" t="s">
        <v>200</v>
      </c>
      <c r="S2570" s="5"/>
      <c r="T2570" s="1" t="str">
        <f>IFERROR(__xludf.DUMMYFUNCTION("INDEX(SPLIT(A2570, ""/""), 2)"),"انجمن‌های علمی و نشریات وابسته به دانشکده‌ها")</f>
        <v>انجمن‌های علمی و نشریات وابسته به دانشکده‌ها</v>
      </c>
      <c r="U2570" s="1" t="str">
        <f>IFERROR(__xludf.DUMMYFUNCTION("INDEX(SPLIT(A2570, ""/""), 3)"),"انجمن‌های علمی غیردانشکده‌ای")</f>
        <v>انجمن‌های علمی غیردانشکده‌ای</v>
      </c>
      <c r="V2570" s="1" t="str">
        <f>IFERROR(__xludf.DUMMYFUNCTION("INDEX(SPLIT(A2570, ""/""), 4)"),"نیم‌خط")</f>
        <v>نیم‌خط</v>
      </c>
    </row>
    <row r="2571">
      <c r="A2571" s="1" t="s">
        <v>7787</v>
      </c>
      <c r="B2571" s="1" t="s">
        <v>7796</v>
      </c>
      <c r="C2571" s="1" t="s">
        <v>21</v>
      </c>
      <c r="D2571" s="4" t="s">
        <v>7797</v>
      </c>
      <c r="E2571" s="1" t="s">
        <v>7793</v>
      </c>
      <c r="F2571" s="1" t="s">
        <v>7794</v>
      </c>
      <c r="G2571" s="1" t="s">
        <v>7795</v>
      </c>
      <c r="H2571" s="1" t="s">
        <v>375</v>
      </c>
      <c r="I2571" s="1" t="str">
        <f t="shared" si="1"/>
        <v>x</v>
      </c>
      <c r="J2571" s="5"/>
      <c r="K2571" s="1" t="str">
        <f t="shared" si="2"/>
        <v>3</v>
      </c>
      <c r="L2571" s="5"/>
      <c r="M2571" s="2" t="str">
        <f t="shared" si="3"/>
        <v>1399</v>
      </c>
      <c r="N2571" s="5"/>
      <c r="O2571" s="1">
        <v>2.0</v>
      </c>
      <c r="P2571" s="5"/>
      <c r="Q2571" s="5"/>
      <c r="R2571" s="6" t="s">
        <v>376</v>
      </c>
      <c r="S2571" s="5"/>
      <c r="T2571" s="1" t="str">
        <f>IFERROR(__xludf.DUMMYFUNCTION("INDEX(SPLIT(A2571, ""/""), 2)"),"انجمن‌های علمی و نشریات وابسته به دانشکده‌ها")</f>
        <v>انجمن‌های علمی و نشریات وابسته به دانشکده‌ها</v>
      </c>
      <c r="U2571" s="1" t="str">
        <f>IFERROR(__xludf.DUMMYFUNCTION("INDEX(SPLIT(A2571, ""/""), 3)"),"انجمن‌های علمی غیردانشکده‌ای")</f>
        <v>انجمن‌های علمی غیردانشکده‌ای</v>
      </c>
      <c r="V2571" s="1" t="str">
        <f>IFERROR(__xludf.DUMMYFUNCTION("INDEX(SPLIT(A2571, ""/""), 4)"),"نیم‌خط")</f>
        <v>نیم‌خط</v>
      </c>
    </row>
    <row r="2572">
      <c r="A2572" s="1" t="s">
        <v>7787</v>
      </c>
      <c r="B2572" s="1" t="s">
        <v>7798</v>
      </c>
      <c r="C2572" s="1" t="s">
        <v>21</v>
      </c>
      <c r="D2572" s="4" t="s">
        <v>7799</v>
      </c>
      <c r="E2572" s="1" t="s">
        <v>7793</v>
      </c>
      <c r="F2572" s="1" t="s">
        <v>7800</v>
      </c>
      <c r="G2572" s="1" t="s">
        <v>7801</v>
      </c>
      <c r="H2572" s="1" t="s">
        <v>26</v>
      </c>
      <c r="I2572" s="1" t="str">
        <f t="shared" si="1"/>
        <v>x</v>
      </c>
      <c r="J2572" s="5"/>
      <c r="K2572" s="1" t="str">
        <f t="shared" si="2"/>
        <v>7</v>
      </c>
      <c r="L2572" s="5"/>
      <c r="M2572" s="2" t="str">
        <f t="shared" si="3"/>
        <v>1399</v>
      </c>
      <c r="N2572" s="5"/>
      <c r="O2572" s="1">
        <v>3.0</v>
      </c>
      <c r="P2572" s="5"/>
      <c r="Q2572" s="5"/>
      <c r="R2572" s="6" t="s">
        <v>27</v>
      </c>
      <c r="S2572" s="5"/>
      <c r="T2572" s="1" t="str">
        <f>IFERROR(__xludf.DUMMYFUNCTION("INDEX(SPLIT(A2572, ""/""), 2)"),"انجمن‌های علمی و نشریات وابسته به دانشکده‌ها")</f>
        <v>انجمن‌های علمی و نشریات وابسته به دانشکده‌ها</v>
      </c>
      <c r="U2572" s="1" t="str">
        <f>IFERROR(__xludf.DUMMYFUNCTION("INDEX(SPLIT(A2572, ""/""), 3)"),"انجمن‌های علمی غیردانشکده‌ای")</f>
        <v>انجمن‌های علمی غیردانشکده‌ای</v>
      </c>
      <c r="V2572" s="1" t="str">
        <f>IFERROR(__xludf.DUMMYFUNCTION("INDEX(SPLIT(A2572, ""/""), 4)"),"نیم‌خط")</f>
        <v>نیم‌خط</v>
      </c>
    </row>
    <row r="2573">
      <c r="A2573" s="1" t="s">
        <v>7787</v>
      </c>
      <c r="B2573" s="1" t="s">
        <v>7802</v>
      </c>
      <c r="C2573" s="1" t="s">
        <v>21</v>
      </c>
      <c r="D2573" s="4" t="s">
        <v>7803</v>
      </c>
      <c r="E2573" s="1" t="s">
        <v>7793</v>
      </c>
      <c r="F2573" s="1" t="s">
        <v>7800</v>
      </c>
      <c r="G2573" s="1" t="s">
        <v>7801</v>
      </c>
      <c r="H2573" s="1" t="s">
        <v>38</v>
      </c>
      <c r="I2573" s="1" t="str">
        <f t="shared" si="1"/>
        <v>x</v>
      </c>
      <c r="J2573" s="5"/>
      <c r="K2573" s="1" t="str">
        <f t="shared" si="2"/>
        <v>9</v>
      </c>
      <c r="L2573" s="5"/>
      <c r="M2573" s="2" t="str">
        <f t="shared" si="3"/>
        <v>1399</v>
      </c>
      <c r="N2573" s="5"/>
      <c r="O2573" s="1">
        <v>4.0</v>
      </c>
      <c r="P2573" s="5"/>
      <c r="Q2573" s="5"/>
      <c r="R2573" s="6" t="s">
        <v>39</v>
      </c>
      <c r="S2573" s="5"/>
      <c r="T2573" s="1" t="str">
        <f>IFERROR(__xludf.DUMMYFUNCTION("INDEX(SPLIT(A2573, ""/""), 2)"),"انجمن‌های علمی و نشریات وابسته به دانشکده‌ها")</f>
        <v>انجمن‌های علمی و نشریات وابسته به دانشکده‌ها</v>
      </c>
      <c r="U2573" s="1" t="str">
        <f>IFERROR(__xludf.DUMMYFUNCTION("INDEX(SPLIT(A2573, ""/""), 3)"),"انجمن‌های علمی غیردانشکده‌ای")</f>
        <v>انجمن‌های علمی غیردانشکده‌ای</v>
      </c>
      <c r="V2573" s="1" t="str">
        <f>IFERROR(__xludf.DUMMYFUNCTION("INDEX(SPLIT(A2573, ""/""), 4)"),"نیم‌خط")</f>
        <v>نیم‌خط</v>
      </c>
    </row>
    <row r="2574">
      <c r="A2574" s="1" t="s">
        <v>7787</v>
      </c>
      <c r="B2574" s="1" t="s">
        <v>7804</v>
      </c>
      <c r="C2574" s="1" t="s">
        <v>21</v>
      </c>
      <c r="D2574" s="4" t="s">
        <v>7805</v>
      </c>
      <c r="E2574" s="1" t="s">
        <v>7793</v>
      </c>
      <c r="F2574" s="1" t="s">
        <v>7800</v>
      </c>
      <c r="G2574" s="1" t="s">
        <v>7801</v>
      </c>
      <c r="H2574" s="1" t="s">
        <v>48</v>
      </c>
      <c r="I2574" s="1" t="str">
        <f t="shared" si="1"/>
        <v>x</v>
      </c>
      <c r="J2574" s="5"/>
      <c r="K2574" s="1" t="str">
        <f t="shared" si="2"/>
        <v>12</v>
      </c>
      <c r="L2574" s="5"/>
      <c r="M2574" s="2" t="str">
        <f t="shared" si="3"/>
        <v>1399</v>
      </c>
      <c r="N2574" s="5"/>
      <c r="O2574" s="1">
        <v>5.0</v>
      </c>
      <c r="P2574" s="5"/>
      <c r="Q2574" s="5"/>
      <c r="R2574" s="6" t="s">
        <v>49</v>
      </c>
      <c r="S2574" s="5"/>
      <c r="T2574" s="1" t="str">
        <f>IFERROR(__xludf.DUMMYFUNCTION("INDEX(SPLIT(A2574, ""/""), 2)"),"انجمن‌های علمی و نشریات وابسته به دانشکده‌ها")</f>
        <v>انجمن‌های علمی و نشریات وابسته به دانشکده‌ها</v>
      </c>
      <c r="U2574" s="1" t="str">
        <f>IFERROR(__xludf.DUMMYFUNCTION("INDEX(SPLIT(A2574, ""/""), 3)"),"انجمن‌های علمی غیردانشکده‌ای")</f>
        <v>انجمن‌های علمی غیردانشکده‌ای</v>
      </c>
      <c r="V2574" s="1" t="str">
        <f>IFERROR(__xludf.DUMMYFUNCTION("INDEX(SPLIT(A2574, ""/""), 4)"),"نیم‌خط")</f>
        <v>نیم‌خط</v>
      </c>
    </row>
    <row r="2575">
      <c r="A2575" s="1" t="s">
        <v>7787</v>
      </c>
      <c r="B2575" s="1" t="s">
        <v>7806</v>
      </c>
      <c r="C2575" s="1" t="s">
        <v>21</v>
      </c>
      <c r="D2575" s="4" t="s">
        <v>7807</v>
      </c>
      <c r="E2575" s="1" t="s">
        <v>7793</v>
      </c>
      <c r="F2575" s="1" t="s">
        <v>7800</v>
      </c>
      <c r="G2575" s="1" t="s">
        <v>7801</v>
      </c>
      <c r="H2575" s="1" t="s">
        <v>60</v>
      </c>
      <c r="I2575" s="1" t="str">
        <f t="shared" si="1"/>
        <v>x</v>
      </c>
      <c r="J2575" s="5"/>
      <c r="K2575" s="1" t="str">
        <f t="shared" si="2"/>
        <v>2</v>
      </c>
      <c r="L2575" s="5"/>
      <c r="M2575" s="2" t="str">
        <f t="shared" si="3"/>
        <v>1400</v>
      </c>
      <c r="N2575" s="5"/>
      <c r="O2575" s="1">
        <v>6.0</v>
      </c>
      <c r="P2575" s="5"/>
      <c r="Q2575" s="5"/>
      <c r="R2575" s="6" t="s">
        <v>61</v>
      </c>
      <c r="S2575" s="5"/>
      <c r="T2575" s="1" t="str">
        <f>IFERROR(__xludf.DUMMYFUNCTION("INDEX(SPLIT(A2575, ""/""), 2)"),"انجمن‌های علمی و نشریات وابسته به دانشکده‌ها")</f>
        <v>انجمن‌های علمی و نشریات وابسته به دانشکده‌ها</v>
      </c>
      <c r="U2575" s="1" t="str">
        <f>IFERROR(__xludf.DUMMYFUNCTION("INDEX(SPLIT(A2575, ""/""), 3)"),"انجمن‌های علمی غیردانشکده‌ای")</f>
        <v>انجمن‌های علمی غیردانشکده‌ای</v>
      </c>
      <c r="V2575" s="1" t="str">
        <f>IFERROR(__xludf.DUMMYFUNCTION("INDEX(SPLIT(A2575, ""/""), 4)"),"نیم‌خط")</f>
        <v>نیم‌خط</v>
      </c>
    </row>
    <row r="2576">
      <c r="A2576" s="1" t="s">
        <v>7787</v>
      </c>
      <c r="B2576" s="1" t="s">
        <v>7808</v>
      </c>
      <c r="C2576" s="1" t="s">
        <v>21</v>
      </c>
      <c r="D2576" s="4" t="s">
        <v>7809</v>
      </c>
      <c r="E2576" s="1" t="s">
        <v>7793</v>
      </c>
      <c r="F2576" s="1" t="s">
        <v>7800</v>
      </c>
      <c r="G2576" s="1" t="s">
        <v>7801</v>
      </c>
      <c r="H2576" s="1" t="s">
        <v>402</v>
      </c>
      <c r="I2576" s="1" t="str">
        <f t="shared" si="1"/>
        <v>x</v>
      </c>
      <c r="J2576" s="5"/>
      <c r="K2576" s="1" t="str">
        <f t="shared" si="2"/>
        <v>4</v>
      </c>
      <c r="L2576" s="5"/>
      <c r="M2576" s="2" t="str">
        <f t="shared" si="3"/>
        <v>1400</v>
      </c>
      <c r="N2576" s="5"/>
      <c r="O2576" s="1">
        <v>7.0</v>
      </c>
      <c r="P2576" s="5"/>
      <c r="Q2576" s="5"/>
      <c r="R2576" s="6" t="s">
        <v>403</v>
      </c>
      <c r="S2576" s="5"/>
      <c r="T2576" s="1" t="str">
        <f>IFERROR(__xludf.DUMMYFUNCTION("INDEX(SPLIT(A2576, ""/""), 2)"),"انجمن‌های علمی و نشریات وابسته به دانشکده‌ها")</f>
        <v>انجمن‌های علمی و نشریات وابسته به دانشکده‌ها</v>
      </c>
      <c r="U2576" s="1" t="str">
        <f>IFERROR(__xludf.DUMMYFUNCTION("INDEX(SPLIT(A2576, ""/""), 3)"),"انجمن‌های علمی غیردانشکده‌ای")</f>
        <v>انجمن‌های علمی غیردانشکده‌ای</v>
      </c>
      <c r="V2576" s="1" t="str">
        <f>IFERROR(__xludf.DUMMYFUNCTION("INDEX(SPLIT(A2576, ""/""), 4)"),"نیم‌خط")</f>
        <v>نیم‌خط</v>
      </c>
    </row>
    <row r="2577">
      <c r="A2577" s="1" t="s">
        <v>7787</v>
      </c>
      <c r="B2577" s="1" t="s">
        <v>7810</v>
      </c>
      <c r="C2577" s="1" t="s">
        <v>21</v>
      </c>
      <c r="D2577" s="4" t="s">
        <v>7811</v>
      </c>
      <c r="E2577" s="1" t="s">
        <v>7793</v>
      </c>
      <c r="F2577" s="1" t="s">
        <v>7812</v>
      </c>
      <c r="G2577" s="1" t="s">
        <v>7813</v>
      </c>
      <c r="H2577" s="1" t="s">
        <v>712</v>
      </c>
      <c r="I2577" s="1" t="str">
        <f t="shared" si="1"/>
        <v>x</v>
      </c>
      <c r="J2577" s="5"/>
      <c r="K2577" s="1" t="str">
        <f t="shared" si="2"/>
        <v>10</v>
      </c>
      <c r="L2577" s="5"/>
      <c r="M2577" s="2" t="str">
        <f t="shared" si="3"/>
        <v>1400</v>
      </c>
      <c r="N2577" s="5"/>
      <c r="O2577" s="1">
        <v>8.0</v>
      </c>
      <c r="P2577" s="5"/>
      <c r="Q2577" s="5"/>
      <c r="R2577" s="6" t="s">
        <v>713</v>
      </c>
      <c r="S2577" s="5"/>
      <c r="T2577" s="1" t="str">
        <f>IFERROR(__xludf.DUMMYFUNCTION("INDEX(SPLIT(A2577, ""/""), 2)"),"انجمن‌های علمی و نشریات وابسته به دانشکده‌ها")</f>
        <v>انجمن‌های علمی و نشریات وابسته به دانشکده‌ها</v>
      </c>
      <c r="U2577" s="1" t="str">
        <f>IFERROR(__xludf.DUMMYFUNCTION("INDEX(SPLIT(A2577, ""/""), 3)"),"انجمن‌های علمی غیردانشکده‌ای")</f>
        <v>انجمن‌های علمی غیردانشکده‌ای</v>
      </c>
      <c r="V2577" s="1" t="str">
        <f>IFERROR(__xludf.DUMMYFUNCTION("INDEX(SPLIT(A2577, ""/""), 4)"),"نیم‌خط")</f>
        <v>نیم‌خط</v>
      </c>
    </row>
    <row r="2578">
      <c r="A2578" s="1" t="s">
        <v>7787</v>
      </c>
      <c r="B2578" s="1" t="s">
        <v>7814</v>
      </c>
      <c r="C2578" s="1" t="s">
        <v>21</v>
      </c>
      <c r="D2578" s="4" t="s">
        <v>7815</v>
      </c>
      <c r="E2578" s="1" t="s">
        <v>7793</v>
      </c>
      <c r="F2578" s="1" t="s">
        <v>7812</v>
      </c>
      <c r="G2578" s="1" t="s">
        <v>7816</v>
      </c>
      <c r="H2578" s="1" t="s">
        <v>155</v>
      </c>
      <c r="I2578" s="1" t="str">
        <f t="shared" si="1"/>
        <v>x</v>
      </c>
      <c r="J2578" s="5"/>
      <c r="K2578" s="1" t="str">
        <f t="shared" si="2"/>
        <v>12</v>
      </c>
      <c r="L2578" s="5"/>
      <c r="M2578" s="2" t="str">
        <f t="shared" si="3"/>
        <v>1401</v>
      </c>
      <c r="N2578" s="5"/>
      <c r="O2578" s="1">
        <v>9.0</v>
      </c>
      <c r="P2578" s="5"/>
      <c r="Q2578" s="5"/>
      <c r="R2578" s="6" t="s">
        <v>156</v>
      </c>
      <c r="S2578" s="5"/>
      <c r="T2578" s="1" t="str">
        <f>IFERROR(__xludf.DUMMYFUNCTION("INDEX(SPLIT(A2578, ""/""), 2)"),"انجمن‌های علمی و نشریات وابسته به دانشکده‌ها")</f>
        <v>انجمن‌های علمی و نشریات وابسته به دانشکده‌ها</v>
      </c>
      <c r="U2578" s="1" t="str">
        <f>IFERROR(__xludf.DUMMYFUNCTION("INDEX(SPLIT(A2578, ""/""), 3)"),"انجمن‌های علمی غیردانشکده‌ای")</f>
        <v>انجمن‌های علمی غیردانشکده‌ای</v>
      </c>
      <c r="V2578" s="1" t="str">
        <f>IFERROR(__xludf.DUMMYFUNCTION("INDEX(SPLIT(A2578, ""/""), 4)"),"نیم‌خط")</f>
        <v>نیم‌خط</v>
      </c>
    </row>
    <row r="2579">
      <c r="A2579" s="1" t="s">
        <v>7787</v>
      </c>
      <c r="B2579" s="1" t="s">
        <v>7817</v>
      </c>
      <c r="C2579" s="1" t="s">
        <v>21</v>
      </c>
      <c r="D2579" s="4" t="s">
        <v>7818</v>
      </c>
      <c r="E2579" s="1" t="s">
        <v>7793</v>
      </c>
      <c r="F2579" s="1" t="s">
        <v>7812</v>
      </c>
      <c r="G2579" s="1" t="s">
        <v>7816</v>
      </c>
      <c r="H2579" s="1" t="s">
        <v>475</v>
      </c>
      <c r="I2579" s="1" t="str">
        <f t="shared" si="1"/>
        <v>x</v>
      </c>
      <c r="J2579" s="5"/>
      <c r="K2579" s="1" t="str">
        <f t="shared" si="2"/>
        <v>6</v>
      </c>
      <c r="L2579" s="5"/>
      <c r="M2579" s="2" t="str">
        <f t="shared" si="3"/>
        <v>1403</v>
      </c>
      <c r="N2579" s="5"/>
      <c r="O2579" s="1">
        <v>10.0</v>
      </c>
      <c r="P2579" s="5"/>
      <c r="Q2579" s="5"/>
      <c r="R2579" s="6" t="s">
        <v>476</v>
      </c>
      <c r="S2579" s="5"/>
      <c r="T2579" s="1" t="str">
        <f>IFERROR(__xludf.DUMMYFUNCTION("INDEX(SPLIT(A2579, ""/""), 2)"),"انجمن‌های علمی و نشریات وابسته به دانشکده‌ها")</f>
        <v>انجمن‌های علمی و نشریات وابسته به دانشکده‌ها</v>
      </c>
      <c r="U2579" s="1" t="str">
        <f>IFERROR(__xludf.DUMMYFUNCTION("INDEX(SPLIT(A2579, ""/""), 3)"),"انجمن‌های علمی غیردانشکده‌ای")</f>
        <v>انجمن‌های علمی غیردانشکده‌ای</v>
      </c>
      <c r="V2579" s="1" t="str">
        <f>IFERROR(__xludf.DUMMYFUNCTION("INDEX(SPLIT(A2579, ""/""), 4)"),"نیم‌خط")</f>
        <v>نیم‌خط</v>
      </c>
    </row>
    <row r="2580">
      <c r="A2580" s="1" t="s">
        <v>831</v>
      </c>
      <c r="B2580" s="1" t="s">
        <v>4448</v>
      </c>
      <c r="C2580" s="1" t="s">
        <v>21</v>
      </c>
      <c r="D2580" s="4" t="s">
        <v>7819</v>
      </c>
      <c r="E2580" s="1" t="s">
        <v>750</v>
      </c>
      <c r="F2580" s="1" t="s">
        <v>1266</v>
      </c>
      <c r="G2580" s="1" t="s">
        <v>752</v>
      </c>
      <c r="H2580" s="1" t="s">
        <v>7452</v>
      </c>
      <c r="I2580" s="1" t="str">
        <f t="shared" si="1"/>
        <v>23</v>
      </c>
      <c r="J2580" s="5"/>
      <c r="K2580" s="1" t="str">
        <f t="shared" si="2"/>
        <v>7</v>
      </c>
      <c r="L2580" s="5"/>
      <c r="M2580" s="2" t="str">
        <f t="shared" si="3"/>
        <v>1397</v>
      </c>
      <c r="N2580" s="5"/>
      <c r="O2580" s="2">
        <v>173.0</v>
      </c>
      <c r="P2580" s="5"/>
      <c r="Q2580" s="5"/>
      <c r="R2580" s="6" t="s">
        <v>7452</v>
      </c>
      <c r="S2580" s="5"/>
      <c r="T2580" s="1" t="str">
        <f>IFERROR(__xludf.DUMMYFUNCTION("INDEX(SPLIT(A2580, ""/""), 2)"),"تشکل‌های اسلامی و سیاسی")</f>
        <v>تشکل‌های اسلامی و سیاسی</v>
      </c>
      <c r="U2580" s="1" t="str">
        <f>IFERROR(__xludf.DUMMYFUNCTION("INDEX(SPLIT(A2580, ""/""), 3)"),"انجمن اسلامی دانشجویان")</f>
        <v>انجمن اسلامی دانشجویان</v>
      </c>
      <c r="V2580" s="1" t="str">
        <f>IFERROR(__xludf.DUMMYFUNCTION("INDEX(SPLIT(A2580, ""/""), 4)"),"خبرنامه")</f>
        <v>خبرنامه</v>
      </c>
    </row>
  </sheetData>
  <autoFilter ref="$A$1:$AF$2580"/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</hyperlinks>
  <drawing r:id="rId2580"/>
</worksheet>
</file>